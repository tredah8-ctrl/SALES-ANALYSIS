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engdmcoza331-my.sharepoint.com/personal/hitekanim_engdm_co_za/Documents/Bright Learn/SALES/"/>
    </mc:Choice>
  </mc:AlternateContent>
  <xr:revisionPtr revIDLastSave="3" documentId="8_{02A0061E-D645-4A75-8470-CA543FEDD1F7}" xr6:coauthVersionLast="47" xr6:coauthVersionMax="47" xr10:uidLastSave="{B0AEA9C3-1152-4A5A-AC4A-5582E15B4BC5}"/>
  <bookViews>
    <workbookView xWindow="19090" yWindow="-110" windowWidth="19420" windowHeight="10300" firstSheet="2" activeTab="5" xr2:uid="{2C0A1F75-9478-4C61-BD58-BF24DBFBA780}"/>
  </bookViews>
  <sheets>
    <sheet name="Cover" sheetId="3" r:id="rId1"/>
    <sheet name="SALES_EDA" sheetId="2" r:id="rId2"/>
    <sheet name="Dashboard" sheetId="1" r:id="rId3"/>
    <sheet name="Daily Metrics" sheetId="4" r:id="rId4"/>
    <sheet name="Profitability" sheetId="5" r:id="rId5"/>
    <sheet name="Promotion Analysis" sheetId="6" r:id="rId6"/>
  </sheets>
  <definedNames>
    <definedName name="ExternalData_1" localSheetId="1" hidden="1">SALES_EDA!$A$1:$T$1001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3" i="6" l="1"/>
  <c r="H13" i="6"/>
  <c r="J13" i="6" s="1"/>
  <c r="D13" i="6"/>
  <c r="I12" i="6"/>
  <c r="H12" i="6"/>
  <c r="D12" i="6"/>
  <c r="J11" i="6"/>
  <c r="I11" i="6"/>
  <c r="H11" i="6"/>
  <c r="D11" i="6"/>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E1014" i="4"/>
  <c r="D1014" i="4"/>
  <c r="A1014" i="4"/>
  <c r="E1013" i="4"/>
  <c r="D1013" i="4"/>
  <c r="A1013" i="4"/>
  <c r="E1012" i="4"/>
  <c r="D1012" i="4"/>
  <c r="A1012" i="4"/>
  <c r="E1011" i="4"/>
  <c r="D1011" i="4"/>
  <c r="A1011" i="4"/>
  <c r="E1010" i="4"/>
  <c r="D1010" i="4"/>
  <c r="A1010" i="4"/>
  <c r="E1009" i="4"/>
  <c r="D1009" i="4"/>
  <c r="A1009" i="4"/>
  <c r="E1008" i="4"/>
  <c r="D1008" i="4"/>
  <c r="A1008" i="4"/>
  <c r="E1007" i="4"/>
  <c r="D1007" i="4"/>
  <c r="A1007" i="4"/>
  <c r="E1006" i="4"/>
  <c r="D1006" i="4"/>
  <c r="A1006" i="4"/>
  <c r="E1005" i="4"/>
  <c r="D1005" i="4"/>
  <c r="A1005" i="4"/>
  <c r="E1004" i="4"/>
  <c r="D1004" i="4"/>
  <c r="A1004" i="4"/>
  <c r="E1003" i="4"/>
  <c r="D1003" i="4"/>
  <c r="A1003" i="4"/>
  <c r="E1002" i="4"/>
  <c r="D1002" i="4"/>
  <c r="A1002" i="4"/>
  <c r="E1001" i="4"/>
  <c r="D1001" i="4"/>
  <c r="A1001" i="4"/>
  <c r="E1000" i="4"/>
  <c r="D1000" i="4"/>
  <c r="A1000" i="4"/>
  <c r="E999" i="4"/>
  <c r="D999" i="4"/>
  <c r="A999" i="4"/>
  <c r="E998" i="4"/>
  <c r="D998" i="4"/>
  <c r="A998" i="4"/>
  <c r="E997" i="4"/>
  <c r="D997" i="4"/>
  <c r="A997" i="4"/>
  <c r="E996" i="4"/>
  <c r="D996" i="4"/>
  <c r="A996" i="4"/>
  <c r="E995" i="4"/>
  <c r="D995" i="4"/>
  <c r="A995" i="4"/>
  <c r="E994" i="4"/>
  <c r="D994" i="4"/>
  <c r="A994" i="4"/>
  <c r="E993" i="4"/>
  <c r="D993" i="4"/>
  <c r="A993" i="4"/>
  <c r="E992" i="4"/>
  <c r="D992" i="4"/>
  <c r="A992" i="4"/>
  <c r="E991" i="4"/>
  <c r="D991" i="4"/>
  <c r="A991" i="4"/>
  <c r="E990" i="4"/>
  <c r="D990" i="4"/>
  <c r="A990" i="4"/>
  <c r="E989" i="4"/>
  <c r="D989" i="4"/>
  <c r="A989" i="4"/>
  <c r="E988" i="4"/>
  <c r="D988" i="4"/>
  <c r="A988" i="4"/>
  <c r="E987" i="4"/>
  <c r="D987" i="4"/>
  <c r="A987" i="4"/>
  <c r="E986" i="4"/>
  <c r="D986" i="4"/>
  <c r="A986" i="4"/>
  <c r="E985" i="4"/>
  <c r="D985" i="4"/>
  <c r="A985" i="4"/>
  <c r="E984" i="4"/>
  <c r="D984" i="4"/>
  <c r="A984" i="4"/>
  <c r="E983" i="4"/>
  <c r="D983" i="4"/>
  <c r="A983" i="4"/>
  <c r="E982" i="4"/>
  <c r="D982" i="4"/>
  <c r="A982" i="4"/>
  <c r="E981" i="4"/>
  <c r="D981" i="4"/>
  <c r="A981" i="4"/>
  <c r="E980" i="4"/>
  <c r="D980" i="4"/>
  <c r="A980" i="4"/>
  <c r="E979" i="4"/>
  <c r="D979" i="4"/>
  <c r="A979" i="4"/>
  <c r="E978" i="4"/>
  <c r="D978" i="4"/>
  <c r="A978" i="4"/>
  <c r="E977" i="4"/>
  <c r="D977" i="4"/>
  <c r="A977" i="4"/>
  <c r="E976" i="4"/>
  <c r="D976" i="4"/>
  <c r="A976" i="4"/>
  <c r="E975" i="4"/>
  <c r="D975" i="4"/>
  <c r="A975" i="4"/>
  <c r="E974" i="4"/>
  <c r="D974" i="4"/>
  <c r="A974" i="4"/>
  <c r="E973" i="4"/>
  <c r="D973" i="4"/>
  <c r="A973" i="4"/>
  <c r="E972" i="4"/>
  <c r="D972" i="4"/>
  <c r="A972" i="4"/>
  <c r="E971" i="4"/>
  <c r="D971" i="4"/>
  <c r="A971" i="4"/>
  <c r="E970" i="4"/>
  <c r="D970" i="4"/>
  <c r="A970" i="4"/>
  <c r="E969" i="4"/>
  <c r="D969" i="4"/>
  <c r="A969" i="4"/>
  <c r="E968" i="4"/>
  <c r="D968" i="4"/>
  <c r="A968" i="4"/>
  <c r="E967" i="4"/>
  <c r="D967" i="4"/>
  <c r="A967" i="4"/>
  <c r="E966" i="4"/>
  <c r="D966" i="4"/>
  <c r="A966" i="4"/>
  <c r="E965" i="4"/>
  <c r="D965" i="4"/>
  <c r="A965" i="4"/>
  <c r="E964" i="4"/>
  <c r="D964" i="4"/>
  <c r="A964" i="4"/>
  <c r="E963" i="4"/>
  <c r="D963" i="4"/>
  <c r="A963" i="4"/>
  <c r="E962" i="4"/>
  <c r="D962" i="4"/>
  <c r="A962" i="4"/>
  <c r="E961" i="4"/>
  <c r="D961" i="4"/>
  <c r="A961" i="4"/>
  <c r="E960" i="4"/>
  <c r="D960" i="4"/>
  <c r="A960" i="4"/>
  <c r="E959" i="4"/>
  <c r="D959" i="4"/>
  <c r="A959" i="4"/>
  <c r="E958" i="4"/>
  <c r="D958" i="4"/>
  <c r="A958" i="4"/>
  <c r="E957" i="4"/>
  <c r="D957" i="4"/>
  <c r="A957" i="4"/>
  <c r="E956" i="4"/>
  <c r="D956" i="4"/>
  <c r="A956" i="4"/>
  <c r="E955" i="4"/>
  <c r="D955" i="4"/>
  <c r="A955" i="4"/>
  <c r="E954" i="4"/>
  <c r="D954" i="4"/>
  <c r="A954" i="4"/>
  <c r="E953" i="4"/>
  <c r="D953" i="4"/>
  <c r="A953" i="4"/>
  <c r="E952" i="4"/>
  <c r="D952" i="4"/>
  <c r="A952" i="4"/>
  <c r="E951" i="4"/>
  <c r="D951" i="4"/>
  <c r="A951" i="4"/>
  <c r="E950" i="4"/>
  <c r="D950" i="4"/>
  <c r="A950" i="4"/>
  <c r="E949" i="4"/>
  <c r="D949" i="4"/>
  <c r="A949" i="4"/>
  <c r="E948" i="4"/>
  <c r="D948" i="4"/>
  <c r="A948" i="4"/>
  <c r="E947" i="4"/>
  <c r="D947" i="4"/>
  <c r="A947" i="4"/>
  <c r="E946" i="4"/>
  <c r="D946" i="4"/>
  <c r="A946" i="4"/>
  <c r="E945" i="4"/>
  <c r="D945" i="4"/>
  <c r="A945" i="4"/>
  <c r="E944" i="4"/>
  <c r="D944" i="4"/>
  <c r="A944" i="4"/>
  <c r="E943" i="4"/>
  <c r="D943" i="4"/>
  <c r="A943" i="4"/>
  <c r="E942" i="4"/>
  <c r="D942" i="4"/>
  <c r="A942" i="4"/>
  <c r="E941" i="4"/>
  <c r="D941" i="4"/>
  <c r="A941" i="4"/>
  <c r="E940" i="4"/>
  <c r="D940" i="4"/>
  <c r="A940" i="4"/>
  <c r="E939" i="4"/>
  <c r="D939" i="4"/>
  <c r="A939" i="4"/>
  <c r="E938" i="4"/>
  <c r="D938" i="4"/>
  <c r="A938" i="4"/>
  <c r="E937" i="4"/>
  <c r="D937" i="4"/>
  <c r="A937" i="4"/>
  <c r="E936" i="4"/>
  <c r="D936" i="4"/>
  <c r="A936" i="4"/>
  <c r="E935" i="4"/>
  <c r="D935" i="4"/>
  <c r="A935" i="4"/>
  <c r="E934" i="4"/>
  <c r="D934" i="4"/>
  <c r="A934" i="4"/>
  <c r="E933" i="4"/>
  <c r="D933" i="4"/>
  <c r="A933" i="4"/>
  <c r="E932" i="4"/>
  <c r="D932" i="4"/>
  <c r="A932" i="4"/>
  <c r="E931" i="4"/>
  <c r="D931" i="4"/>
  <c r="A931" i="4"/>
  <c r="E930" i="4"/>
  <c r="D930" i="4"/>
  <c r="A930" i="4"/>
  <c r="E929" i="4"/>
  <c r="D929" i="4"/>
  <c r="A929" i="4"/>
  <c r="E928" i="4"/>
  <c r="D928" i="4"/>
  <c r="A928" i="4"/>
  <c r="E927" i="4"/>
  <c r="D927" i="4"/>
  <c r="A927" i="4"/>
  <c r="E926" i="4"/>
  <c r="D926" i="4"/>
  <c r="A926" i="4"/>
  <c r="E925" i="4"/>
  <c r="D925" i="4"/>
  <c r="A925" i="4"/>
  <c r="E924" i="4"/>
  <c r="D924" i="4"/>
  <c r="A924" i="4"/>
  <c r="E923" i="4"/>
  <c r="D923" i="4"/>
  <c r="A923" i="4"/>
  <c r="E922" i="4"/>
  <c r="D922" i="4"/>
  <c r="A922" i="4"/>
  <c r="E921" i="4"/>
  <c r="D921" i="4"/>
  <c r="A921" i="4"/>
  <c r="E920" i="4"/>
  <c r="D920" i="4"/>
  <c r="A920" i="4"/>
  <c r="E919" i="4"/>
  <c r="D919" i="4"/>
  <c r="A919" i="4"/>
  <c r="E918" i="4"/>
  <c r="D918" i="4"/>
  <c r="A918" i="4"/>
  <c r="E917" i="4"/>
  <c r="D917" i="4"/>
  <c r="A917" i="4"/>
  <c r="E916" i="4"/>
  <c r="D916" i="4"/>
  <c r="A916" i="4"/>
  <c r="E915" i="4"/>
  <c r="D915" i="4"/>
  <c r="A915" i="4"/>
  <c r="E914" i="4"/>
  <c r="D914" i="4"/>
  <c r="A914" i="4"/>
  <c r="E913" i="4"/>
  <c r="D913" i="4"/>
  <c r="A913" i="4"/>
  <c r="E912" i="4"/>
  <c r="D912" i="4"/>
  <c r="A912" i="4"/>
  <c r="E911" i="4"/>
  <c r="D911" i="4"/>
  <c r="A911" i="4"/>
  <c r="E910" i="4"/>
  <c r="D910" i="4"/>
  <c r="A910" i="4"/>
  <c r="E909" i="4"/>
  <c r="D909" i="4"/>
  <c r="A909" i="4"/>
  <c r="E908" i="4"/>
  <c r="D908" i="4"/>
  <c r="A908" i="4"/>
  <c r="E907" i="4"/>
  <c r="D907" i="4"/>
  <c r="A907" i="4"/>
  <c r="E906" i="4"/>
  <c r="D906" i="4"/>
  <c r="A906" i="4"/>
  <c r="E905" i="4"/>
  <c r="D905" i="4"/>
  <c r="A905" i="4"/>
  <c r="E904" i="4"/>
  <c r="D904" i="4"/>
  <c r="A904" i="4"/>
  <c r="E903" i="4"/>
  <c r="D903" i="4"/>
  <c r="A903" i="4"/>
  <c r="E902" i="4"/>
  <c r="D902" i="4"/>
  <c r="A902" i="4"/>
  <c r="E901" i="4"/>
  <c r="D901" i="4"/>
  <c r="A901" i="4"/>
  <c r="E900" i="4"/>
  <c r="D900" i="4"/>
  <c r="A900" i="4"/>
  <c r="E899" i="4"/>
  <c r="D899" i="4"/>
  <c r="A899" i="4"/>
  <c r="E898" i="4"/>
  <c r="D898" i="4"/>
  <c r="A898" i="4"/>
  <c r="E897" i="4"/>
  <c r="D897" i="4"/>
  <c r="A897" i="4"/>
  <c r="E896" i="4"/>
  <c r="D896" i="4"/>
  <c r="A896" i="4"/>
  <c r="E895" i="4"/>
  <c r="D895" i="4"/>
  <c r="A895" i="4"/>
  <c r="E894" i="4"/>
  <c r="D894" i="4"/>
  <c r="A894" i="4"/>
  <c r="E893" i="4"/>
  <c r="D893" i="4"/>
  <c r="A893" i="4"/>
  <c r="E892" i="4"/>
  <c r="D892" i="4"/>
  <c r="A892" i="4"/>
  <c r="E891" i="4"/>
  <c r="D891" i="4"/>
  <c r="A891" i="4"/>
  <c r="E890" i="4"/>
  <c r="D890" i="4"/>
  <c r="A890" i="4"/>
  <c r="E889" i="4"/>
  <c r="D889" i="4"/>
  <c r="A889" i="4"/>
  <c r="E888" i="4"/>
  <c r="D888" i="4"/>
  <c r="A888" i="4"/>
  <c r="E887" i="4"/>
  <c r="D887" i="4"/>
  <c r="A887" i="4"/>
  <c r="E886" i="4"/>
  <c r="D886" i="4"/>
  <c r="A886" i="4"/>
  <c r="E885" i="4"/>
  <c r="D885" i="4"/>
  <c r="A885" i="4"/>
  <c r="E884" i="4"/>
  <c r="D884" i="4"/>
  <c r="A884" i="4"/>
  <c r="E883" i="4"/>
  <c r="D883" i="4"/>
  <c r="A883" i="4"/>
  <c r="E882" i="4"/>
  <c r="D882" i="4"/>
  <c r="A882" i="4"/>
  <c r="E881" i="4"/>
  <c r="D881" i="4"/>
  <c r="A881" i="4"/>
  <c r="E880" i="4"/>
  <c r="D880" i="4"/>
  <c r="A880" i="4"/>
  <c r="E879" i="4"/>
  <c r="D879" i="4"/>
  <c r="A879" i="4"/>
  <c r="E878" i="4"/>
  <c r="D878" i="4"/>
  <c r="A878" i="4"/>
  <c r="E877" i="4"/>
  <c r="D877" i="4"/>
  <c r="A877" i="4"/>
  <c r="E876" i="4"/>
  <c r="D876" i="4"/>
  <c r="A876" i="4"/>
  <c r="E875" i="4"/>
  <c r="D875" i="4"/>
  <c r="A875" i="4"/>
  <c r="E874" i="4"/>
  <c r="D874" i="4"/>
  <c r="A874" i="4"/>
  <c r="E873" i="4"/>
  <c r="D873" i="4"/>
  <c r="A873" i="4"/>
  <c r="E872" i="4"/>
  <c r="D872" i="4"/>
  <c r="A872" i="4"/>
  <c r="E871" i="4"/>
  <c r="D871" i="4"/>
  <c r="A871" i="4"/>
  <c r="E870" i="4"/>
  <c r="D870" i="4"/>
  <c r="A870" i="4"/>
  <c r="E869" i="4"/>
  <c r="D869" i="4"/>
  <c r="A869" i="4"/>
  <c r="E868" i="4"/>
  <c r="D868" i="4"/>
  <c r="A868" i="4"/>
  <c r="E867" i="4"/>
  <c r="D867" i="4"/>
  <c r="A867" i="4"/>
  <c r="E866" i="4"/>
  <c r="D866" i="4"/>
  <c r="A866" i="4"/>
  <c r="E865" i="4"/>
  <c r="D865" i="4"/>
  <c r="A865" i="4"/>
  <c r="E864" i="4"/>
  <c r="D864" i="4"/>
  <c r="A864" i="4"/>
  <c r="E863" i="4"/>
  <c r="D863" i="4"/>
  <c r="A863" i="4"/>
  <c r="E862" i="4"/>
  <c r="D862" i="4"/>
  <c r="A862" i="4"/>
  <c r="E861" i="4"/>
  <c r="D861" i="4"/>
  <c r="A861" i="4"/>
  <c r="E860" i="4"/>
  <c r="D860" i="4"/>
  <c r="A860" i="4"/>
  <c r="E859" i="4"/>
  <c r="D859" i="4"/>
  <c r="A859" i="4"/>
  <c r="E858" i="4"/>
  <c r="D858" i="4"/>
  <c r="A858" i="4"/>
  <c r="E857" i="4"/>
  <c r="D857" i="4"/>
  <c r="A857" i="4"/>
  <c r="E856" i="4"/>
  <c r="D856" i="4"/>
  <c r="A856" i="4"/>
  <c r="E855" i="4"/>
  <c r="D855" i="4"/>
  <c r="A855" i="4"/>
  <c r="E854" i="4"/>
  <c r="D854" i="4"/>
  <c r="A854" i="4"/>
  <c r="E853" i="4"/>
  <c r="D853" i="4"/>
  <c r="A853" i="4"/>
  <c r="E852" i="4"/>
  <c r="D852" i="4"/>
  <c r="A852" i="4"/>
  <c r="E851" i="4"/>
  <c r="D851" i="4"/>
  <c r="A851" i="4"/>
  <c r="E850" i="4"/>
  <c r="D850" i="4"/>
  <c r="A850" i="4"/>
  <c r="E849" i="4"/>
  <c r="D849" i="4"/>
  <c r="A849" i="4"/>
  <c r="E848" i="4"/>
  <c r="D848" i="4"/>
  <c r="A848" i="4"/>
  <c r="E847" i="4"/>
  <c r="D847" i="4"/>
  <c r="A847" i="4"/>
  <c r="E846" i="4"/>
  <c r="D846" i="4"/>
  <c r="A846" i="4"/>
  <c r="E845" i="4"/>
  <c r="D845" i="4"/>
  <c r="A845" i="4"/>
  <c r="E844" i="4"/>
  <c r="D844" i="4"/>
  <c r="A844" i="4"/>
  <c r="E843" i="4"/>
  <c r="D843" i="4"/>
  <c r="A843" i="4"/>
  <c r="E842" i="4"/>
  <c r="D842" i="4"/>
  <c r="A842" i="4"/>
  <c r="E841" i="4"/>
  <c r="D841" i="4"/>
  <c r="A841" i="4"/>
  <c r="E840" i="4"/>
  <c r="D840" i="4"/>
  <c r="A840" i="4"/>
  <c r="E839" i="4"/>
  <c r="D839" i="4"/>
  <c r="A839" i="4"/>
  <c r="E838" i="4"/>
  <c r="D838" i="4"/>
  <c r="A838" i="4"/>
  <c r="E837" i="4"/>
  <c r="D837" i="4"/>
  <c r="A837" i="4"/>
  <c r="E836" i="4"/>
  <c r="D836" i="4"/>
  <c r="A836" i="4"/>
  <c r="E835" i="4"/>
  <c r="D835" i="4"/>
  <c r="A835" i="4"/>
  <c r="E834" i="4"/>
  <c r="D834" i="4"/>
  <c r="A834" i="4"/>
  <c r="E833" i="4"/>
  <c r="D833" i="4"/>
  <c r="A833" i="4"/>
  <c r="E832" i="4"/>
  <c r="D832" i="4"/>
  <c r="A832" i="4"/>
  <c r="E831" i="4"/>
  <c r="D831" i="4"/>
  <c r="A831" i="4"/>
  <c r="E830" i="4"/>
  <c r="D830" i="4"/>
  <c r="A830" i="4"/>
  <c r="E829" i="4"/>
  <c r="D829" i="4"/>
  <c r="A829" i="4"/>
  <c r="E828" i="4"/>
  <c r="D828" i="4"/>
  <c r="A828" i="4"/>
  <c r="E827" i="4"/>
  <c r="D827" i="4"/>
  <c r="A827" i="4"/>
  <c r="E826" i="4"/>
  <c r="D826" i="4"/>
  <c r="A826" i="4"/>
  <c r="E825" i="4"/>
  <c r="D825" i="4"/>
  <c r="A825" i="4"/>
  <c r="E824" i="4"/>
  <c r="D824" i="4"/>
  <c r="A824" i="4"/>
  <c r="E823" i="4"/>
  <c r="D823" i="4"/>
  <c r="A823" i="4"/>
  <c r="E822" i="4"/>
  <c r="D822" i="4"/>
  <c r="A822" i="4"/>
  <c r="E821" i="4"/>
  <c r="D821" i="4"/>
  <c r="A821" i="4"/>
  <c r="E820" i="4"/>
  <c r="D820" i="4"/>
  <c r="A820" i="4"/>
  <c r="E819" i="4"/>
  <c r="D819" i="4"/>
  <c r="A819" i="4"/>
  <c r="E818" i="4"/>
  <c r="D818" i="4"/>
  <c r="A818" i="4"/>
  <c r="E817" i="4"/>
  <c r="D817" i="4"/>
  <c r="A817" i="4"/>
  <c r="E816" i="4"/>
  <c r="D816" i="4"/>
  <c r="A816" i="4"/>
  <c r="E815" i="4"/>
  <c r="D815" i="4"/>
  <c r="A815" i="4"/>
  <c r="E814" i="4"/>
  <c r="D814" i="4"/>
  <c r="A814" i="4"/>
  <c r="E813" i="4"/>
  <c r="D813" i="4"/>
  <c r="A813" i="4"/>
  <c r="E812" i="4"/>
  <c r="D812" i="4"/>
  <c r="A812" i="4"/>
  <c r="E811" i="4"/>
  <c r="D811" i="4"/>
  <c r="A811" i="4"/>
  <c r="E810" i="4"/>
  <c r="D810" i="4"/>
  <c r="A810" i="4"/>
  <c r="E809" i="4"/>
  <c r="D809" i="4"/>
  <c r="A809" i="4"/>
  <c r="E808" i="4"/>
  <c r="D808" i="4"/>
  <c r="A808" i="4"/>
  <c r="E807" i="4"/>
  <c r="D807" i="4"/>
  <c r="A807" i="4"/>
  <c r="E806" i="4"/>
  <c r="D806" i="4"/>
  <c r="A806" i="4"/>
  <c r="E805" i="4"/>
  <c r="D805" i="4"/>
  <c r="A805" i="4"/>
  <c r="E804" i="4"/>
  <c r="D804" i="4"/>
  <c r="A804" i="4"/>
  <c r="E803" i="4"/>
  <c r="D803" i="4"/>
  <c r="A803" i="4"/>
  <c r="E802" i="4"/>
  <c r="D802" i="4"/>
  <c r="A802" i="4"/>
  <c r="E801" i="4"/>
  <c r="D801" i="4"/>
  <c r="A801" i="4"/>
  <c r="E800" i="4"/>
  <c r="D800" i="4"/>
  <c r="A800" i="4"/>
  <c r="E799" i="4"/>
  <c r="D799" i="4"/>
  <c r="A799" i="4"/>
  <c r="E798" i="4"/>
  <c r="D798" i="4"/>
  <c r="A798" i="4"/>
  <c r="E797" i="4"/>
  <c r="D797" i="4"/>
  <c r="A797" i="4"/>
  <c r="E796" i="4"/>
  <c r="D796" i="4"/>
  <c r="A796" i="4"/>
  <c r="E795" i="4"/>
  <c r="D795" i="4"/>
  <c r="A795" i="4"/>
  <c r="E794" i="4"/>
  <c r="D794" i="4"/>
  <c r="A794" i="4"/>
  <c r="E793" i="4"/>
  <c r="D793" i="4"/>
  <c r="A793" i="4"/>
  <c r="E792" i="4"/>
  <c r="D792" i="4"/>
  <c r="A792" i="4"/>
  <c r="E791" i="4"/>
  <c r="D791" i="4"/>
  <c r="A791" i="4"/>
  <c r="E790" i="4"/>
  <c r="D790" i="4"/>
  <c r="A790" i="4"/>
  <c r="E789" i="4"/>
  <c r="D789" i="4"/>
  <c r="A789" i="4"/>
  <c r="E788" i="4"/>
  <c r="D788" i="4"/>
  <c r="A788" i="4"/>
  <c r="E787" i="4"/>
  <c r="D787" i="4"/>
  <c r="A787" i="4"/>
  <c r="E786" i="4"/>
  <c r="D786" i="4"/>
  <c r="A786" i="4"/>
  <c r="E785" i="4"/>
  <c r="D785" i="4"/>
  <c r="A785" i="4"/>
  <c r="E784" i="4"/>
  <c r="D784" i="4"/>
  <c r="A784" i="4"/>
  <c r="E783" i="4"/>
  <c r="D783" i="4"/>
  <c r="A783" i="4"/>
  <c r="E782" i="4"/>
  <c r="D782" i="4"/>
  <c r="A782" i="4"/>
  <c r="E781" i="4"/>
  <c r="D781" i="4"/>
  <c r="A781" i="4"/>
  <c r="E780" i="4"/>
  <c r="D780" i="4"/>
  <c r="A780" i="4"/>
  <c r="E779" i="4"/>
  <c r="D779" i="4"/>
  <c r="A779" i="4"/>
  <c r="E778" i="4"/>
  <c r="D778" i="4"/>
  <c r="A778" i="4"/>
  <c r="E777" i="4"/>
  <c r="D777" i="4"/>
  <c r="A777" i="4"/>
  <c r="E776" i="4"/>
  <c r="D776" i="4"/>
  <c r="A776" i="4"/>
  <c r="E775" i="4"/>
  <c r="D775" i="4"/>
  <c r="A775" i="4"/>
  <c r="E774" i="4"/>
  <c r="D774" i="4"/>
  <c r="A774" i="4"/>
  <c r="E773" i="4"/>
  <c r="D773" i="4"/>
  <c r="A773" i="4"/>
  <c r="E772" i="4"/>
  <c r="D772" i="4"/>
  <c r="A772" i="4"/>
  <c r="E771" i="4"/>
  <c r="D771" i="4"/>
  <c r="A771" i="4"/>
  <c r="E770" i="4"/>
  <c r="D770" i="4"/>
  <c r="A770" i="4"/>
  <c r="E769" i="4"/>
  <c r="D769" i="4"/>
  <c r="A769" i="4"/>
  <c r="E768" i="4"/>
  <c r="D768" i="4"/>
  <c r="A768" i="4"/>
  <c r="E767" i="4"/>
  <c r="D767" i="4"/>
  <c r="A767" i="4"/>
  <c r="E766" i="4"/>
  <c r="D766" i="4"/>
  <c r="A766" i="4"/>
  <c r="E765" i="4"/>
  <c r="D765" i="4"/>
  <c r="A765" i="4"/>
  <c r="E764" i="4"/>
  <c r="D764" i="4"/>
  <c r="A764" i="4"/>
  <c r="E763" i="4"/>
  <c r="D763" i="4"/>
  <c r="A763" i="4"/>
  <c r="E762" i="4"/>
  <c r="D762" i="4"/>
  <c r="A762" i="4"/>
  <c r="E761" i="4"/>
  <c r="D761" i="4"/>
  <c r="A761" i="4"/>
  <c r="E760" i="4"/>
  <c r="D760" i="4"/>
  <c r="A760" i="4"/>
  <c r="E759" i="4"/>
  <c r="D759" i="4"/>
  <c r="A759" i="4"/>
  <c r="E758" i="4"/>
  <c r="D758" i="4"/>
  <c r="A758" i="4"/>
  <c r="E757" i="4"/>
  <c r="D757" i="4"/>
  <c r="A757" i="4"/>
  <c r="E756" i="4"/>
  <c r="D756" i="4"/>
  <c r="A756" i="4"/>
  <c r="E755" i="4"/>
  <c r="D755" i="4"/>
  <c r="A755" i="4"/>
  <c r="E754" i="4"/>
  <c r="D754" i="4"/>
  <c r="A754" i="4"/>
  <c r="E753" i="4"/>
  <c r="D753" i="4"/>
  <c r="A753" i="4"/>
  <c r="E752" i="4"/>
  <c r="D752" i="4"/>
  <c r="A752" i="4"/>
  <c r="E751" i="4"/>
  <c r="D751" i="4"/>
  <c r="A751" i="4"/>
  <c r="E750" i="4"/>
  <c r="D750" i="4"/>
  <c r="A750" i="4"/>
  <c r="E749" i="4"/>
  <c r="D749" i="4"/>
  <c r="A749" i="4"/>
  <c r="E748" i="4"/>
  <c r="D748" i="4"/>
  <c r="A748" i="4"/>
  <c r="E747" i="4"/>
  <c r="D747" i="4"/>
  <c r="A747" i="4"/>
  <c r="E746" i="4"/>
  <c r="D746" i="4"/>
  <c r="A746" i="4"/>
  <c r="E745" i="4"/>
  <c r="D745" i="4"/>
  <c r="A745" i="4"/>
  <c r="E744" i="4"/>
  <c r="D744" i="4"/>
  <c r="A744" i="4"/>
  <c r="E743" i="4"/>
  <c r="D743" i="4"/>
  <c r="A743" i="4"/>
  <c r="E742" i="4"/>
  <c r="D742" i="4"/>
  <c r="A742" i="4"/>
  <c r="E741" i="4"/>
  <c r="D741" i="4"/>
  <c r="A741" i="4"/>
  <c r="E740" i="4"/>
  <c r="D740" i="4"/>
  <c r="A740" i="4"/>
  <c r="E739" i="4"/>
  <c r="D739" i="4"/>
  <c r="A739" i="4"/>
  <c r="E738" i="4"/>
  <c r="D738" i="4"/>
  <c r="A738" i="4"/>
  <c r="E737" i="4"/>
  <c r="D737" i="4"/>
  <c r="A737" i="4"/>
  <c r="E736" i="4"/>
  <c r="D736" i="4"/>
  <c r="A736" i="4"/>
  <c r="E735" i="4"/>
  <c r="D735" i="4"/>
  <c r="A735" i="4"/>
  <c r="E734" i="4"/>
  <c r="D734" i="4"/>
  <c r="A734" i="4"/>
  <c r="E733" i="4"/>
  <c r="D733" i="4"/>
  <c r="A733" i="4"/>
  <c r="E732" i="4"/>
  <c r="D732" i="4"/>
  <c r="A732" i="4"/>
  <c r="E731" i="4"/>
  <c r="D731" i="4"/>
  <c r="A731" i="4"/>
  <c r="E730" i="4"/>
  <c r="D730" i="4"/>
  <c r="A730" i="4"/>
  <c r="E729" i="4"/>
  <c r="D729" i="4"/>
  <c r="A729" i="4"/>
  <c r="E728" i="4"/>
  <c r="D728" i="4"/>
  <c r="A728" i="4"/>
  <c r="E727" i="4"/>
  <c r="D727" i="4"/>
  <c r="A727" i="4"/>
  <c r="E726" i="4"/>
  <c r="D726" i="4"/>
  <c r="A726" i="4"/>
  <c r="E725" i="4"/>
  <c r="D725" i="4"/>
  <c r="A725" i="4"/>
  <c r="E724" i="4"/>
  <c r="D724" i="4"/>
  <c r="A724" i="4"/>
  <c r="E723" i="4"/>
  <c r="D723" i="4"/>
  <c r="A723" i="4"/>
  <c r="E722" i="4"/>
  <c r="D722" i="4"/>
  <c r="A722" i="4"/>
  <c r="E721" i="4"/>
  <c r="D721" i="4"/>
  <c r="A721" i="4"/>
  <c r="E720" i="4"/>
  <c r="D720" i="4"/>
  <c r="A720" i="4"/>
  <c r="E719" i="4"/>
  <c r="D719" i="4"/>
  <c r="A719" i="4"/>
  <c r="E718" i="4"/>
  <c r="D718" i="4"/>
  <c r="A718" i="4"/>
  <c r="E717" i="4"/>
  <c r="D717" i="4"/>
  <c r="A717" i="4"/>
  <c r="E716" i="4"/>
  <c r="D716" i="4"/>
  <c r="A716" i="4"/>
  <c r="E715" i="4"/>
  <c r="D715" i="4"/>
  <c r="A715" i="4"/>
  <c r="E714" i="4"/>
  <c r="D714" i="4"/>
  <c r="A714" i="4"/>
  <c r="E713" i="4"/>
  <c r="D713" i="4"/>
  <c r="A713" i="4"/>
  <c r="E712" i="4"/>
  <c r="D712" i="4"/>
  <c r="A712" i="4"/>
  <c r="E711" i="4"/>
  <c r="D711" i="4"/>
  <c r="A711" i="4"/>
  <c r="E710" i="4"/>
  <c r="D710" i="4"/>
  <c r="A710" i="4"/>
  <c r="E709" i="4"/>
  <c r="D709" i="4"/>
  <c r="A709" i="4"/>
  <c r="E708" i="4"/>
  <c r="D708" i="4"/>
  <c r="A708" i="4"/>
  <c r="E707" i="4"/>
  <c r="D707" i="4"/>
  <c r="A707" i="4"/>
  <c r="E706" i="4"/>
  <c r="D706" i="4"/>
  <c r="A706" i="4"/>
  <c r="E705" i="4"/>
  <c r="D705" i="4"/>
  <c r="A705" i="4"/>
  <c r="E704" i="4"/>
  <c r="D704" i="4"/>
  <c r="A704" i="4"/>
  <c r="E703" i="4"/>
  <c r="D703" i="4"/>
  <c r="A703" i="4"/>
  <c r="E702" i="4"/>
  <c r="D702" i="4"/>
  <c r="A702" i="4"/>
  <c r="E701" i="4"/>
  <c r="D701" i="4"/>
  <c r="A701" i="4"/>
  <c r="E700" i="4"/>
  <c r="D700" i="4"/>
  <c r="A700" i="4"/>
  <c r="E699" i="4"/>
  <c r="D699" i="4"/>
  <c r="A699" i="4"/>
  <c r="E698" i="4"/>
  <c r="D698" i="4"/>
  <c r="A698" i="4"/>
  <c r="E697" i="4"/>
  <c r="D697" i="4"/>
  <c r="A697" i="4"/>
  <c r="E696" i="4"/>
  <c r="D696" i="4"/>
  <c r="A696" i="4"/>
  <c r="E695" i="4"/>
  <c r="D695" i="4"/>
  <c r="A695" i="4"/>
  <c r="E694" i="4"/>
  <c r="D694" i="4"/>
  <c r="A694" i="4"/>
  <c r="E693" i="4"/>
  <c r="D693" i="4"/>
  <c r="A693" i="4"/>
  <c r="E692" i="4"/>
  <c r="D692" i="4"/>
  <c r="A692" i="4"/>
  <c r="E691" i="4"/>
  <c r="D691" i="4"/>
  <c r="A691" i="4"/>
  <c r="E690" i="4"/>
  <c r="D690" i="4"/>
  <c r="A690" i="4"/>
  <c r="E689" i="4"/>
  <c r="D689" i="4"/>
  <c r="A689" i="4"/>
  <c r="E688" i="4"/>
  <c r="D688" i="4"/>
  <c r="A688" i="4"/>
  <c r="E687" i="4"/>
  <c r="D687" i="4"/>
  <c r="A687" i="4"/>
  <c r="E686" i="4"/>
  <c r="D686" i="4"/>
  <c r="A686" i="4"/>
  <c r="E685" i="4"/>
  <c r="D685" i="4"/>
  <c r="A685" i="4"/>
  <c r="E684" i="4"/>
  <c r="D684" i="4"/>
  <c r="A684" i="4"/>
  <c r="E683" i="4"/>
  <c r="D683" i="4"/>
  <c r="A683" i="4"/>
  <c r="E682" i="4"/>
  <c r="D682" i="4"/>
  <c r="A682" i="4"/>
  <c r="E681" i="4"/>
  <c r="D681" i="4"/>
  <c r="A681" i="4"/>
  <c r="E680" i="4"/>
  <c r="D680" i="4"/>
  <c r="A680" i="4"/>
  <c r="E679" i="4"/>
  <c r="D679" i="4"/>
  <c r="A679" i="4"/>
  <c r="E678" i="4"/>
  <c r="D678" i="4"/>
  <c r="A678" i="4"/>
  <c r="E677" i="4"/>
  <c r="D677" i="4"/>
  <c r="A677" i="4"/>
  <c r="E676" i="4"/>
  <c r="D676" i="4"/>
  <c r="A676" i="4"/>
  <c r="E675" i="4"/>
  <c r="D675" i="4"/>
  <c r="A675" i="4"/>
  <c r="E674" i="4"/>
  <c r="D674" i="4"/>
  <c r="A674" i="4"/>
  <c r="E673" i="4"/>
  <c r="D673" i="4"/>
  <c r="A673" i="4"/>
  <c r="E672" i="4"/>
  <c r="D672" i="4"/>
  <c r="A672" i="4"/>
  <c r="E671" i="4"/>
  <c r="D671" i="4"/>
  <c r="A671" i="4"/>
  <c r="E670" i="4"/>
  <c r="D670" i="4"/>
  <c r="A670" i="4"/>
  <c r="E669" i="4"/>
  <c r="D669" i="4"/>
  <c r="A669" i="4"/>
  <c r="E668" i="4"/>
  <c r="D668" i="4"/>
  <c r="A668" i="4"/>
  <c r="E667" i="4"/>
  <c r="D667" i="4"/>
  <c r="A667" i="4"/>
  <c r="E666" i="4"/>
  <c r="D666" i="4"/>
  <c r="A666" i="4"/>
  <c r="E665" i="4"/>
  <c r="D665" i="4"/>
  <c r="A665" i="4"/>
  <c r="E664" i="4"/>
  <c r="D664" i="4"/>
  <c r="A664" i="4"/>
  <c r="E663" i="4"/>
  <c r="D663" i="4"/>
  <c r="A663" i="4"/>
  <c r="E662" i="4"/>
  <c r="D662" i="4"/>
  <c r="A662" i="4"/>
  <c r="E661" i="4"/>
  <c r="D661" i="4"/>
  <c r="A661" i="4"/>
  <c r="E660" i="4"/>
  <c r="D660" i="4"/>
  <c r="A660" i="4"/>
  <c r="E659" i="4"/>
  <c r="D659" i="4"/>
  <c r="A659" i="4"/>
  <c r="E658" i="4"/>
  <c r="D658" i="4"/>
  <c r="A658" i="4"/>
  <c r="E657" i="4"/>
  <c r="D657" i="4"/>
  <c r="A657" i="4"/>
  <c r="E656" i="4"/>
  <c r="D656" i="4"/>
  <c r="A656" i="4"/>
  <c r="E655" i="4"/>
  <c r="D655" i="4"/>
  <c r="A655" i="4"/>
  <c r="E654" i="4"/>
  <c r="D654" i="4"/>
  <c r="A654" i="4"/>
  <c r="E653" i="4"/>
  <c r="D653" i="4"/>
  <c r="A653" i="4"/>
  <c r="E652" i="4"/>
  <c r="D652" i="4"/>
  <c r="A652" i="4"/>
  <c r="E651" i="4"/>
  <c r="D651" i="4"/>
  <c r="A651" i="4"/>
  <c r="E650" i="4"/>
  <c r="D650" i="4"/>
  <c r="A650" i="4"/>
  <c r="E649" i="4"/>
  <c r="D649" i="4"/>
  <c r="A649" i="4"/>
  <c r="E648" i="4"/>
  <c r="D648" i="4"/>
  <c r="A648" i="4"/>
  <c r="E647" i="4"/>
  <c r="D647" i="4"/>
  <c r="A647" i="4"/>
  <c r="E646" i="4"/>
  <c r="D646" i="4"/>
  <c r="A646" i="4"/>
  <c r="E645" i="4"/>
  <c r="D645" i="4"/>
  <c r="A645" i="4"/>
  <c r="E644" i="4"/>
  <c r="D644" i="4"/>
  <c r="A644" i="4"/>
  <c r="E643" i="4"/>
  <c r="D643" i="4"/>
  <c r="A643" i="4"/>
  <c r="E642" i="4"/>
  <c r="D642" i="4"/>
  <c r="A642" i="4"/>
  <c r="E641" i="4"/>
  <c r="D641" i="4"/>
  <c r="A641" i="4"/>
  <c r="E640" i="4"/>
  <c r="D640" i="4"/>
  <c r="A640" i="4"/>
  <c r="E639" i="4"/>
  <c r="D639" i="4"/>
  <c r="A639" i="4"/>
  <c r="E638" i="4"/>
  <c r="D638" i="4"/>
  <c r="A638" i="4"/>
  <c r="E637" i="4"/>
  <c r="D637" i="4"/>
  <c r="A637" i="4"/>
  <c r="E636" i="4"/>
  <c r="D636" i="4"/>
  <c r="A636" i="4"/>
  <c r="E635" i="4"/>
  <c r="D635" i="4"/>
  <c r="A635" i="4"/>
  <c r="E634" i="4"/>
  <c r="D634" i="4"/>
  <c r="A634" i="4"/>
  <c r="E633" i="4"/>
  <c r="D633" i="4"/>
  <c r="A633" i="4"/>
  <c r="E632" i="4"/>
  <c r="D632" i="4"/>
  <c r="A632" i="4"/>
  <c r="E631" i="4"/>
  <c r="D631" i="4"/>
  <c r="A631" i="4"/>
  <c r="E630" i="4"/>
  <c r="D630" i="4"/>
  <c r="A630" i="4"/>
  <c r="E629" i="4"/>
  <c r="D629" i="4"/>
  <c r="A629" i="4"/>
  <c r="E628" i="4"/>
  <c r="D628" i="4"/>
  <c r="A628" i="4"/>
  <c r="E627" i="4"/>
  <c r="D627" i="4"/>
  <c r="A627" i="4"/>
  <c r="E626" i="4"/>
  <c r="D626" i="4"/>
  <c r="A626" i="4"/>
  <c r="E625" i="4"/>
  <c r="D625" i="4"/>
  <c r="A625" i="4"/>
  <c r="E624" i="4"/>
  <c r="D624" i="4"/>
  <c r="A624" i="4"/>
  <c r="E623" i="4"/>
  <c r="D623" i="4"/>
  <c r="A623" i="4"/>
  <c r="E622" i="4"/>
  <c r="D622" i="4"/>
  <c r="A622" i="4"/>
  <c r="E621" i="4"/>
  <c r="D621" i="4"/>
  <c r="A621" i="4"/>
  <c r="E620" i="4"/>
  <c r="D620" i="4"/>
  <c r="A620" i="4"/>
  <c r="E619" i="4"/>
  <c r="D619" i="4"/>
  <c r="A619" i="4"/>
  <c r="E618" i="4"/>
  <c r="D618" i="4"/>
  <c r="A618" i="4"/>
  <c r="E617" i="4"/>
  <c r="D617" i="4"/>
  <c r="A617" i="4"/>
  <c r="E616" i="4"/>
  <c r="D616" i="4"/>
  <c r="A616" i="4"/>
  <c r="E615" i="4"/>
  <c r="D615" i="4"/>
  <c r="A615" i="4"/>
  <c r="E614" i="4"/>
  <c r="D614" i="4"/>
  <c r="A614" i="4"/>
  <c r="E613" i="4"/>
  <c r="D613" i="4"/>
  <c r="A613" i="4"/>
  <c r="E612" i="4"/>
  <c r="D612" i="4"/>
  <c r="A612" i="4"/>
  <c r="E611" i="4"/>
  <c r="D611" i="4"/>
  <c r="A611" i="4"/>
  <c r="E610" i="4"/>
  <c r="D610" i="4"/>
  <c r="A610" i="4"/>
  <c r="E609" i="4"/>
  <c r="D609" i="4"/>
  <c r="A609" i="4"/>
  <c r="E608" i="4"/>
  <c r="D608" i="4"/>
  <c r="A608" i="4"/>
  <c r="E607" i="4"/>
  <c r="D607" i="4"/>
  <c r="A607" i="4"/>
  <c r="E606" i="4"/>
  <c r="D606" i="4"/>
  <c r="A606" i="4"/>
  <c r="E605" i="4"/>
  <c r="D605" i="4"/>
  <c r="A605" i="4"/>
  <c r="E604" i="4"/>
  <c r="D604" i="4"/>
  <c r="A604" i="4"/>
  <c r="E603" i="4"/>
  <c r="D603" i="4"/>
  <c r="A603" i="4"/>
  <c r="E602" i="4"/>
  <c r="D602" i="4"/>
  <c r="A602" i="4"/>
  <c r="E601" i="4"/>
  <c r="D601" i="4"/>
  <c r="A601" i="4"/>
  <c r="E600" i="4"/>
  <c r="D600" i="4"/>
  <c r="A600" i="4"/>
  <c r="E599" i="4"/>
  <c r="D599" i="4"/>
  <c r="A599" i="4"/>
  <c r="E598" i="4"/>
  <c r="D598" i="4"/>
  <c r="A598" i="4"/>
  <c r="E597" i="4"/>
  <c r="D597" i="4"/>
  <c r="A597" i="4"/>
  <c r="E596" i="4"/>
  <c r="D596" i="4"/>
  <c r="A596" i="4"/>
  <c r="E595" i="4"/>
  <c r="D595" i="4"/>
  <c r="A595" i="4"/>
  <c r="E594" i="4"/>
  <c r="D594" i="4"/>
  <c r="A594" i="4"/>
  <c r="E593" i="4"/>
  <c r="D593" i="4"/>
  <c r="A593" i="4"/>
  <c r="E592" i="4"/>
  <c r="D592" i="4"/>
  <c r="A592" i="4"/>
  <c r="E591" i="4"/>
  <c r="D591" i="4"/>
  <c r="A591" i="4"/>
  <c r="E590" i="4"/>
  <c r="D590" i="4"/>
  <c r="A590" i="4"/>
  <c r="E589" i="4"/>
  <c r="D589" i="4"/>
  <c r="A589" i="4"/>
  <c r="E588" i="4"/>
  <c r="D588" i="4"/>
  <c r="A588" i="4"/>
  <c r="E587" i="4"/>
  <c r="D587" i="4"/>
  <c r="A587" i="4"/>
  <c r="E586" i="4"/>
  <c r="D586" i="4"/>
  <c r="A586" i="4"/>
  <c r="E585" i="4"/>
  <c r="D585" i="4"/>
  <c r="A585" i="4"/>
  <c r="E584" i="4"/>
  <c r="D584" i="4"/>
  <c r="A584" i="4"/>
  <c r="E583" i="4"/>
  <c r="D583" i="4"/>
  <c r="A583" i="4"/>
  <c r="E582" i="4"/>
  <c r="D582" i="4"/>
  <c r="A582" i="4"/>
  <c r="E581" i="4"/>
  <c r="D581" i="4"/>
  <c r="A581" i="4"/>
  <c r="E580" i="4"/>
  <c r="D580" i="4"/>
  <c r="A580" i="4"/>
  <c r="E579" i="4"/>
  <c r="D579" i="4"/>
  <c r="A579" i="4"/>
  <c r="E578" i="4"/>
  <c r="D578" i="4"/>
  <c r="A578" i="4"/>
  <c r="E577" i="4"/>
  <c r="D577" i="4"/>
  <c r="A577" i="4"/>
  <c r="E576" i="4"/>
  <c r="D576" i="4"/>
  <c r="A576" i="4"/>
  <c r="E575" i="4"/>
  <c r="D575" i="4"/>
  <c r="A575" i="4"/>
  <c r="E574" i="4"/>
  <c r="D574" i="4"/>
  <c r="A574" i="4"/>
  <c r="E573" i="4"/>
  <c r="D573" i="4"/>
  <c r="A573" i="4"/>
  <c r="E572" i="4"/>
  <c r="D572" i="4"/>
  <c r="A572" i="4"/>
  <c r="E571" i="4"/>
  <c r="D571" i="4"/>
  <c r="A571" i="4"/>
  <c r="E570" i="4"/>
  <c r="D570" i="4"/>
  <c r="A570" i="4"/>
  <c r="E569" i="4"/>
  <c r="D569" i="4"/>
  <c r="A569" i="4"/>
  <c r="E568" i="4"/>
  <c r="D568" i="4"/>
  <c r="A568" i="4"/>
  <c r="E567" i="4"/>
  <c r="D567" i="4"/>
  <c r="A567" i="4"/>
  <c r="E566" i="4"/>
  <c r="D566" i="4"/>
  <c r="A566" i="4"/>
  <c r="E565" i="4"/>
  <c r="D565" i="4"/>
  <c r="A565" i="4"/>
  <c r="E564" i="4"/>
  <c r="D564" i="4"/>
  <c r="A564" i="4"/>
  <c r="E563" i="4"/>
  <c r="D563" i="4"/>
  <c r="A563" i="4"/>
  <c r="E562" i="4"/>
  <c r="D562" i="4"/>
  <c r="A562" i="4"/>
  <c r="E561" i="4"/>
  <c r="D561" i="4"/>
  <c r="A561" i="4"/>
  <c r="E560" i="4"/>
  <c r="D560" i="4"/>
  <c r="A560" i="4"/>
  <c r="E559" i="4"/>
  <c r="D559" i="4"/>
  <c r="A559" i="4"/>
  <c r="E558" i="4"/>
  <c r="D558" i="4"/>
  <c r="A558" i="4"/>
  <c r="E557" i="4"/>
  <c r="D557" i="4"/>
  <c r="A557" i="4"/>
  <c r="E556" i="4"/>
  <c r="D556" i="4"/>
  <c r="A556" i="4"/>
  <c r="E555" i="4"/>
  <c r="D555" i="4"/>
  <c r="A555" i="4"/>
  <c r="E554" i="4"/>
  <c r="D554" i="4"/>
  <c r="A554" i="4"/>
  <c r="E553" i="4"/>
  <c r="D553" i="4"/>
  <c r="A553" i="4"/>
  <c r="E552" i="4"/>
  <c r="D552" i="4"/>
  <c r="A552" i="4"/>
  <c r="E551" i="4"/>
  <c r="D551" i="4"/>
  <c r="A551" i="4"/>
  <c r="E550" i="4"/>
  <c r="D550" i="4"/>
  <c r="A550" i="4"/>
  <c r="E549" i="4"/>
  <c r="D549" i="4"/>
  <c r="A549" i="4"/>
  <c r="E548" i="4"/>
  <c r="D548" i="4"/>
  <c r="A548" i="4"/>
  <c r="E547" i="4"/>
  <c r="D547" i="4"/>
  <c r="A547" i="4"/>
  <c r="E546" i="4"/>
  <c r="D546" i="4"/>
  <c r="A546" i="4"/>
  <c r="E545" i="4"/>
  <c r="D545" i="4"/>
  <c r="A545" i="4"/>
  <c r="E544" i="4"/>
  <c r="D544" i="4"/>
  <c r="A544" i="4"/>
  <c r="E543" i="4"/>
  <c r="D543" i="4"/>
  <c r="A543" i="4"/>
  <c r="E542" i="4"/>
  <c r="D542" i="4"/>
  <c r="A542" i="4"/>
  <c r="E541" i="4"/>
  <c r="D541" i="4"/>
  <c r="A541" i="4"/>
  <c r="E540" i="4"/>
  <c r="D540" i="4"/>
  <c r="A540" i="4"/>
  <c r="E539" i="4"/>
  <c r="D539" i="4"/>
  <c r="A539" i="4"/>
  <c r="E538" i="4"/>
  <c r="D538" i="4"/>
  <c r="A538" i="4"/>
  <c r="E537" i="4"/>
  <c r="D537" i="4"/>
  <c r="A537" i="4"/>
  <c r="E536" i="4"/>
  <c r="D536" i="4"/>
  <c r="A536" i="4"/>
  <c r="E535" i="4"/>
  <c r="D535" i="4"/>
  <c r="A535" i="4"/>
  <c r="E534" i="4"/>
  <c r="D534" i="4"/>
  <c r="A534" i="4"/>
  <c r="E533" i="4"/>
  <c r="D533" i="4"/>
  <c r="A533" i="4"/>
  <c r="E532" i="4"/>
  <c r="D532" i="4"/>
  <c r="A532" i="4"/>
  <c r="E531" i="4"/>
  <c r="D531" i="4"/>
  <c r="A531" i="4"/>
  <c r="E530" i="4"/>
  <c r="D530" i="4"/>
  <c r="A530" i="4"/>
  <c r="E529" i="4"/>
  <c r="D529" i="4"/>
  <c r="A529" i="4"/>
  <c r="E528" i="4"/>
  <c r="D528" i="4"/>
  <c r="A528" i="4"/>
  <c r="E527" i="4"/>
  <c r="D527" i="4"/>
  <c r="A527" i="4"/>
  <c r="E526" i="4"/>
  <c r="D526" i="4"/>
  <c r="A526" i="4"/>
  <c r="E525" i="4"/>
  <c r="D525" i="4"/>
  <c r="A525" i="4"/>
  <c r="E524" i="4"/>
  <c r="D524" i="4"/>
  <c r="A524" i="4"/>
  <c r="E523" i="4"/>
  <c r="D523" i="4"/>
  <c r="A523" i="4"/>
  <c r="E522" i="4"/>
  <c r="D522" i="4"/>
  <c r="A522" i="4"/>
  <c r="E521" i="4"/>
  <c r="D521" i="4"/>
  <c r="A521" i="4"/>
  <c r="E520" i="4"/>
  <c r="D520" i="4"/>
  <c r="A520" i="4"/>
  <c r="E519" i="4"/>
  <c r="D519" i="4"/>
  <c r="A519" i="4"/>
  <c r="E518" i="4"/>
  <c r="D518" i="4"/>
  <c r="A518" i="4"/>
  <c r="E517" i="4"/>
  <c r="D517" i="4"/>
  <c r="A517" i="4"/>
  <c r="E516" i="4"/>
  <c r="D516" i="4"/>
  <c r="A516" i="4"/>
  <c r="E515" i="4"/>
  <c r="D515" i="4"/>
  <c r="A515" i="4"/>
  <c r="E514" i="4"/>
  <c r="D514" i="4"/>
  <c r="A514" i="4"/>
  <c r="E513" i="4"/>
  <c r="D513" i="4"/>
  <c r="A513" i="4"/>
  <c r="E512" i="4"/>
  <c r="D512" i="4"/>
  <c r="A512" i="4"/>
  <c r="E511" i="4"/>
  <c r="D511" i="4"/>
  <c r="A511" i="4"/>
  <c r="E510" i="4"/>
  <c r="D510" i="4"/>
  <c r="A510" i="4"/>
  <c r="E509" i="4"/>
  <c r="D509" i="4"/>
  <c r="A509" i="4"/>
  <c r="E508" i="4"/>
  <c r="D508" i="4"/>
  <c r="A508" i="4"/>
  <c r="E507" i="4"/>
  <c r="D507" i="4"/>
  <c r="A507" i="4"/>
  <c r="E506" i="4"/>
  <c r="D506" i="4"/>
  <c r="A506" i="4"/>
  <c r="E505" i="4"/>
  <c r="D505" i="4"/>
  <c r="A505" i="4"/>
  <c r="E504" i="4"/>
  <c r="D504" i="4"/>
  <c r="A504" i="4"/>
  <c r="E503" i="4"/>
  <c r="D503" i="4"/>
  <c r="A503" i="4"/>
  <c r="E502" i="4"/>
  <c r="D502" i="4"/>
  <c r="A502" i="4"/>
  <c r="E501" i="4"/>
  <c r="D501" i="4"/>
  <c r="A501" i="4"/>
  <c r="E500" i="4"/>
  <c r="D500" i="4"/>
  <c r="A500" i="4"/>
  <c r="E499" i="4"/>
  <c r="D499" i="4"/>
  <c r="A499" i="4"/>
  <c r="E498" i="4"/>
  <c r="D498" i="4"/>
  <c r="A498" i="4"/>
  <c r="E497" i="4"/>
  <c r="D497" i="4"/>
  <c r="A497" i="4"/>
  <c r="E496" i="4"/>
  <c r="D496" i="4"/>
  <c r="A496" i="4"/>
  <c r="E495" i="4"/>
  <c r="D495" i="4"/>
  <c r="A495" i="4"/>
  <c r="E494" i="4"/>
  <c r="D494" i="4"/>
  <c r="A494" i="4"/>
  <c r="E493" i="4"/>
  <c r="D493" i="4"/>
  <c r="A493" i="4"/>
  <c r="E492" i="4"/>
  <c r="D492" i="4"/>
  <c r="A492" i="4"/>
  <c r="E491" i="4"/>
  <c r="D491" i="4"/>
  <c r="A491" i="4"/>
  <c r="E490" i="4"/>
  <c r="D490" i="4"/>
  <c r="A490" i="4"/>
  <c r="E489" i="4"/>
  <c r="D489" i="4"/>
  <c r="A489" i="4"/>
  <c r="E488" i="4"/>
  <c r="D488" i="4"/>
  <c r="A488" i="4"/>
  <c r="E487" i="4"/>
  <c r="D487" i="4"/>
  <c r="A487" i="4"/>
  <c r="E486" i="4"/>
  <c r="D486" i="4"/>
  <c r="A486" i="4"/>
  <c r="E485" i="4"/>
  <c r="D485" i="4"/>
  <c r="A485" i="4"/>
  <c r="E484" i="4"/>
  <c r="D484" i="4"/>
  <c r="A484" i="4"/>
  <c r="E483" i="4"/>
  <c r="D483" i="4"/>
  <c r="A483" i="4"/>
  <c r="E482" i="4"/>
  <c r="D482" i="4"/>
  <c r="A482" i="4"/>
  <c r="E481" i="4"/>
  <c r="D481" i="4"/>
  <c r="A481" i="4"/>
  <c r="E480" i="4"/>
  <c r="D480" i="4"/>
  <c r="A480" i="4"/>
  <c r="E479" i="4"/>
  <c r="D479" i="4"/>
  <c r="A479" i="4"/>
  <c r="E478" i="4"/>
  <c r="D478" i="4"/>
  <c r="A478" i="4"/>
  <c r="E477" i="4"/>
  <c r="D477" i="4"/>
  <c r="A477" i="4"/>
  <c r="E476" i="4"/>
  <c r="D476" i="4"/>
  <c r="A476" i="4"/>
  <c r="E475" i="4"/>
  <c r="D475" i="4"/>
  <c r="A475" i="4"/>
  <c r="E474" i="4"/>
  <c r="D474" i="4"/>
  <c r="A474" i="4"/>
  <c r="E473" i="4"/>
  <c r="D473" i="4"/>
  <c r="A473" i="4"/>
  <c r="E472" i="4"/>
  <c r="D472" i="4"/>
  <c r="A472" i="4"/>
  <c r="E471" i="4"/>
  <c r="D471" i="4"/>
  <c r="A471" i="4"/>
  <c r="E470" i="4"/>
  <c r="D470" i="4"/>
  <c r="A470" i="4"/>
  <c r="E469" i="4"/>
  <c r="D469" i="4"/>
  <c r="A469" i="4"/>
  <c r="E468" i="4"/>
  <c r="D468" i="4"/>
  <c r="A468" i="4"/>
  <c r="E467" i="4"/>
  <c r="D467" i="4"/>
  <c r="A467" i="4"/>
  <c r="E466" i="4"/>
  <c r="D466" i="4"/>
  <c r="A466" i="4"/>
  <c r="E465" i="4"/>
  <c r="D465" i="4"/>
  <c r="A465" i="4"/>
  <c r="E464" i="4"/>
  <c r="D464" i="4"/>
  <c r="A464" i="4"/>
  <c r="E463" i="4"/>
  <c r="D463" i="4"/>
  <c r="A463" i="4"/>
  <c r="E462" i="4"/>
  <c r="D462" i="4"/>
  <c r="A462" i="4"/>
  <c r="E461" i="4"/>
  <c r="D461" i="4"/>
  <c r="A461" i="4"/>
  <c r="E460" i="4"/>
  <c r="D460" i="4"/>
  <c r="A460" i="4"/>
  <c r="E459" i="4"/>
  <c r="D459" i="4"/>
  <c r="A459" i="4"/>
  <c r="E458" i="4"/>
  <c r="D458" i="4"/>
  <c r="A458" i="4"/>
  <c r="E457" i="4"/>
  <c r="D457" i="4"/>
  <c r="A457" i="4"/>
  <c r="E456" i="4"/>
  <c r="D456" i="4"/>
  <c r="A456" i="4"/>
  <c r="E455" i="4"/>
  <c r="D455" i="4"/>
  <c r="A455" i="4"/>
  <c r="E454" i="4"/>
  <c r="D454" i="4"/>
  <c r="A454" i="4"/>
  <c r="E453" i="4"/>
  <c r="D453" i="4"/>
  <c r="A453" i="4"/>
  <c r="E452" i="4"/>
  <c r="D452" i="4"/>
  <c r="A452" i="4"/>
  <c r="E451" i="4"/>
  <c r="D451" i="4"/>
  <c r="A451" i="4"/>
  <c r="E450" i="4"/>
  <c r="D450" i="4"/>
  <c r="A450" i="4"/>
  <c r="E449" i="4"/>
  <c r="D449" i="4"/>
  <c r="A449" i="4"/>
  <c r="E448" i="4"/>
  <c r="D448" i="4"/>
  <c r="A448" i="4"/>
  <c r="E447" i="4"/>
  <c r="D447" i="4"/>
  <c r="A447" i="4"/>
  <c r="E446" i="4"/>
  <c r="D446" i="4"/>
  <c r="A446" i="4"/>
  <c r="E445" i="4"/>
  <c r="D445" i="4"/>
  <c r="A445" i="4"/>
  <c r="E444" i="4"/>
  <c r="D444" i="4"/>
  <c r="A444" i="4"/>
  <c r="E443" i="4"/>
  <c r="D443" i="4"/>
  <c r="A443" i="4"/>
  <c r="E442" i="4"/>
  <c r="D442" i="4"/>
  <c r="A442" i="4"/>
  <c r="E441" i="4"/>
  <c r="D441" i="4"/>
  <c r="A441" i="4"/>
  <c r="E440" i="4"/>
  <c r="D440" i="4"/>
  <c r="A440" i="4"/>
  <c r="E439" i="4"/>
  <c r="D439" i="4"/>
  <c r="A439" i="4"/>
  <c r="E438" i="4"/>
  <c r="D438" i="4"/>
  <c r="A438" i="4"/>
  <c r="E437" i="4"/>
  <c r="D437" i="4"/>
  <c r="A437" i="4"/>
  <c r="E436" i="4"/>
  <c r="D436" i="4"/>
  <c r="A436" i="4"/>
  <c r="E435" i="4"/>
  <c r="D435" i="4"/>
  <c r="A435" i="4"/>
  <c r="E434" i="4"/>
  <c r="D434" i="4"/>
  <c r="A434" i="4"/>
  <c r="E433" i="4"/>
  <c r="D433" i="4"/>
  <c r="A433" i="4"/>
  <c r="E432" i="4"/>
  <c r="D432" i="4"/>
  <c r="A432" i="4"/>
  <c r="E431" i="4"/>
  <c r="D431" i="4"/>
  <c r="A431" i="4"/>
  <c r="E430" i="4"/>
  <c r="D430" i="4"/>
  <c r="A430" i="4"/>
  <c r="E429" i="4"/>
  <c r="D429" i="4"/>
  <c r="A429" i="4"/>
  <c r="E428" i="4"/>
  <c r="D428" i="4"/>
  <c r="A428" i="4"/>
  <c r="E427" i="4"/>
  <c r="D427" i="4"/>
  <c r="A427" i="4"/>
  <c r="E426" i="4"/>
  <c r="D426" i="4"/>
  <c r="A426" i="4"/>
  <c r="E425" i="4"/>
  <c r="D425" i="4"/>
  <c r="A425" i="4"/>
  <c r="E424" i="4"/>
  <c r="D424" i="4"/>
  <c r="A424" i="4"/>
  <c r="E423" i="4"/>
  <c r="D423" i="4"/>
  <c r="A423" i="4"/>
  <c r="E422" i="4"/>
  <c r="D422" i="4"/>
  <c r="A422" i="4"/>
  <c r="E421" i="4"/>
  <c r="D421" i="4"/>
  <c r="A421" i="4"/>
  <c r="E420" i="4"/>
  <c r="D420" i="4"/>
  <c r="A420" i="4"/>
  <c r="E419" i="4"/>
  <c r="D419" i="4"/>
  <c r="A419" i="4"/>
  <c r="E418" i="4"/>
  <c r="D418" i="4"/>
  <c r="A418" i="4"/>
  <c r="E417" i="4"/>
  <c r="D417" i="4"/>
  <c r="A417" i="4"/>
  <c r="E416" i="4"/>
  <c r="D416" i="4"/>
  <c r="A416" i="4"/>
  <c r="E415" i="4"/>
  <c r="D415" i="4"/>
  <c r="A415" i="4"/>
  <c r="E414" i="4"/>
  <c r="D414" i="4"/>
  <c r="A414" i="4"/>
  <c r="E413" i="4"/>
  <c r="D413" i="4"/>
  <c r="A413" i="4"/>
  <c r="E412" i="4"/>
  <c r="D412" i="4"/>
  <c r="A412" i="4"/>
  <c r="E411" i="4"/>
  <c r="D411" i="4"/>
  <c r="A411" i="4"/>
  <c r="E410" i="4"/>
  <c r="D410" i="4"/>
  <c r="A410" i="4"/>
  <c r="E409" i="4"/>
  <c r="D409" i="4"/>
  <c r="A409" i="4"/>
  <c r="E408" i="4"/>
  <c r="D408" i="4"/>
  <c r="A408" i="4"/>
  <c r="E407" i="4"/>
  <c r="D407" i="4"/>
  <c r="A407" i="4"/>
  <c r="E406" i="4"/>
  <c r="D406" i="4"/>
  <c r="A406" i="4"/>
  <c r="E405" i="4"/>
  <c r="D405" i="4"/>
  <c r="A405" i="4"/>
  <c r="E404" i="4"/>
  <c r="D404" i="4"/>
  <c r="A404" i="4"/>
  <c r="E403" i="4"/>
  <c r="D403" i="4"/>
  <c r="A403" i="4"/>
  <c r="E402" i="4"/>
  <c r="D402" i="4"/>
  <c r="A402" i="4"/>
  <c r="E401" i="4"/>
  <c r="D401" i="4"/>
  <c r="A401" i="4"/>
  <c r="E400" i="4"/>
  <c r="D400" i="4"/>
  <c r="A400" i="4"/>
  <c r="E399" i="4"/>
  <c r="D399" i="4"/>
  <c r="A399" i="4"/>
  <c r="E398" i="4"/>
  <c r="D398" i="4"/>
  <c r="A398" i="4"/>
  <c r="E397" i="4"/>
  <c r="D397" i="4"/>
  <c r="A397" i="4"/>
  <c r="E396" i="4"/>
  <c r="D396" i="4"/>
  <c r="A396" i="4"/>
  <c r="E395" i="4"/>
  <c r="D395" i="4"/>
  <c r="A395" i="4"/>
  <c r="E394" i="4"/>
  <c r="D394" i="4"/>
  <c r="A394" i="4"/>
  <c r="E393" i="4"/>
  <c r="D393" i="4"/>
  <c r="A393" i="4"/>
  <c r="E392" i="4"/>
  <c r="D392" i="4"/>
  <c r="A392" i="4"/>
  <c r="E391" i="4"/>
  <c r="D391" i="4"/>
  <c r="A391" i="4"/>
  <c r="E390" i="4"/>
  <c r="D390" i="4"/>
  <c r="A390" i="4"/>
  <c r="E389" i="4"/>
  <c r="D389" i="4"/>
  <c r="A389" i="4"/>
  <c r="E388" i="4"/>
  <c r="D388" i="4"/>
  <c r="A388" i="4"/>
  <c r="E387" i="4"/>
  <c r="D387" i="4"/>
  <c r="A387" i="4"/>
  <c r="E386" i="4"/>
  <c r="D386" i="4"/>
  <c r="A386" i="4"/>
  <c r="E385" i="4"/>
  <c r="D385" i="4"/>
  <c r="A385" i="4"/>
  <c r="E384" i="4"/>
  <c r="D384" i="4"/>
  <c r="A384" i="4"/>
  <c r="E383" i="4"/>
  <c r="D383" i="4"/>
  <c r="A383" i="4"/>
  <c r="E382" i="4"/>
  <c r="D382" i="4"/>
  <c r="A382" i="4"/>
  <c r="E381" i="4"/>
  <c r="D381" i="4"/>
  <c r="A381" i="4"/>
  <c r="E380" i="4"/>
  <c r="D380" i="4"/>
  <c r="A380" i="4"/>
  <c r="E379" i="4"/>
  <c r="D379" i="4"/>
  <c r="A379" i="4"/>
  <c r="E378" i="4"/>
  <c r="D378" i="4"/>
  <c r="A378" i="4"/>
  <c r="E377" i="4"/>
  <c r="D377" i="4"/>
  <c r="A377" i="4"/>
  <c r="E376" i="4"/>
  <c r="D376" i="4"/>
  <c r="A376" i="4"/>
  <c r="E375" i="4"/>
  <c r="D375" i="4"/>
  <c r="A375" i="4"/>
  <c r="E374" i="4"/>
  <c r="D374" i="4"/>
  <c r="A374" i="4"/>
  <c r="E373" i="4"/>
  <c r="D373" i="4"/>
  <c r="A373" i="4"/>
  <c r="E372" i="4"/>
  <c r="D372" i="4"/>
  <c r="A372" i="4"/>
  <c r="E371" i="4"/>
  <c r="D371" i="4"/>
  <c r="A371" i="4"/>
  <c r="E370" i="4"/>
  <c r="D370" i="4"/>
  <c r="A370" i="4"/>
  <c r="E369" i="4"/>
  <c r="D369" i="4"/>
  <c r="A369" i="4"/>
  <c r="E368" i="4"/>
  <c r="D368" i="4"/>
  <c r="A368" i="4"/>
  <c r="E367" i="4"/>
  <c r="D367" i="4"/>
  <c r="A367" i="4"/>
  <c r="E366" i="4"/>
  <c r="D366" i="4"/>
  <c r="A366" i="4"/>
  <c r="E365" i="4"/>
  <c r="D365" i="4"/>
  <c r="A365" i="4"/>
  <c r="E364" i="4"/>
  <c r="D364" i="4"/>
  <c r="A364" i="4"/>
  <c r="E363" i="4"/>
  <c r="D363" i="4"/>
  <c r="A363" i="4"/>
  <c r="E362" i="4"/>
  <c r="D362" i="4"/>
  <c r="A362" i="4"/>
  <c r="E361" i="4"/>
  <c r="D361" i="4"/>
  <c r="A361" i="4"/>
  <c r="E360" i="4"/>
  <c r="D360" i="4"/>
  <c r="A360" i="4"/>
  <c r="E359" i="4"/>
  <c r="D359" i="4"/>
  <c r="A359" i="4"/>
  <c r="E358" i="4"/>
  <c r="D358" i="4"/>
  <c r="A358" i="4"/>
  <c r="E357" i="4"/>
  <c r="D357" i="4"/>
  <c r="A357" i="4"/>
  <c r="E356" i="4"/>
  <c r="D356" i="4"/>
  <c r="A356" i="4"/>
  <c r="E355" i="4"/>
  <c r="D355" i="4"/>
  <c r="A355" i="4"/>
  <c r="E354" i="4"/>
  <c r="D354" i="4"/>
  <c r="A354" i="4"/>
  <c r="E353" i="4"/>
  <c r="D353" i="4"/>
  <c r="A353" i="4"/>
  <c r="E352" i="4"/>
  <c r="D352" i="4"/>
  <c r="A352" i="4"/>
  <c r="E351" i="4"/>
  <c r="D351" i="4"/>
  <c r="A351" i="4"/>
  <c r="E350" i="4"/>
  <c r="D350" i="4"/>
  <c r="A350" i="4"/>
  <c r="E349" i="4"/>
  <c r="D349" i="4"/>
  <c r="A349" i="4"/>
  <c r="E348" i="4"/>
  <c r="D348" i="4"/>
  <c r="A348" i="4"/>
  <c r="E347" i="4"/>
  <c r="D347" i="4"/>
  <c r="A347" i="4"/>
  <c r="E346" i="4"/>
  <c r="D346" i="4"/>
  <c r="A346" i="4"/>
  <c r="E345" i="4"/>
  <c r="D345" i="4"/>
  <c r="A345" i="4"/>
  <c r="E344" i="4"/>
  <c r="D344" i="4"/>
  <c r="A344" i="4"/>
  <c r="E343" i="4"/>
  <c r="D343" i="4"/>
  <c r="A343" i="4"/>
  <c r="E342" i="4"/>
  <c r="D342" i="4"/>
  <c r="A342" i="4"/>
  <c r="E341" i="4"/>
  <c r="D341" i="4"/>
  <c r="A341" i="4"/>
  <c r="E340" i="4"/>
  <c r="D340" i="4"/>
  <c r="A340" i="4"/>
  <c r="E339" i="4"/>
  <c r="D339" i="4"/>
  <c r="A339" i="4"/>
  <c r="E338" i="4"/>
  <c r="D338" i="4"/>
  <c r="A338" i="4"/>
  <c r="E337" i="4"/>
  <c r="D337" i="4"/>
  <c r="A337" i="4"/>
  <c r="E336" i="4"/>
  <c r="D336" i="4"/>
  <c r="A336" i="4"/>
  <c r="E335" i="4"/>
  <c r="D335" i="4"/>
  <c r="A335" i="4"/>
  <c r="E334" i="4"/>
  <c r="D334" i="4"/>
  <c r="A334" i="4"/>
  <c r="E333" i="4"/>
  <c r="D333" i="4"/>
  <c r="A333" i="4"/>
  <c r="E332" i="4"/>
  <c r="D332" i="4"/>
  <c r="A332" i="4"/>
  <c r="E331" i="4"/>
  <c r="D331" i="4"/>
  <c r="A331" i="4"/>
  <c r="E330" i="4"/>
  <c r="D330" i="4"/>
  <c r="A330" i="4"/>
  <c r="E329" i="4"/>
  <c r="D329" i="4"/>
  <c r="A329" i="4"/>
  <c r="E328" i="4"/>
  <c r="D328" i="4"/>
  <c r="A328" i="4"/>
  <c r="E327" i="4"/>
  <c r="D327" i="4"/>
  <c r="A327" i="4"/>
  <c r="E326" i="4"/>
  <c r="D326" i="4"/>
  <c r="A326" i="4"/>
  <c r="E325" i="4"/>
  <c r="D325" i="4"/>
  <c r="A325" i="4"/>
  <c r="E324" i="4"/>
  <c r="D324" i="4"/>
  <c r="A324" i="4"/>
  <c r="E323" i="4"/>
  <c r="D323" i="4"/>
  <c r="A323" i="4"/>
  <c r="E322" i="4"/>
  <c r="D322" i="4"/>
  <c r="A322" i="4"/>
  <c r="E321" i="4"/>
  <c r="D321" i="4"/>
  <c r="A321" i="4"/>
  <c r="E320" i="4"/>
  <c r="D320" i="4"/>
  <c r="A320" i="4"/>
  <c r="E319" i="4"/>
  <c r="D319" i="4"/>
  <c r="A319" i="4"/>
  <c r="E318" i="4"/>
  <c r="D318" i="4"/>
  <c r="A318" i="4"/>
  <c r="E317" i="4"/>
  <c r="D317" i="4"/>
  <c r="A317" i="4"/>
  <c r="E316" i="4"/>
  <c r="D316" i="4"/>
  <c r="A316" i="4"/>
  <c r="E315" i="4"/>
  <c r="D315" i="4"/>
  <c r="A315" i="4"/>
  <c r="E314" i="4"/>
  <c r="D314" i="4"/>
  <c r="A314" i="4"/>
  <c r="E313" i="4"/>
  <c r="D313" i="4"/>
  <c r="A313" i="4"/>
  <c r="E312" i="4"/>
  <c r="D312" i="4"/>
  <c r="A312" i="4"/>
  <c r="E311" i="4"/>
  <c r="D311" i="4"/>
  <c r="A311" i="4"/>
  <c r="E310" i="4"/>
  <c r="D310" i="4"/>
  <c r="A310" i="4"/>
  <c r="E309" i="4"/>
  <c r="D309" i="4"/>
  <c r="A309" i="4"/>
  <c r="E308" i="4"/>
  <c r="D308" i="4"/>
  <c r="A308" i="4"/>
  <c r="E307" i="4"/>
  <c r="D307" i="4"/>
  <c r="A307" i="4"/>
  <c r="E306" i="4"/>
  <c r="D306" i="4"/>
  <c r="A306" i="4"/>
  <c r="E305" i="4"/>
  <c r="D305" i="4"/>
  <c r="A305" i="4"/>
  <c r="E304" i="4"/>
  <c r="D304" i="4"/>
  <c r="A304" i="4"/>
  <c r="E303" i="4"/>
  <c r="D303" i="4"/>
  <c r="A303" i="4"/>
  <c r="E302" i="4"/>
  <c r="D302" i="4"/>
  <c r="A302" i="4"/>
  <c r="E301" i="4"/>
  <c r="D301" i="4"/>
  <c r="A301" i="4"/>
  <c r="E300" i="4"/>
  <c r="D300" i="4"/>
  <c r="A300" i="4"/>
  <c r="E299" i="4"/>
  <c r="D299" i="4"/>
  <c r="A299" i="4"/>
  <c r="E298" i="4"/>
  <c r="D298" i="4"/>
  <c r="A298" i="4"/>
  <c r="E297" i="4"/>
  <c r="D297" i="4"/>
  <c r="A297" i="4"/>
  <c r="E296" i="4"/>
  <c r="D296" i="4"/>
  <c r="A296" i="4"/>
  <c r="E295" i="4"/>
  <c r="D295" i="4"/>
  <c r="A295" i="4"/>
  <c r="E294" i="4"/>
  <c r="D294" i="4"/>
  <c r="A294" i="4"/>
  <c r="E293" i="4"/>
  <c r="D293" i="4"/>
  <c r="A293" i="4"/>
  <c r="E292" i="4"/>
  <c r="D292" i="4"/>
  <c r="A292" i="4"/>
  <c r="E291" i="4"/>
  <c r="D291" i="4"/>
  <c r="A291" i="4"/>
  <c r="E290" i="4"/>
  <c r="D290" i="4"/>
  <c r="A290" i="4"/>
  <c r="E289" i="4"/>
  <c r="D289" i="4"/>
  <c r="A289" i="4"/>
  <c r="E288" i="4"/>
  <c r="D288" i="4"/>
  <c r="A288" i="4"/>
  <c r="E287" i="4"/>
  <c r="D287" i="4"/>
  <c r="A287" i="4"/>
  <c r="E286" i="4"/>
  <c r="D286" i="4"/>
  <c r="A286" i="4"/>
  <c r="E285" i="4"/>
  <c r="D285" i="4"/>
  <c r="A285" i="4"/>
  <c r="E284" i="4"/>
  <c r="D284" i="4"/>
  <c r="A284" i="4"/>
  <c r="E283" i="4"/>
  <c r="D283" i="4"/>
  <c r="A283" i="4"/>
  <c r="E282" i="4"/>
  <c r="D282" i="4"/>
  <c r="A282" i="4"/>
  <c r="E281" i="4"/>
  <c r="D281" i="4"/>
  <c r="A281" i="4"/>
  <c r="E280" i="4"/>
  <c r="D280" i="4"/>
  <c r="A280" i="4"/>
  <c r="E279" i="4"/>
  <c r="D279" i="4"/>
  <c r="A279" i="4"/>
  <c r="E278" i="4"/>
  <c r="D278" i="4"/>
  <c r="A278" i="4"/>
  <c r="E277" i="4"/>
  <c r="D277" i="4"/>
  <c r="A277" i="4"/>
  <c r="E276" i="4"/>
  <c r="D276" i="4"/>
  <c r="A276" i="4"/>
  <c r="E275" i="4"/>
  <c r="D275" i="4"/>
  <c r="A275" i="4"/>
  <c r="E274" i="4"/>
  <c r="D274" i="4"/>
  <c r="A274" i="4"/>
  <c r="E273" i="4"/>
  <c r="D273" i="4"/>
  <c r="A273" i="4"/>
  <c r="E272" i="4"/>
  <c r="D272" i="4"/>
  <c r="A272" i="4"/>
  <c r="E271" i="4"/>
  <c r="D271" i="4"/>
  <c r="A271" i="4"/>
  <c r="E270" i="4"/>
  <c r="D270" i="4"/>
  <c r="A270" i="4"/>
  <c r="E269" i="4"/>
  <c r="D269" i="4"/>
  <c r="A269" i="4"/>
  <c r="E268" i="4"/>
  <c r="D268" i="4"/>
  <c r="A268" i="4"/>
  <c r="E267" i="4"/>
  <c r="D267" i="4"/>
  <c r="A267" i="4"/>
  <c r="E266" i="4"/>
  <c r="D266" i="4"/>
  <c r="A266" i="4"/>
  <c r="E265" i="4"/>
  <c r="D265" i="4"/>
  <c r="A265" i="4"/>
  <c r="E264" i="4"/>
  <c r="D264" i="4"/>
  <c r="A264" i="4"/>
  <c r="E263" i="4"/>
  <c r="D263" i="4"/>
  <c r="A263" i="4"/>
  <c r="E262" i="4"/>
  <c r="D262" i="4"/>
  <c r="A262" i="4"/>
  <c r="E261" i="4"/>
  <c r="D261" i="4"/>
  <c r="A261" i="4"/>
  <c r="E260" i="4"/>
  <c r="D260" i="4"/>
  <c r="A260" i="4"/>
  <c r="E259" i="4"/>
  <c r="D259" i="4"/>
  <c r="A259" i="4"/>
  <c r="E258" i="4"/>
  <c r="D258" i="4"/>
  <c r="A258" i="4"/>
  <c r="E257" i="4"/>
  <c r="D257" i="4"/>
  <c r="A257" i="4"/>
  <c r="E256" i="4"/>
  <c r="D256" i="4"/>
  <c r="A256" i="4"/>
  <c r="E255" i="4"/>
  <c r="D255" i="4"/>
  <c r="A255" i="4"/>
  <c r="E254" i="4"/>
  <c r="D254" i="4"/>
  <c r="A254" i="4"/>
  <c r="E253" i="4"/>
  <c r="D253" i="4"/>
  <c r="A253" i="4"/>
  <c r="E252" i="4"/>
  <c r="D252" i="4"/>
  <c r="A252" i="4"/>
  <c r="E251" i="4"/>
  <c r="D251" i="4"/>
  <c r="A251" i="4"/>
  <c r="E250" i="4"/>
  <c r="D250" i="4"/>
  <c r="A250" i="4"/>
  <c r="E249" i="4"/>
  <c r="D249" i="4"/>
  <c r="A249" i="4"/>
  <c r="E248" i="4"/>
  <c r="D248" i="4"/>
  <c r="A248" i="4"/>
  <c r="E247" i="4"/>
  <c r="D247" i="4"/>
  <c r="A247" i="4"/>
  <c r="E246" i="4"/>
  <c r="D246" i="4"/>
  <c r="A246" i="4"/>
  <c r="E245" i="4"/>
  <c r="D245" i="4"/>
  <c r="A245" i="4"/>
  <c r="E244" i="4"/>
  <c r="D244" i="4"/>
  <c r="A244" i="4"/>
  <c r="E243" i="4"/>
  <c r="D243" i="4"/>
  <c r="A243" i="4"/>
  <c r="E242" i="4"/>
  <c r="D242" i="4"/>
  <c r="A242" i="4"/>
  <c r="E241" i="4"/>
  <c r="D241" i="4"/>
  <c r="A241" i="4"/>
  <c r="E240" i="4"/>
  <c r="D240" i="4"/>
  <c r="A240" i="4"/>
  <c r="E239" i="4"/>
  <c r="D239" i="4"/>
  <c r="A239" i="4"/>
  <c r="E238" i="4"/>
  <c r="D238" i="4"/>
  <c r="A238" i="4"/>
  <c r="E237" i="4"/>
  <c r="D237" i="4"/>
  <c r="A237" i="4"/>
  <c r="E236" i="4"/>
  <c r="D236" i="4"/>
  <c r="A236" i="4"/>
  <c r="E235" i="4"/>
  <c r="D235" i="4"/>
  <c r="A235" i="4"/>
  <c r="E234" i="4"/>
  <c r="D234" i="4"/>
  <c r="A234" i="4"/>
  <c r="E233" i="4"/>
  <c r="D233" i="4"/>
  <c r="A233" i="4"/>
  <c r="E232" i="4"/>
  <c r="D232" i="4"/>
  <c r="A232" i="4"/>
  <c r="E231" i="4"/>
  <c r="D231" i="4"/>
  <c r="A231" i="4"/>
  <c r="E230" i="4"/>
  <c r="D230" i="4"/>
  <c r="A230" i="4"/>
  <c r="E229" i="4"/>
  <c r="D229" i="4"/>
  <c r="A229" i="4"/>
  <c r="E228" i="4"/>
  <c r="D228" i="4"/>
  <c r="A228" i="4"/>
  <c r="E227" i="4"/>
  <c r="D227" i="4"/>
  <c r="A227" i="4"/>
  <c r="E226" i="4"/>
  <c r="D226" i="4"/>
  <c r="A226" i="4"/>
  <c r="E225" i="4"/>
  <c r="D225" i="4"/>
  <c r="A225" i="4"/>
  <c r="E224" i="4"/>
  <c r="D224" i="4"/>
  <c r="A224" i="4"/>
  <c r="E223" i="4"/>
  <c r="D223" i="4"/>
  <c r="A223" i="4"/>
  <c r="E222" i="4"/>
  <c r="D222" i="4"/>
  <c r="A222" i="4"/>
  <c r="E221" i="4"/>
  <c r="D221" i="4"/>
  <c r="A221" i="4"/>
  <c r="E220" i="4"/>
  <c r="D220" i="4"/>
  <c r="A220" i="4"/>
  <c r="E219" i="4"/>
  <c r="D219" i="4"/>
  <c r="A219" i="4"/>
  <c r="E218" i="4"/>
  <c r="D218" i="4"/>
  <c r="A218" i="4"/>
  <c r="E217" i="4"/>
  <c r="D217" i="4"/>
  <c r="A217" i="4"/>
  <c r="E216" i="4"/>
  <c r="D216" i="4"/>
  <c r="A216" i="4"/>
  <c r="E215" i="4"/>
  <c r="D215" i="4"/>
  <c r="A215" i="4"/>
  <c r="E214" i="4"/>
  <c r="D214" i="4"/>
  <c r="A214" i="4"/>
  <c r="E213" i="4"/>
  <c r="D213" i="4"/>
  <c r="A213" i="4"/>
  <c r="E212" i="4"/>
  <c r="D212" i="4"/>
  <c r="A212" i="4"/>
  <c r="E211" i="4"/>
  <c r="D211" i="4"/>
  <c r="A211" i="4"/>
  <c r="E210" i="4"/>
  <c r="D210" i="4"/>
  <c r="A210" i="4"/>
  <c r="E209" i="4"/>
  <c r="D209" i="4"/>
  <c r="A209" i="4"/>
  <c r="E208" i="4"/>
  <c r="D208" i="4"/>
  <c r="A208" i="4"/>
  <c r="E207" i="4"/>
  <c r="D207" i="4"/>
  <c r="A207" i="4"/>
  <c r="E206" i="4"/>
  <c r="D206" i="4"/>
  <c r="A206" i="4"/>
  <c r="E205" i="4"/>
  <c r="D205" i="4"/>
  <c r="A205" i="4"/>
  <c r="E204" i="4"/>
  <c r="D204" i="4"/>
  <c r="A204" i="4"/>
  <c r="E203" i="4"/>
  <c r="D203" i="4"/>
  <c r="A203" i="4"/>
  <c r="E202" i="4"/>
  <c r="D202" i="4"/>
  <c r="A202" i="4"/>
  <c r="E201" i="4"/>
  <c r="D201" i="4"/>
  <c r="A201" i="4"/>
  <c r="E200" i="4"/>
  <c r="D200" i="4"/>
  <c r="A200" i="4"/>
  <c r="E199" i="4"/>
  <c r="D199" i="4"/>
  <c r="A199" i="4"/>
  <c r="E198" i="4"/>
  <c r="D198" i="4"/>
  <c r="A198" i="4"/>
  <c r="E197" i="4"/>
  <c r="D197" i="4"/>
  <c r="A197" i="4"/>
  <c r="E196" i="4"/>
  <c r="D196" i="4"/>
  <c r="A196" i="4"/>
  <c r="E195" i="4"/>
  <c r="D195" i="4"/>
  <c r="A195" i="4"/>
  <c r="E194" i="4"/>
  <c r="D194" i="4"/>
  <c r="A194" i="4"/>
  <c r="E193" i="4"/>
  <c r="D193" i="4"/>
  <c r="A193" i="4"/>
  <c r="E192" i="4"/>
  <c r="D192" i="4"/>
  <c r="A192" i="4"/>
  <c r="E191" i="4"/>
  <c r="D191" i="4"/>
  <c r="A191" i="4"/>
  <c r="E190" i="4"/>
  <c r="D190" i="4"/>
  <c r="A190" i="4"/>
  <c r="E189" i="4"/>
  <c r="D189" i="4"/>
  <c r="A189" i="4"/>
  <c r="E188" i="4"/>
  <c r="D188" i="4"/>
  <c r="A188" i="4"/>
  <c r="E187" i="4"/>
  <c r="D187" i="4"/>
  <c r="A187" i="4"/>
  <c r="E186" i="4"/>
  <c r="D186" i="4"/>
  <c r="A186" i="4"/>
  <c r="E185" i="4"/>
  <c r="D185" i="4"/>
  <c r="A185" i="4"/>
  <c r="E184" i="4"/>
  <c r="D184" i="4"/>
  <c r="A184" i="4"/>
  <c r="E183" i="4"/>
  <c r="D183" i="4"/>
  <c r="A183" i="4"/>
  <c r="E182" i="4"/>
  <c r="D182" i="4"/>
  <c r="A182" i="4"/>
  <c r="E181" i="4"/>
  <c r="D181" i="4"/>
  <c r="A181" i="4"/>
  <c r="E180" i="4"/>
  <c r="D180" i="4"/>
  <c r="A180" i="4"/>
  <c r="E179" i="4"/>
  <c r="D179" i="4"/>
  <c r="A179" i="4"/>
  <c r="E178" i="4"/>
  <c r="D178" i="4"/>
  <c r="A178" i="4"/>
  <c r="E177" i="4"/>
  <c r="D177" i="4"/>
  <c r="A177" i="4"/>
  <c r="E176" i="4"/>
  <c r="D176" i="4"/>
  <c r="A176" i="4"/>
  <c r="E175" i="4"/>
  <c r="D175" i="4"/>
  <c r="A175" i="4"/>
  <c r="E174" i="4"/>
  <c r="D174" i="4"/>
  <c r="A174" i="4"/>
  <c r="E173" i="4"/>
  <c r="D173" i="4"/>
  <c r="A173" i="4"/>
  <c r="E172" i="4"/>
  <c r="D172" i="4"/>
  <c r="A172" i="4"/>
  <c r="E171" i="4"/>
  <c r="D171" i="4"/>
  <c r="A171" i="4"/>
  <c r="E170" i="4"/>
  <c r="D170" i="4"/>
  <c r="A170" i="4"/>
  <c r="E169" i="4"/>
  <c r="D169" i="4"/>
  <c r="A169" i="4"/>
  <c r="E168" i="4"/>
  <c r="D168" i="4"/>
  <c r="A168" i="4"/>
  <c r="E167" i="4"/>
  <c r="D167" i="4"/>
  <c r="A167" i="4"/>
  <c r="E166" i="4"/>
  <c r="D166" i="4"/>
  <c r="A166" i="4"/>
  <c r="E165" i="4"/>
  <c r="D165" i="4"/>
  <c r="A165" i="4"/>
  <c r="E164" i="4"/>
  <c r="D164" i="4"/>
  <c r="A164" i="4"/>
  <c r="E163" i="4"/>
  <c r="D163" i="4"/>
  <c r="A163" i="4"/>
  <c r="E162" i="4"/>
  <c r="D162" i="4"/>
  <c r="A162" i="4"/>
  <c r="E161" i="4"/>
  <c r="D161" i="4"/>
  <c r="A161" i="4"/>
  <c r="E160" i="4"/>
  <c r="D160" i="4"/>
  <c r="A160" i="4"/>
  <c r="E159" i="4"/>
  <c r="D159" i="4"/>
  <c r="A159" i="4"/>
  <c r="E158" i="4"/>
  <c r="D158" i="4"/>
  <c r="A158" i="4"/>
  <c r="E157" i="4"/>
  <c r="D157" i="4"/>
  <c r="A157" i="4"/>
  <c r="E156" i="4"/>
  <c r="D156" i="4"/>
  <c r="A156" i="4"/>
  <c r="E155" i="4"/>
  <c r="D155" i="4"/>
  <c r="A155" i="4"/>
  <c r="E154" i="4"/>
  <c r="D154" i="4"/>
  <c r="A154" i="4"/>
  <c r="E153" i="4"/>
  <c r="D153" i="4"/>
  <c r="A153" i="4"/>
  <c r="E152" i="4"/>
  <c r="D152" i="4"/>
  <c r="A152" i="4"/>
  <c r="E151" i="4"/>
  <c r="D151" i="4"/>
  <c r="A151" i="4"/>
  <c r="E150" i="4"/>
  <c r="D150" i="4"/>
  <c r="A150" i="4"/>
  <c r="E149" i="4"/>
  <c r="D149" i="4"/>
  <c r="A149" i="4"/>
  <c r="E148" i="4"/>
  <c r="D148" i="4"/>
  <c r="A148" i="4"/>
  <c r="E147" i="4"/>
  <c r="D147" i="4"/>
  <c r="A147" i="4"/>
  <c r="E146" i="4"/>
  <c r="D146" i="4"/>
  <c r="A146" i="4"/>
  <c r="E145" i="4"/>
  <c r="D145" i="4"/>
  <c r="A145" i="4"/>
  <c r="E144" i="4"/>
  <c r="D144" i="4"/>
  <c r="A144" i="4"/>
  <c r="E143" i="4"/>
  <c r="D143" i="4"/>
  <c r="A143" i="4"/>
  <c r="E142" i="4"/>
  <c r="D142" i="4"/>
  <c r="A142" i="4"/>
  <c r="E141" i="4"/>
  <c r="D141" i="4"/>
  <c r="A141" i="4"/>
  <c r="E140" i="4"/>
  <c r="D140" i="4"/>
  <c r="A140" i="4"/>
  <c r="E139" i="4"/>
  <c r="D139" i="4"/>
  <c r="A139" i="4"/>
  <c r="E138" i="4"/>
  <c r="D138" i="4"/>
  <c r="A138" i="4"/>
  <c r="E137" i="4"/>
  <c r="D137" i="4"/>
  <c r="A137" i="4"/>
  <c r="E136" i="4"/>
  <c r="D136" i="4"/>
  <c r="A136" i="4"/>
  <c r="E135" i="4"/>
  <c r="D135" i="4"/>
  <c r="A135" i="4"/>
  <c r="E134" i="4"/>
  <c r="D134" i="4"/>
  <c r="A134" i="4"/>
  <c r="E133" i="4"/>
  <c r="D133" i="4"/>
  <c r="A133" i="4"/>
  <c r="E132" i="4"/>
  <c r="D132" i="4"/>
  <c r="A132" i="4"/>
  <c r="E131" i="4"/>
  <c r="D131" i="4"/>
  <c r="A131" i="4"/>
  <c r="E130" i="4"/>
  <c r="D130" i="4"/>
  <c r="A130" i="4"/>
  <c r="E129" i="4"/>
  <c r="D129" i="4"/>
  <c r="A129" i="4"/>
  <c r="E128" i="4"/>
  <c r="D128" i="4"/>
  <c r="A128" i="4"/>
  <c r="E127" i="4"/>
  <c r="D127" i="4"/>
  <c r="A127" i="4"/>
  <c r="E126" i="4"/>
  <c r="D126" i="4"/>
  <c r="A126" i="4"/>
  <c r="E125" i="4"/>
  <c r="D125" i="4"/>
  <c r="A125" i="4"/>
  <c r="E124" i="4"/>
  <c r="D124" i="4"/>
  <c r="A124" i="4"/>
  <c r="E123" i="4"/>
  <c r="D123" i="4"/>
  <c r="A123" i="4"/>
  <c r="E122" i="4"/>
  <c r="D122" i="4"/>
  <c r="A122" i="4"/>
  <c r="E121" i="4"/>
  <c r="D121" i="4"/>
  <c r="A121" i="4"/>
  <c r="E120" i="4"/>
  <c r="D120" i="4"/>
  <c r="A120" i="4"/>
  <c r="E119" i="4"/>
  <c r="D119" i="4"/>
  <c r="A119" i="4"/>
  <c r="E118" i="4"/>
  <c r="D118" i="4"/>
  <c r="A118" i="4"/>
  <c r="E117" i="4"/>
  <c r="D117" i="4"/>
  <c r="A117" i="4"/>
  <c r="E116" i="4"/>
  <c r="D116" i="4"/>
  <c r="A116" i="4"/>
  <c r="E115" i="4"/>
  <c r="D115" i="4"/>
  <c r="A115" i="4"/>
  <c r="E114" i="4"/>
  <c r="D114" i="4"/>
  <c r="A114" i="4"/>
  <c r="E113" i="4"/>
  <c r="D113" i="4"/>
  <c r="A113" i="4"/>
  <c r="E112" i="4"/>
  <c r="D112" i="4"/>
  <c r="A112" i="4"/>
  <c r="E111" i="4"/>
  <c r="D111" i="4"/>
  <c r="A111" i="4"/>
  <c r="E110" i="4"/>
  <c r="D110" i="4"/>
  <c r="A110" i="4"/>
  <c r="E109" i="4"/>
  <c r="D109" i="4"/>
  <c r="A109" i="4"/>
  <c r="E108" i="4"/>
  <c r="D108" i="4"/>
  <c r="A108" i="4"/>
  <c r="E107" i="4"/>
  <c r="D107" i="4"/>
  <c r="A107" i="4"/>
  <c r="E106" i="4"/>
  <c r="D106" i="4"/>
  <c r="A106" i="4"/>
  <c r="E105" i="4"/>
  <c r="D105" i="4"/>
  <c r="A105" i="4"/>
  <c r="E104" i="4"/>
  <c r="D104" i="4"/>
  <c r="A104" i="4"/>
  <c r="E103" i="4"/>
  <c r="D103" i="4"/>
  <c r="A103" i="4"/>
  <c r="E102" i="4"/>
  <c r="D102" i="4"/>
  <c r="A102" i="4"/>
  <c r="E101" i="4"/>
  <c r="D101" i="4"/>
  <c r="A101" i="4"/>
  <c r="E100" i="4"/>
  <c r="D100" i="4"/>
  <c r="A100" i="4"/>
  <c r="E99" i="4"/>
  <c r="D99" i="4"/>
  <c r="A99" i="4"/>
  <c r="E98" i="4"/>
  <c r="D98" i="4"/>
  <c r="A98" i="4"/>
  <c r="E97" i="4"/>
  <c r="D97" i="4"/>
  <c r="A97" i="4"/>
  <c r="E96" i="4"/>
  <c r="D96" i="4"/>
  <c r="A96" i="4"/>
  <c r="E95" i="4"/>
  <c r="D95" i="4"/>
  <c r="A95" i="4"/>
  <c r="E94" i="4"/>
  <c r="D94" i="4"/>
  <c r="A94" i="4"/>
  <c r="E93" i="4"/>
  <c r="D93" i="4"/>
  <c r="A93" i="4"/>
  <c r="E92" i="4"/>
  <c r="D92" i="4"/>
  <c r="A92" i="4"/>
  <c r="E91" i="4"/>
  <c r="D91" i="4"/>
  <c r="A91" i="4"/>
  <c r="E90" i="4"/>
  <c r="D90" i="4"/>
  <c r="A90" i="4"/>
  <c r="E89" i="4"/>
  <c r="D89" i="4"/>
  <c r="A89" i="4"/>
  <c r="E88" i="4"/>
  <c r="D88" i="4"/>
  <c r="A88" i="4"/>
  <c r="E87" i="4"/>
  <c r="D87" i="4"/>
  <c r="A87" i="4"/>
  <c r="E86" i="4"/>
  <c r="D86" i="4"/>
  <c r="A86" i="4"/>
  <c r="E85" i="4"/>
  <c r="D85" i="4"/>
  <c r="A85" i="4"/>
  <c r="E84" i="4"/>
  <c r="D84" i="4"/>
  <c r="A84" i="4"/>
  <c r="E83" i="4"/>
  <c r="D83" i="4"/>
  <c r="A83" i="4"/>
  <c r="E82" i="4"/>
  <c r="D82" i="4"/>
  <c r="A82" i="4"/>
  <c r="E81" i="4"/>
  <c r="D81" i="4"/>
  <c r="A81" i="4"/>
  <c r="E80" i="4"/>
  <c r="D80" i="4"/>
  <c r="A80" i="4"/>
  <c r="E79" i="4"/>
  <c r="D79" i="4"/>
  <c r="A79" i="4"/>
  <c r="E78" i="4"/>
  <c r="D78" i="4"/>
  <c r="A78" i="4"/>
  <c r="E77" i="4"/>
  <c r="D77" i="4"/>
  <c r="A77" i="4"/>
  <c r="E76" i="4"/>
  <c r="D76" i="4"/>
  <c r="A76" i="4"/>
  <c r="E75" i="4"/>
  <c r="D75" i="4"/>
  <c r="A75" i="4"/>
  <c r="E74" i="4"/>
  <c r="D74" i="4"/>
  <c r="A74" i="4"/>
  <c r="E73" i="4"/>
  <c r="D73" i="4"/>
  <c r="A73" i="4"/>
  <c r="E72" i="4"/>
  <c r="D72" i="4"/>
  <c r="A72" i="4"/>
  <c r="E71" i="4"/>
  <c r="D71" i="4"/>
  <c r="A71" i="4"/>
  <c r="E70" i="4"/>
  <c r="D70" i="4"/>
  <c r="A70" i="4"/>
  <c r="E69" i="4"/>
  <c r="D69" i="4"/>
  <c r="A69" i="4"/>
  <c r="E68" i="4"/>
  <c r="D68" i="4"/>
  <c r="A68" i="4"/>
  <c r="E67" i="4"/>
  <c r="D67" i="4"/>
  <c r="A67" i="4"/>
  <c r="E66" i="4"/>
  <c r="D66" i="4"/>
  <c r="A66" i="4"/>
  <c r="E65" i="4"/>
  <c r="D65" i="4"/>
  <c r="A65" i="4"/>
  <c r="E64" i="4"/>
  <c r="D64" i="4"/>
  <c r="A64" i="4"/>
  <c r="E63" i="4"/>
  <c r="D63" i="4"/>
  <c r="A63" i="4"/>
  <c r="E62" i="4"/>
  <c r="D62" i="4"/>
  <c r="A62" i="4"/>
  <c r="E61" i="4"/>
  <c r="D61" i="4"/>
  <c r="A61" i="4"/>
  <c r="E60" i="4"/>
  <c r="D60" i="4"/>
  <c r="A60" i="4"/>
  <c r="E59" i="4"/>
  <c r="D59" i="4"/>
  <c r="A59" i="4"/>
  <c r="E58" i="4"/>
  <c r="D58" i="4"/>
  <c r="A58" i="4"/>
  <c r="E57" i="4"/>
  <c r="D57" i="4"/>
  <c r="A57" i="4"/>
  <c r="E56" i="4"/>
  <c r="D56" i="4"/>
  <c r="A56" i="4"/>
  <c r="E55" i="4"/>
  <c r="D55" i="4"/>
  <c r="A55" i="4"/>
  <c r="E54" i="4"/>
  <c r="D54" i="4"/>
  <c r="A54" i="4"/>
  <c r="E53" i="4"/>
  <c r="D53" i="4"/>
  <c r="A53" i="4"/>
  <c r="E52" i="4"/>
  <c r="D52" i="4"/>
  <c r="A52" i="4"/>
  <c r="E51" i="4"/>
  <c r="D51" i="4"/>
  <c r="A51" i="4"/>
  <c r="E50" i="4"/>
  <c r="D50" i="4"/>
  <c r="A50" i="4"/>
  <c r="E49" i="4"/>
  <c r="D49" i="4"/>
  <c r="A49" i="4"/>
  <c r="E48" i="4"/>
  <c r="D48" i="4"/>
  <c r="A48" i="4"/>
  <c r="E47" i="4"/>
  <c r="D47" i="4"/>
  <c r="A47" i="4"/>
  <c r="E46" i="4"/>
  <c r="D46" i="4"/>
  <c r="A46" i="4"/>
  <c r="E45" i="4"/>
  <c r="D45" i="4"/>
  <c r="A45" i="4"/>
  <c r="E44" i="4"/>
  <c r="D44" i="4"/>
  <c r="A44" i="4"/>
  <c r="E43" i="4"/>
  <c r="D43" i="4"/>
  <c r="A43" i="4"/>
  <c r="E42" i="4"/>
  <c r="D42" i="4"/>
  <c r="A42" i="4"/>
  <c r="E41" i="4"/>
  <c r="D41" i="4"/>
  <c r="A41" i="4"/>
  <c r="E40" i="4"/>
  <c r="D40" i="4"/>
  <c r="A40" i="4"/>
  <c r="E39" i="4"/>
  <c r="D39" i="4"/>
  <c r="A39" i="4"/>
  <c r="E38" i="4"/>
  <c r="D38" i="4"/>
  <c r="A38" i="4"/>
  <c r="E37" i="4"/>
  <c r="D37" i="4"/>
  <c r="A37" i="4"/>
  <c r="E36" i="4"/>
  <c r="D36" i="4"/>
  <c r="A36" i="4"/>
  <c r="E35" i="4"/>
  <c r="D35" i="4"/>
  <c r="A35" i="4"/>
  <c r="E34" i="4"/>
  <c r="D34" i="4"/>
  <c r="A34" i="4"/>
  <c r="E33" i="4"/>
  <c r="D33" i="4"/>
  <c r="A33" i="4"/>
  <c r="E32" i="4"/>
  <c r="D32" i="4"/>
  <c r="A32" i="4"/>
  <c r="E31" i="4"/>
  <c r="D31" i="4"/>
  <c r="A31" i="4"/>
  <c r="E30" i="4"/>
  <c r="D30" i="4"/>
  <c r="A30" i="4"/>
  <c r="E29" i="4"/>
  <c r="D29" i="4"/>
  <c r="A29" i="4"/>
  <c r="E28" i="4"/>
  <c r="D28" i="4"/>
  <c r="A28" i="4"/>
  <c r="E27" i="4"/>
  <c r="D27" i="4"/>
  <c r="A27" i="4"/>
  <c r="E26" i="4"/>
  <c r="D26" i="4"/>
  <c r="A26" i="4"/>
  <c r="E25" i="4"/>
  <c r="D25" i="4"/>
  <c r="A25" i="4"/>
  <c r="E24" i="4"/>
  <c r="D24" i="4"/>
  <c r="A24" i="4"/>
  <c r="E23" i="4"/>
  <c r="D23" i="4"/>
  <c r="A23" i="4"/>
  <c r="E22" i="4"/>
  <c r="D22" i="4"/>
  <c r="A22" i="4"/>
  <c r="E21" i="4"/>
  <c r="D21" i="4"/>
  <c r="A21" i="4"/>
  <c r="E20" i="4"/>
  <c r="D20" i="4"/>
  <c r="A20" i="4"/>
  <c r="E19" i="4"/>
  <c r="D19" i="4"/>
  <c r="A19" i="4"/>
  <c r="E18" i="4"/>
  <c r="D18" i="4"/>
  <c r="A18" i="4"/>
  <c r="E17" i="4"/>
  <c r="D17" i="4"/>
  <c r="A17" i="4"/>
  <c r="E16" i="4"/>
  <c r="D16" i="4"/>
  <c r="A16" i="4"/>
  <c r="E15" i="4"/>
  <c r="D15" i="4"/>
  <c r="A15" i="4"/>
  <c r="G9" i="4"/>
  <c r="A9" i="4"/>
  <c r="S1001" i="2"/>
  <c r="S1000" i="2"/>
  <c r="S999" i="2"/>
  <c r="S998" i="2"/>
  <c r="S997" i="2"/>
  <c r="S996" i="2"/>
  <c r="S995" i="2"/>
  <c r="S994" i="2"/>
  <c r="S993" i="2"/>
  <c r="S992" i="2"/>
  <c r="S991" i="2"/>
  <c r="S990" i="2"/>
  <c r="S989" i="2"/>
  <c r="S988" i="2"/>
  <c r="S987" i="2"/>
  <c r="S986" i="2"/>
  <c r="S985" i="2"/>
  <c r="S984" i="2"/>
  <c r="S983" i="2"/>
  <c r="S982" i="2"/>
  <c r="S981" i="2"/>
  <c r="S980" i="2"/>
  <c r="S979" i="2"/>
  <c r="S978" i="2"/>
  <c r="S977" i="2"/>
  <c r="S976" i="2"/>
  <c r="S975" i="2"/>
  <c r="S974" i="2"/>
  <c r="S973" i="2"/>
  <c r="S972" i="2"/>
  <c r="S971" i="2"/>
  <c r="S970" i="2"/>
  <c r="S969" i="2"/>
  <c r="S968" i="2"/>
  <c r="S967" i="2"/>
  <c r="S966" i="2"/>
  <c r="S965" i="2"/>
  <c r="S964" i="2"/>
  <c r="S963" i="2"/>
  <c r="S962" i="2"/>
  <c r="S961" i="2"/>
  <c r="S960" i="2"/>
  <c r="S959" i="2"/>
  <c r="S958" i="2"/>
  <c r="S957" i="2"/>
  <c r="S956" i="2"/>
  <c r="S955" i="2"/>
  <c r="S954" i="2"/>
  <c r="S953" i="2"/>
  <c r="S952" i="2"/>
  <c r="S951" i="2"/>
  <c r="S950" i="2"/>
  <c r="S949" i="2"/>
  <c r="S948" i="2"/>
  <c r="S947" i="2"/>
  <c r="S946" i="2"/>
  <c r="S945" i="2"/>
  <c r="S944" i="2"/>
  <c r="S943" i="2"/>
  <c r="S942" i="2"/>
  <c r="S941" i="2"/>
  <c r="S940" i="2"/>
  <c r="S939" i="2"/>
  <c r="S938" i="2"/>
  <c r="S937" i="2"/>
  <c r="S936" i="2"/>
  <c r="S935" i="2"/>
  <c r="S934" i="2"/>
  <c r="S933" i="2"/>
  <c r="S932" i="2"/>
  <c r="S931" i="2"/>
  <c r="S930" i="2"/>
  <c r="S929" i="2"/>
  <c r="S928" i="2"/>
  <c r="S927" i="2"/>
  <c r="S926" i="2"/>
  <c r="S925" i="2"/>
  <c r="S924" i="2"/>
  <c r="S923" i="2"/>
  <c r="S922" i="2"/>
  <c r="S921" i="2"/>
  <c r="S920" i="2"/>
  <c r="S919" i="2"/>
  <c r="S918" i="2"/>
  <c r="S917" i="2"/>
  <c r="S916" i="2"/>
  <c r="S915" i="2"/>
  <c r="S914" i="2"/>
  <c r="S913" i="2"/>
  <c r="S912" i="2"/>
  <c r="S911" i="2"/>
  <c r="S910" i="2"/>
  <c r="S909" i="2"/>
  <c r="S908" i="2"/>
  <c r="S907" i="2"/>
  <c r="S906" i="2"/>
  <c r="S905" i="2"/>
  <c r="S904" i="2"/>
  <c r="S903" i="2"/>
  <c r="S902" i="2"/>
  <c r="S901" i="2"/>
  <c r="S900" i="2"/>
  <c r="S899" i="2"/>
  <c r="S898" i="2"/>
  <c r="S897" i="2"/>
  <c r="S896" i="2"/>
  <c r="S895" i="2"/>
  <c r="S894" i="2"/>
  <c r="S893" i="2"/>
  <c r="S892" i="2"/>
  <c r="S891" i="2"/>
  <c r="S890" i="2"/>
  <c r="S889" i="2"/>
  <c r="S888" i="2"/>
  <c r="S887" i="2"/>
  <c r="S886" i="2"/>
  <c r="S885" i="2"/>
  <c r="S884" i="2"/>
  <c r="S883" i="2"/>
  <c r="S882" i="2"/>
  <c r="S881" i="2"/>
  <c r="S880" i="2"/>
  <c r="S879" i="2"/>
  <c r="S878" i="2"/>
  <c r="S877" i="2"/>
  <c r="S876" i="2"/>
  <c r="S875" i="2"/>
  <c r="S874" i="2"/>
  <c r="S873" i="2"/>
  <c r="S872" i="2"/>
  <c r="S871" i="2"/>
  <c r="S870" i="2"/>
  <c r="S869" i="2"/>
  <c r="S868" i="2"/>
  <c r="S867" i="2"/>
  <c r="S866" i="2"/>
  <c r="S865" i="2"/>
  <c r="S864" i="2"/>
  <c r="S863" i="2"/>
  <c r="S862" i="2"/>
  <c r="S861" i="2"/>
  <c r="S860" i="2"/>
  <c r="S859" i="2"/>
  <c r="S858" i="2"/>
  <c r="S857" i="2"/>
  <c r="S856" i="2"/>
  <c r="S855" i="2"/>
  <c r="S854" i="2"/>
  <c r="S853" i="2"/>
  <c r="S852" i="2"/>
  <c r="S851" i="2"/>
  <c r="S850" i="2"/>
  <c r="S849" i="2"/>
  <c r="S848" i="2"/>
  <c r="S847" i="2"/>
  <c r="S846" i="2"/>
  <c r="S845" i="2"/>
  <c r="S844" i="2"/>
  <c r="S843" i="2"/>
  <c r="S842" i="2"/>
  <c r="S841" i="2"/>
  <c r="S840" i="2"/>
  <c r="S839" i="2"/>
  <c r="S838" i="2"/>
  <c r="S837" i="2"/>
  <c r="S836" i="2"/>
  <c r="S835" i="2"/>
  <c r="S834" i="2"/>
  <c r="S833" i="2"/>
  <c r="S832" i="2"/>
  <c r="S831" i="2"/>
  <c r="S830" i="2"/>
  <c r="S829" i="2"/>
  <c r="S828" i="2"/>
  <c r="S827" i="2"/>
  <c r="S826" i="2"/>
  <c r="S825" i="2"/>
  <c r="S824" i="2"/>
  <c r="S823" i="2"/>
  <c r="S822" i="2"/>
  <c r="S821" i="2"/>
  <c r="S820" i="2"/>
  <c r="S819" i="2"/>
  <c r="S818" i="2"/>
  <c r="S817" i="2"/>
  <c r="S816" i="2"/>
  <c r="S815" i="2"/>
  <c r="S814" i="2"/>
  <c r="S813" i="2"/>
  <c r="S812" i="2"/>
  <c r="S811" i="2"/>
  <c r="S810" i="2"/>
  <c r="S809" i="2"/>
  <c r="S808" i="2"/>
  <c r="S807" i="2"/>
  <c r="S806" i="2"/>
  <c r="S805" i="2"/>
  <c r="S804" i="2"/>
  <c r="S803" i="2"/>
  <c r="S802" i="2"/>
  <c r="S801" i="2"/>
  <c r="S800" i="2"/>
  <c r="S799" i="2"/>
  <c r="S798" i="2"/>
  <c r="S797" i="2"/>
  <c r="S796" i="2"/>
  <c r="S795" i="2"/>
  <c r="S794" i="2"/>
  <c r="S793" i="2"/>
  <c r="S792" i="2"/>
  <c r="S791" i="2"/>
  <c r="S790" i="2"/>
  <c r="S789" i="2"/>
  <c r="S788" i="2"/>
  <c r="S787" i="2"/>
  <c r="S786" i="2"/>
  <c r="S785" i="2"/>
  <c r="S784" i="2"/>
  <c r="S783" i="2"/>
  <c r="S782" i="2"/>
  <c r="S781" i="2"/>
  <c r="S780" i="2"/>
  <c r="S779" i="2"/>
  <c r="S778" i="2"/>
  <c r="S777" i="2"/>
  <c r="S776" i="2"/>
  <c r="S775" i="2"/>
  <c r="S774" i="2"/>
  <c r="S773" i="2"/>
  <c r="S772" i="2"/>
  <c r="S771" i="2"/>
  <c r="S770" i="2"/>
  <c r="S769" i="2"/>
  <c r="S768" i="2"/>
  <c r="S767" i="2"/>
  <c r="S766" i="2"/>
  <c r="S765" i="2"/>
  <c r="S764" i="2"/>
  <c r="S763" i="2"/>
  <c r="S762" i="2"/>
  <c r="S761" i="2"/>
  <c r="S760" i="2"/>
  <c r="S759" i="2"/>
  <c r="S758" i="2"/>
  <c r="S757" i="2"/>
  <c r="S756" i="2"/>
  <c r="S755" i="2"/>
  <c r="S754" i="2"/>
  <c r="S753" i="2"/>
  <c r="S752" i="2"/>
  <c r="S751" i="2"/>
  <c r="S750" i="2"/>
  <c r="S749" i="2"/>
  <c r="S748" i="2"/>
  <c r="S747" i="2"/>
  <c r="S746" i="2"/>
  <c r="S745" i="2"/>
  <c r="S744" i="2"/>
  <c r="S743" i="2"/>
  <c r="S742" i="2"/>
  <c r="S741" i="2"/>
  <c r="S740" i="2"/>
  <c r="S739" i="2"/>
  <c r="S738" i="2"/>
  <c r="S737" i="2"/>
  <c r="S736" i="2"/>
  <c r="S735" i="2"/>
  <c r="S734" i="2"/>
  <c r="S733" i="2"/>
  <c r="S732" i="2"/>
  <c r="S731" i="2"/>
  <c r="S730" i="2"/>
  <c r="S729" i="2"/>
  <c r="S728" i="2"/>
  <c r="S727" i="2"/>
  <c r="S726" i="2"/>
  <c r="S725" i="2"/>
  <c r="S724" i="2"/>
  <c r="S723" i="2"/>
  <c r="S722" i="2"/>
  <c r="S721" i="2"/>
  <c r="S720" i="2"/>
  <c r="S719" i="2"/>
  <c r="S718" i="2"/>
  <c r="S717" i="2"/>
  <c r="S716" i="2"/>
  <c r="S715" i="2"/>
  <c r="S714" i="2"/>
  <c r="S713" i="2"/>
  <c r="S712" i="2"/>
  <c r="S711" i="2"/>
  <c r="S710" i="2"/>
  <c r="S709" i="2"/>
  <c r="S708" i="2"/>
  <c r="S707" i="2"/>
  <c r="S706" i="2"/>
  <c r="S705" i="2"/>
  <c r="S704" i="2"/>
  <c r="S703" i="2"/>
  <c r="S702" i="2"/>
  <c r="S701" i="2"/>
  <c r="S700" i="2"/>
  <c r="S699" i="2"/>
  <c r="S698" i="2"/>
  <c r="S697" i="2"/>
  <c r="S696" i="2"/>
  <c r="S695" i="2"/>
  <c r="S694" i="2"/>
  <c r="S693" i="2"/>
  <c r="S692" i="2"/>
  <c r="S691" i="2"/>
  <c r="S690" i="2"/>
  <c r="S689" i="2"/>
  <c r="S688" i="2"/>
  <c r="S687" i="2"/>
  <c r="S686" i="2"/>
  <c r="S685" i="2"/>
  <c r="S684" i="2"/>
  <c r="S683" i="2"/>
  <c r="S682" i="2"/>
  <c r="S681" i="2"/>
  <c r="S680" i="2"/>
  <c r="S679" i="2"/>
  <c r="S678" i="2"/>
  <c r="S677" i="2"/>
  <c r="S676" i="2"/>
  <c r="S675" i="2"/>
  <c r="S674" i="2"/>
  <c r="S673" i="2"/>
  <c r="S672" i="2"/>
  <c r="S671" i="2"/>
  <c r="S670" i="2"/>
  <c r="S669" i="2"/>
  <c r="S668" i="2"/>
  <c r="S667" i="2"/>
  <c r="S666" i="2"/>
  <c r="S665" i="2"/>
  <c r="S664" i="2"/>
  <c r="S663" i="2"/>
  <c r="S662" i="2"/>
  <c r="S661" i="2"/>
  <c r="S660" i="2"/>
  <c r="S659" i="2"/>
  <c r="S658" i="2"/>
  <c r="S657" i="2"/>
  <c r="S656" i="2"/>
  <c r="S655" i="2"/>
  <c r="S654" i="2"/>
  <c r="S653" i="2"/>
  <c r="S652" i="2"/>
  <c r="S651" i="2"/>
  <c r="S650" i="2"/>
  <c r="S649" i="2"/>
  <c r="S648" i="2"/>
  <c r="S647" i="2"/>
  <c r="S646" i="2"/>
  <c r="S645" i="2"/>
  <c r="S644" i="2"/>
  <c r="S643" i="2"/>
  <c r="S642" i="2"/>
  <c r="S641" i="2"/>
  <c r="S640" i="2"/>
  <c r="S639" i="2"/>
  <c r="S638" i="2"/>
  <c r="S637" i="2"/>
  <c r="S636" i="2"/>
  <c r="S635" i="2"/>
  <c r="S634" i="2"/>
  <c r="S633" i="2"/>
  <c r="S632" i="2"/>
  <c r="S631" i="2"/>
  <c r="S630" i="2"/>
  <c r="S629" i="2"/>
  <c r="S628" i="2"/>
  <c r="S627" i="2"/>
  <c r="S626" i="2"/>
  <c r="S625" i="2"/>
  <c r="S624" i="2"/>
  <c r="S623" i="2"/>
  <c r="S622" i="2"/>
  <c r="S621" i="2"/>
  <c r="S620" i="2"/>
  <c r="S619" i="2"/>
  <c r="S618" i="2"/>
  <c r="S617" i="2"/>
  <c r="S616" i="2"/>
  <c r="S615" i="2"/>
  <c r="S614" i="2"/>
  <c r="S613" i="2"/>
  <c r="S612" i="2"/>
  <c r="S611" i="2"/>
  <c r="S610" i="2"/>
  <c r="S609" i="2"/>
  <c r="S608" i="2"/>
  <c r="S607" i="2"/>
  <c r="S606" i="2"/>
  <c r="S605" i="2"/>
  <c r="S604" i="2"/>
  <c r="S603" i="2"/>
  <c r="S602" i="2"/>
  <c r="S601" i="2"/>
  <c r="S600" i="2"/>
  <c r="S599" i="2"/>
  <c r="S598" i="2"/>
  <c r="S597" i="2"/>
  <c r="S596" i="2"/>
  <c r="S595" i="2"/>
  <c r="S594" i="2"/>
  <c r="S593" i="2"/>
  <c r="S592" i="2"/>
  <c r="S591" i="2"/>
  <c r="S590" i="2"/>
  <c r="S589" i="2"/>
  <c r="S588" i="2"/>
  <c r="S587" i="2"/>
  <c r="S586" i="2"/>
  <c r="S585" i="2"/>
  <c r="S584" i="2"/>
  <c r="S583" i="2"/>
  <c r="S582" i="2"/>
  <c r="S581" i="2"/>
  <c r="S580" i="2"/>
  <c r="S579" i="2"/>
  <c r="S578" i="2"/>
  <c r="S577" i="2"/>
  <c r="S576" i="2"/>
  <c r="S575" i="2"/>
  <c r="S574" i="2"/>
  <c r="S573" i="2"/>
  <c r="S572" i="2"/>
  <c r="S571" i="2"/>
  <c r="S570" i="2"/>
  <c r="S569" i="2"/>
  <c r="S568" i="2"/>
  <c r="S567" i="2"/>
  <c r="S566" i="2"/>
  <c r="S565" i="2"/>
  <c r="S564" i="2"/>
  <c r="S563" i="2"/>
  <c r="S562" i="2"/>
  <c r="S561" i="2"/>
  <c r="S560" i="2"/>
  <c r="S559" i="2"/>
  <c r="S558" i="2"/>
  <c r="S557" i="2"/>
  <c r="S556" i="2"/>
  <c r="S555" i="2"/>
  <c r="S554" i="2"/>
  <c r="S553" i="2"/>
  <c r="S552" i="2"/>
  <c r="S551" i="2"/>
  <c r="S550" i="2"/>
  <c r="S549" i="2"/>
  <c r="S548" i="2"/>
  <c r="S547" i="2"/>
  <c r="S546" i="2"/>
  <c r="S545" i="2"/>
  <c r="S544" i="2"/>
  <c r="S543" i="2"/>
  <c r="S542" i="2"/>
  <c r="S541" i="2"/>
  <c r="S540" i="2"/>
  <c r="S539" i="2"/>
  <c r="S538" i="2"/>
  <c r="S537" i="2"/>
  <c r="S536" i="2"/>
  <c r="S535" i="2"/>
  <c r="S534" i="2"/>
  <c r="S533" i="2"/>
  <c r="S532" i="2"/>
  <c r="S531" i="2"/>
  <c r="S530" i="2"/>
  <c r="S529" i="2"/>
  <c r="S528" i="2"/>
  <c r="S527" i="2"/>
  <c r="S526" i="2"/>
  <c r="S525" i="2"/>
  <c r="S524" i="2"/>
  <c r="S523" i="2"/>
  <c r="S522" i="2"/>
  <c r="S521" i="2"/>
  <c r="S520" i="2"/>
  <c r="S519" i="2"/>
  <c r="S518" i="2"/>
  <c r="S517" i="2"/>
  <c r="S516" i="2"/>
  <c r="S515" i="2"/>
  <c r="S514" i="2"/>
  <c r="S513" i="2"/>
  <c r="S512" i="2"/>
  <c r="S511" i="2"/>
  <c r="S510" i="2"/>
  <c r="S509" i="2"/>
  <c r="S508" i="2"/>
  <c r="S507" i="2"/>
  <c r="S506" i="2"/>
  <c r="S505" i="2"/>
  <c r="S504" i="2"/>
  <c r="S503" i="2"/>
  <c r="S502" i="2"/>
  <c r="S501" i="2"/>
  <c r="S500" i="2"/>
  <c r="S499" i="2"/>
  <c r="S498" i="2"/>
  <c r="S497" i="2"/>
  <c r="S496" i="2"/>
  <c r="S495" i="2"/>
  <c r="S494" i="2"/>
  <c r="S493" i="2"/>
  <c r="S492" i="2"/>
  <c r="S491" i="2"/>
  <c r="S490" i="2"/>
  <c r="S489" i="2"/>
  <c r="S488" i="2"/>
  <c r="S487" i="2"/>
  <c r="S486" i="2"/>
  <c r="S485" i="2"/>
  <c r="S484" i="2"/>
  <c r="S483" i="2"/>
  <c r="S482" i="2"/>
  <c r="S481" i="2"/>
  <c r="S480" i="2"/>
  <c r="S479" i="2"/>
  <c r="S478" i="2"/>
  <c r="S477" i="2"/>
  <c r="S476" i="2"/>
  <c r="S475" i="2"/>
  <c r="S474" i="2"/>
  <c r="S473" i="2"/>
  <c r="S472" i="2"/>
  <c r="S471" i="2"/>
  <c r="S470" i="2"/>
  <c r="S469" i="2"/>
  <c r="S468" i="2"/>
  <c r="S467" i="2"/>
  <c r="S466" i="2"/>
  <c r="S465" i="2"/>
  <c r="S464" i="2"/>
  <c r="S463" i="2"/>
  <c r="S462" i="2"/>
  <c r="S461" i="2"/>
  <c r="S460" i="2"/>
  <c r="S459" i="2"/>
  <c r="S458" i="2"/>
  <c r="S457" i="2"/>
  <c r="S456" i="2"/>
  <c r="S455" i="2"/>
  <c r="S454" i="2"/>
  <c r="S453" i="2"/>
  <c r="S452" i="2"/>
  <c r="S451" i="2"/>
  <c r="S450" i="2"/>
  <c r="S449" i="2"/>
  <c r="S448" i="2"/>
  <c r="S447" i="2"/>
  <c r="S446" i="2"/>
  <c r="S445" i="2"/>
  <c r="S444" i="2"/>
  <c r="S443" i="2"/>
  <c r="S442" i="2"/>
  <c r="S441" i="2"/>
  <c r="S440" i="2"/>
  <c r="S439" i="2"/>
  <c r="S438" i="2"/>
  <c r="S437" i="2"/>
  <c r="S436" i="2"/>
  <c r="S435" i="2"/>
  <c r="S434" i="2"/>
  <c r="S433" i="2"/>
  <c r="S432" i="2"/>
  <c r="S431" i="2"/>
  <c r="S430" i="2"/>
  <c r="S429" i="2"/>
  <c r="S428" i="2"/>
  <c r="S427" i="2"/>
  <c r="S426" i="2"/>
  <c r="S425" i="2"/>
  <c r="S424" i="2"/>
  <c r="S423" i="2"/>
  <c r="S422" i="2"/>
  <c r="S421" i="2"/>
  <c r="S420" i="2"/>
  <c r="S419" i="2"/>
  <c r="S418" i="2"/>
  <c r="S417" i="2"/>
  <c r="S416" i="2"/>
  <c r="S415" i="2"/>
  <c r="S414" i="2"/>
  <c r="S413" i="2"/>
  <c r="S412" i="2"/>
  <c r="S411" i="2"/>
  <c r="S410" i="2"/>
  <c r="S409" i="2"/>
  <c r="S408" i="2"/>
  <c r="S407" i="2"/>
  <c r="S406" i="2"/>
  <c r="S405" i="2"/>
  <c r="S404" i="2"/>
  <c r="S403" i="2"/>
  <c r="S402" i="2"/>
  <c r="S401" i="2"/>
  <c r="S400" i="2"/>
  <c r="S399" i="2"/>
  <c r="S398" i="2"/>
  <c r="S397" i="2"/>
  <c r="S396" i="2"/>
  <c r="S395" i="2"/>
  <c r="S394" i="2"/>
  <c r="S393" i="2"/>
  <c r="S392" i="2"/>
  <c r="S391" i="2"/>
  <c r="S390" i="2"/>
  <c r="S389" i="2"/>
  <c r="S388" i="2"/>
  <c r="S387" i="2"/>
  <c r="S386" i="2"/>
  <c r="S385" i="2"/>
  <c r="S384" i="2"/>
  <c r="S383" i="2"/>
  <c r="S382" i="2"/>
  <c r="S381" i="2"/>
  <c r="S380" i="2"/>
  <c r="S379" i="2"/>
  <c r="S378" i="2"/>
  <c r="S377" i="2"/>
  <c r="S376" i="2"/>
  <c r="S375" i="2"/>
  <c r="S374" i="2"/>
  <c r="S373" i="2"/>
  <c r="S372" i="2"/>
  <c r="S371" i="2"/>
  <c r="S370" i="2"/>
  <c r="S369" i="2"/>
  <c r="S368" i="2"/>
  <c r="S367" i="2"/>
  <c r="S366" i="2"/>
  <c r="S365" i="2"/>
  <c r="S364" i="2"/>
  <c r="S363" i="2"/>
  <c r="S362" i="2"/>
  <c r="S361" i="2"/>
  <c r="S360" i="2"/>
  <c r="S359" i="2"/>
  <c r="S358" i="2"/>
  <c r="S357" i="2"/>
  <c r="S356" i="2"/>
  <c r="S355" i="2"/>
  <c r="S354" i="2"/>
  <c r="S353" i="2"/>
  <c r="S352" i="2"/>
  <c r="S351" i="2"/>
  <c r="S350" i="2"/>
  <c r="S349" i="2"/>
  <c r="S348" i="2"/>
  <c r="S347" i="2"/>
  <c r="S346" i="2"/>
  <c r="S345" i="2"/>
  <c r="S344" i="2"/>
  <c r="S343" i="2"/>
  <c r="S342" i="2"/>
  <c r="S341" i="2"/>
  <c r="S340" i="2"/>
  <c r="S339" i="2"/>
  <c r="S338" i="2"/>
  <c r="S337" i="2"/>
  <c r="S336" i="2"/>
  <c r="S335" i="2"/>
  <c r="S334" i="2"/>
  <c r="S333" i="2"/>
  <c r="S332" i="2"/>
  <c r="S331" i="2"/>
  <c r="S330" i="2"/>
  <c r="S329" i="2"/>
  <c r="S328" i="2"/>
  <c r="S327" i="2"/>
  <c r="S326" i="2"/>
  <c r="S325" i="2"/>
  <c r="S324" i="2"/>
  <c r="S323" i="2"/>
  <c r="S322" i="2"/>
  <c r="S321" i="2"/>
  <c r="S320" i="2"/>
  <c r="S319" i="2"/>
  <c r="S318" i="2"/>
  <c r="S317" i="2"/>
  <c r="S316" i="2"/>
  <c r="S315" i="2"/>
  <c r="S314" i="2"/>
  <c r="S313" i="2"/>
  <c r="S312" i="2"/>
  <c r="S311" i="2"/>
  <c r="S310" i="2"/>
  <c r="S309" i="2"/>
  <c r="S308" i="2"/>
  <c r="S307" i="2"/>
  <c r="S306" i="2"/>
  <c r="S305" i="2"/>
  <c r="S304" i="2"/>
  <c r="S303" i="2"/>
  <c r="S302" i="2"/>
  <c r="S301" i="2"/>
  <c r="S300" i="2"/>
  <c r="S299" i="2"/>
  <c r="S298" i="2"/>
  <c r="S297" i="2"/>
  <c r="S296" i="2"/>
  <c r="S295" i="2"/>
  <c r="S294" i="2"/>
  <c r="S293" i="2"/>
  <c r="S292" i="2"/>
  <c r="S291" i="2"/>
  <c r="S290" i="2"/>
  <c r="S289" i="2"/>
  <c r="S288" i="2"/>
  <c r="S287" i="2"/>
  <c r="S286" i="2"/>
  <c r="S285"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3" i="2"/>
  <c r="S252" i="2"/>
  <c r="S251"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215" i="2"/>
  <c r="S214" i="2"/>
  <c r="S213"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S2" i="2"/>
  <c r="Q974" i="2"/>
  <c r="R974" i="2" s="1"/>
  <c r="Q910" i="2"/>
  <c r="R910" i="2" s="1"/>
  <c r="Q239" i="2"/>
  <c r="R239" i="2" s="1"/>
  <c r="P998" i="2"/>
  <c r="P995" i="2"/>
  <c r="P989" i="2"/>
  <c r="P986" i="2"/>
  <c r="P974" i="2"/>
  <c r="P950" i="2"/>
  <c r="P947" i="2"/>
  <c r="P936" i="2"/>
  <c r="P935" i="2"/>
  <c r="P926" i="2"/>
  <c r="P914" i="2"/>
  <c r="P875" i="2"/>
  <c r="P870" i="2"/>
  <c r="P869" i="2"/>
  <c r="P842" i="2"/>
  <c r="P806" i="2"/>
  <c r="P803" i="2"/>
  <c r="P792" i="2"/>
  <c r="P782" i="2"/>
  <c r="P770" i="2"/>
  <c r="P759" i="2"/>
  <c r="P746" i="2"/>
  <c r="P743" i="2"/>
  <c r="P738" i="2"/>
  <c r="P710" i="2"/>
  <c r="P687" i="2"/>
  <c r="P686" i="2"/>
  <c r="P674" i="2"/>
  <c r="P671" i="2"/>
  <c r="P662" i="2"/>
  <c r="P638" i="2"/>
  <c r="P626" i="2"/>
  <c r="P623" i="2"/>
  <c r="P622" i="2"/>
  <c r="P610" i="2"/>
  <c r="P602" i="2"/>
  <c r="P566" i="2"/>
  <c r="P563" i="2"/>
  <c r="P554" i="2"/>
  <c r="P542" i="2"/>
  <c r="P482" i="2"/>
  <c r="P467" i="2"/>
  <c r="P466" i="2"/>
  <c r="P422" i="2"/>
  <c r="P398" i="2"/>
  <c r="P386" i="2"/>
  <c r="P385" i="2"/>
  <c r="P363" i="2"/>
  <c r="P362" i="2"/>
  <c r="P338" i="2"/>
  <c r="P302" i="2"/>
  <c r="P290" i="2"/>
  <c r="P266" i="2"/>
  <c r="P255" i="2"/>
  <c r="P241" i="2"/>
  <c r="P227" i="2"/>
  <c r="P222" i="2"/>
  <c r="P221" i="2"/>
  <c r="P193" i="2"/>
  <c r="P153" i="2"/>
  <c r="P150" i="2"/>
  <c r="P147" i="2"/>
  <c r="P121" i="2"/>
  <c r="P93" i="2"/>
  <c r="P66" i="2"/>
  <c r="P53" i="2"/>
  <c r="O1001" i="2"/>
  <c r="P1001" i="2" s="1"/>
  <c r="G9" i="5" s="1"/>
  <c r="O1000" i="2"/>
  <c r="P1000" i="2" s="1"/>
  <c r="O999" i="2"/>
  <c r="P999" i="2" s="1"/>
  <c r="O998" i="2"/>
  <c r="O997" i="2"/>
  <c r="P997" i="2" s="1"/>
  <c r="O996" i="2"/>
  <c r="P996" i="2" s="1"/>
  <c r="O995" i="2"/>
  <c r="O994" i="2"/>
  <c r="P994" i="2" s="1"/>
  <c r="O993" i="2"/>
  <c r="P993" i="2" s="1"/>
  <c r="O992" i="2"/>
  <c r="P992" i="2" s="1"/>
  <c r="O991" i="2"/>
  <c r="P991" i="2" s="1"/>
  <c r="O990" i="2"/>
  <c r="P990" i="2" s="1"/>
  <c r="O989" i="2"/>
  <c r="O988" i="2"/>
  <c r="P988" i="2" s="1"/>
  <c r="O987" i="2"/>
  <c r="P987" i="2" s="1"/>
  <c r="O986" i="2"/>
  <c r="O985" i="2"/>
  <c r="P985" i="2" s="1"/>
  <c r="O984" i="2"/>
  <c r="P984" i="2" s="1"/>
  <c r="O983" i="2"/>
  <c r="P983" i="2" s="1"/>
  <c r="O982" i="2"/>
  <c r="P982" i="2" s="1"/>
  <c r="O981" i="2"/>
  <c r="P981" i="2" s="1"/>
  <c r="O980" i="2"/>
  <c r="P980" i="2" s="1"/>
  <c r="O979" i="2"/>
  <c r="P979" i="2" s="1"/>
  <c r="O978" i="2"/>
  <c r="P978" i="2" s="1"/>
  <c r="O977" i="2"/>
  <c r="P977" i="2" s="1"/>
  <c r="O976" i="2"/>
  <c r="P976" i="2" s="1"/>
  <c r="O975" i="2"/>
  <c r="P975" i="2" s="1"/>
  <c r="O974" i="2"/>
  <c r="O973" i="2"/>
  <c r="P973" i="2" s="1"/>
  <c r="O972" i="2"/>
  <c r="P972" i="2" s="1"/>
  <c r="O971" i="2"/>
  <c r="P971" i="2" s="1"/>
  <c r="O970" i="2"/>
  <c r="P970" i="2" s="1"/>
  <c r="O969" i="2"/>
  <c r="P969" i="2" s="1"/>
  <c r="O968" i="2"/>
  <c r="P968" i="2" s="1"/>
  <c r="O967" i="2"/>
  <c r="P967" i="2" s="1"/>
  <c r="O966" i="2"/>
  <c r="P966" i="2" s="1"/>
  <c r="O965" i="2"/>
  <c r="P965" i="2" s="1"/>
  <c r="O964" i="2"/>
  <c r="P964" i="2" s="1"/>
  <c r="O963" i="2"/>
  <c r="P963" i="2" s="1"/>
  <c r="O962" i="2"/>
  <c r="P962" i="2" s="1"/>
  <c r="O961" i="2"/>
  <c r="P961" i="2" s="1"/>
  <c r="O960" i="2"/>
  <c r="P960" i="2" s="1"/>
  <c r="O959" i="2"/>
  <c r="P959" i="2" s="1"/>
  <c r="O958" i="2"/>
  <c r="P958" i="2" s="1"/>
  <c r="O957" i="2"/>
  <c r="P957" i="2" s="1"/>
  <c r="O956" i="2"/>
  <c r="P956" i="2" s="1"/>
  <c r="O955" i="2"/>
  <c r="P955" i="2" s="1"/>
  <c r="O954" i="2"/>
  <c r="P954" i="2" s="1"/>
  <c r="O953" i="2"/>
  <c r="P953" i="2" s="1"/>
  <c r="O952" i="2"/>
  <c r="P952" i="2" s="1"/>
  <c r="O951" i="2"/>
  <c r="P951" i="2" s="1"/>
  <c r="O950" i="2"/>
  <c r="O949" i="2"/>
  <c r="P949" i="2" s="1"/>
  <c r="O948" i="2"/>
  <c r="P948" i="2" s="1"/>
  <c r="O947" i="2"/>
  <c r="O946" i="2"/>
  <c r="P946" i="2" s="1"/>
  <c r="O945" i="2"/>
  <c r="P945" i="2" s="1"/>
  <c r="O944" i="2"/>
  <c r="P944" i="2" s="1"/>
  <c r="O943" i="2"/>
  <c r="P943" i="2" s="1"/>
  <c r="O942" i="2"/>
  <c r="P942" i="2" s="1"/>
  <c r="O941" i="2"/>
  <c r="P941" i="2" s="1"/>
  <c r="O940" i="2"/>
  <c r="P940" i="2" s="1"/>
  <c r="O939" i="2"/>
  <c r="P939" i="2" s="1"/>
  <c r="O938" i="2"/>
  <c r="P938" i="2" s="1"/>
  <c r="O937" i="2"/>
  <c r="P937" i="2" s="1"/>
  <c r="O936" i="2"/>
  <c r="O935" i="2"/>
  <c r="O934" i="2"/>
  <c r="P934" i="2" s="1"/>
  <c r="O933" i="2"/>
  <c r="P933" i="2" s="1"/>
  <c r="O932" i="2"/>
  <c r="P932" i="2" s="1"/>
  <c r="O931" i="2"/>
  <c r="P931" i="2" s="1"/>
  <c r="O930" i="2"/>
  <c r="P930" i="2" s="1"/>
  <c r="O929" i="2"/>
  <c r="P929" i="2" s="1"/>
  <c r="O928" i="2"/>
  <c r="P928" i="2" s="1"/>
  <c r="O927" i="2"/>
  <c r="P927" i="2" s="1"/>
  <c r="O926" i="2"/>
  <c r="O925" i="2"/>
  <c r="P925" i="2" s="1"/>
  <c r="O924" i="2"/>
  <c r="P924" i="2" s="1"/>
  <c r="O923" i="2"/>
  <c r="P923" i="2" s="1"/>
  <c r="O922" i="2"/>
  <c r="P922" i="2" s="1"/>
  <c r="O921" i="2"/>
  <c r="P921" i="2" s="1"/>
  <c r="O920" i="2"/>
  <c r="P920" i="2" s="1"/>
  <c r="O919" i="2"/>
  <c r="P919" i="2" s="1"/>
  <c r="O918" i="2"/>
  <c r="P918" i="2" s="1"/>
  <c r="O917" i="2"/>
  <c r="P917" i="2" s="1"/>
  <c r="O916" i="2"/>
  <c r="C46" i="5" s="1"/>
  <c r="D46" i="5" s="1"/>
  <c r="O915" i="2"/>
  <c r="P915" i="2" s="1"/>
  <c r="O914" i="2"/>
  <c r="O913" i="2"/>
  <c r="P913" i="2" s="1"/>
  <c r="O912" i="2"/>
  <c r="P912" i="2" s="1"/>
  <c r="O911" i="2"/>
  <c r="P911" i="2" s="1"/>
  <c r="O910" i="2"/>
  <c r="P910" i="2" s="1"/>
  <c r="O909" i="2"/>
  <c r="P909" i="2" s="1"/>
  <c r="O908" i="2"/>
  <c r="P908" i="2" s="1"/>
  <c r="O907" i="2"/>
  <c r="P907" i="2" s="1"/>
  <c r="O906" i="2"/>
  <c r="P906" i="2" s="1"/>
  <c r="O905" i="2"/>
  <c r="P905" i="2" s="1"/>
  <c r="O904" i="2"/>
  <c r="P904" i="2" s="1"/>
  <c r="O903" i="2"/>
  <c r="P903" i="2" s="1"/>
  <c r="O902" i="2"/>
  <c r="P902" i="2" s="1"/>
  <c r="O901" i="2"/>
  <c r="P901" i="2" s="1"/>
  <c r="O900" i="2"/>
  <c r="P900" i="2" s="1"/>
  <c r="O899" i="2"/>
  <c r="P899" i="2" s="1"/>
  <c r="O898" i="2"/>
  <c r="P898" i="2" s="1"/>
  <c r="O897" i="2"/>
  <c r="P897" i="2" s="1"/>
  <c r="O896" i="2"/>
  <c r="P896" i="2" s="1"/>
  <c r="O895" i="2"/>
  <c r="P895" i="2" s="1"/>
  <c r="O894" i="2"/>
  <c r="P894" i="2" s="1"/>
  <c r="O893" i="2"/>
  <c r="P893" i="2" s="1"/>
  <c r="O892" i="2"/>
  <c r="P892" i="2" s="1"/>
  <c r="O891" i="2"/>
  <c r="P891" i="2" s="1"/>
  <c r="O890" i="2"/>
  <c r="P890" i="2" s="1"/>
  <c r="O889" i="2"/>
  <c r="P889" i="2" s="1"/>
  <c r="O888" i="2"/>
  <c r="P888" i="2" s="1"/>
  <c r="O887" i="2"/>
  <c r="P887" i="2" s="1"/>
  <c r="O886" i="2"/>
  <c r="O885" i="2"/>
  <c r="P885" i="2" s="1"/>
  <c r="O884" i="2"/>
  <c r="P884" i="2" s="1"/>
  <c r="O883" i="2"/>
  <c r="P883" i="2" s="1"/>
  <c r="O882" i="2"/>
  <c r="P882" i="2" s="1"/>
  <c r="O881" i="2"/>
  <c r="P881" i="2" s="1"/>
  <c r="O880" i="2"/>
  <c r="P880" i="2" s="1"/>
  <c r="O879" i="2"/>
  <c r="P879" i="2" s="1"/>
  <c r="O878" i="2"/>
  <c r="P878" i="2" s="1"/>
  <c r="O877" i="2"/>
  <c r="P877" i="2" s="1"/>
  <c r="O876" i="2"/>
  <c r="P876" i="2" s="1"/>
  <c r="O875" i="2"/>
  <c r="O874" i="2"/>
  <c r="P874" i="2" s="1"/>
  <c r="O873" i="2"/>
  <c r="P873" i="2" s="1"/>
  <c r="O872" i="2"/>
  <c r="P872" i="2" s="1"/>
  <c r="O871" i="2"/>
  <c r="P871" i="2" s="1"/>
  <c r="O870" i="2"/>
  <c r="O869" i="2"/>
  <c r="O868" i="2"/>
  <c r="P868" i="2" s="1"/>
  <c r="O867" i="2"/>
  <c r="P867" i="2" s="1"/>
  <c r="O866" i="2"/>
  <c r="P866" i="2" s="1"/>
  <c r="O865" i="2"/>
  <c r="P865" i="2" s="1"/>
  <c r="O864" i="2"/>
  <c r="P864" i="2" s="1"/>
  <c r="O863" i="2"/>
  <c r="P863" i="2" s="1"/>
  <c r="O862" i="2"/>
  <c r="P862" i="2" s="1"/>
  <c r="O861" i="2"/>
  <c r="P861" i="2" s="1"/>
  <c r="O860" i="2"/>
  <c r="P860" i="2" s="1"/>
  <c r="O859" i="2"/>
  <c r="P859" i="2" s="1"/>
  <c r="O858" i="2"/>
  <c r="P858" i="2" s="1"/>
  <c r="O857" i="2"/>
  <c r="P857" i="2" s="1"/>
  <c r="O856" i="2"/>
  <c r="P856" i="2" s="1"/>
  <c r="O855" i="2"/>
  <c r="O854" i="2"/>
  <c r="P854" i="2" s="1"/>
  <c r="O853" i="2"/>
  <c r="P853" i="2" s="1"/>
  <c r="O852" i="2"/>
  <c r="P852" i="2" s="1"/>
  <c r="O851" i="2"/>
  <c r="P851" i="2" s="1"/>
  <c r="O850" i="2"/>
  <c r="P850" i="2" s="1"/>
  <c r="O849" i="2"/>
  <c r="P849" i="2" s="1"/>
  <c r="O848" i="2"/>
  <c r="P848" i="2" s="1"/>
  <c r="O847" i="2"/>
  <c r="P847" i="2" s="1"/>
  <c r="O846" i="2"/>
  <c r="P846" i="2" s="1"/>
  <c r="O845" i="2"/>
  <c r="P845" i="2" s="1"/>
  <c r="O844" i="2"/>
  <c r="P844" i="2" s="1"/>
  <c r="O843" i="2"/>
  <c r="P843" i="2" s="1"/>
  <c r="O842" i="2"/>
  <c r="O841" i="2"/>
  <c r="P841" i="2" s="1"/>
  <c r="O840" i="2"/>
  <c r="P840" i="2" s="1"/>
  <c r="O839" i="2"/>
  <c r="P839" i="2" s="1"/>
  <c r="O838" i="2"/>
  <c r="P838" i="2" s="1"/>
  <c r="O837" i="2"/>
  <c r="P837" i="2" s="1"/>
  <c r="O836" i="2"/>
  <c r="P836" i="2" s="1"/>
  <c r="O835" i="2"/>
  <c r="P835" i="2" s="1"/>
  <c r="O834" i="2"/>
  <c r="P834" i="2" s="1"/>
  <c r="O833" i="2"/>
  <c r="P833" i="2" s="1"/>
  <c r="O832" i="2"/>
  <c r="P832" i="2" s="1"/>
  <c r="O831" i="2"/>
  <c r="P831" i="2" s="1"/>
  <c r="O830" i="2"/>
  <c r="P830" i="2" s="1"/>
  <c r="O829" i="2"/>
  <c r="P829" i="2" s="1"/>
  <c r="O828" i="2"/>
  <c r="P828" i="2" s="1"/>
  <c r="O827" i="2"/>
  <c r="P827" i="2" s="1"/>
  <c r="O826" i="2"/>
  <c r="P826" i="2" s="1"/>
  <c r="O825" i="2"/>
  <c r="O824" i="2"/>
  <c r="P824" i="2" s="1"/>
  <c r="O823" i="2"/>
  <c r="P823" i="2" s="1"/>
  <c r="O822" i="2"/>
  <c r="P822" i="2" s="1"/>
  <c r="O821" i="2"/>
  <c r="P821" i="2" s="1"/>
  <c r="O820" i="2"/>
  <c r="P820" i="2" s="1"/>
  <c r="O819" i="2"/>
  <c r="P819" i="2" s="1"/>
  <c r="O818" i="2"/>
  <c r="P818" i="2" s="1"/>
  <c r="O817" i="2"/>
  <c r="P817" i="2" s="1"/>
  <c r="O816" i="2"/>
  <c r="P816" i="2" s="1"/>
  <c r="O815" i="2"/>
  <c r="P815" i="2" s="1"/>
  <c r="O814" i="2"/>
  <c r="P814" i="2" s="1"/>
  <c r="O813" i="2"/>
  <c r="P813" i="2" s="1"/>
  <c r="O812" i="2"/>
  <c r="P812" i="2" s="1"/>
  <c r="O811" i="2"/>
  <c r="P811" i="2" s="1"/>
  <c r="O810" i="2"/>
  <c r="P810" i="2" s="1"/>
  <c r="O809" i="2"/>
  <c r="P809" i="2" s="1"/>
  <c r="O808" i="2"/>
  <c r="P808" i="2" s="1"/>
  <c r="O807" i="2"/>
  <c r="P807" i="2" s="1"/>
  <c r="O806" i="2"/>
  <c r="O805" i="2"/>
  <c r="P805" i="2" s="1"/>
  <c r="O804" i="2"/>
  <c r="P804" i="2" s="1"/>
  <c r="O803" i="2"/>
  <c r="O802" i="2"/>
  <c r="P802" i="2" s="1"/>
  <c r="O801" i="2"/>
  <c r="P801" i="2" s="1"/>
  <c r="O800" i="2"/>
  <c r="P800" i="2" s="1"/>
  <c r="O799" i="2"/>
  <c r="P799" i="2" s="1"/>
  <c r="O798" i="2"/>
  <c r="P798" i="2" s="1"/>
  <c r="O797" i="2"/>
  <c r="P797" i="2" s="1"/>
  <c r="O796" i="2"/>
  <c r="P796" i="2" s="1"/>
  <c r="O795" i="2"/>
  <c r="P795" i="2" s="1"/>
  <c r="O794" i="2"/>
  <c r="O793" i="2"/>
  <c r="P793" i="2" s="1"/>
  <c r="O792" i="2"/>
  <c r="O791" i="2"/>
  <c r="P791" i="2" s="1"/>
  <c r="O790" i="2"/>
  <c r="P790" i="2" s="1"/>
  <c r="O789" i="2"/>
  <c r="P789" i="2" s="1"/>
  <c r="O788" i="2"/>
  <c r="P788" i="2" s="1"/>
  <c r="O787" i="2"/>
  <c r="P787" i="2" s="1"/>
  <c r="O786" i="2"/>
  <c r="P786" i="2" s="1"/>
  <c r="O785" i="2"/>
  <c r="P785" i="2" s="1"/>
  <c r="O784" i="2"/>
  <c r="P784" i="2" s="1"/>
  <c r="O783" i="2"/>
  <c r="P783" i="2" s="1"/>
  <c r="O782" i="2"/>
  <c r="O781" i="2"/>
  <c r="P781" i="2" s="1"/>
  <c r="O780" i="2"/>
  <c r="P780" i="2" s="1"/>
  <c r="O779" i="2"/>
  <c r="P779" i="2" s="1"/>
  <c r="O778" i="2"/>
  <c r="P778" i="2" s="1"/>
  <c r="O777" i="2"/>
  <c r="P777" i="2" s="1"/>
  <c r="O776" i="2"/>
  <c r="P776" i="2" s="1"/>
  <c r="O775" i="2"/>
  <c r="P775" i="2" s="1"/>
  <c r="O774" i="2"/>
  <c r="P774" i="2" s="1"/>
  <c r="O773" i="2"/>
  <c r="P773" i="2" s="1"/>
  <c r="O772" i="2"/>
  <c r="P772" i="2" s="1"/>
  <c r="O771" i="2"/>
  <c r="P771" i="2" s="1"/>
  <c r="O770" i="2"/>
  <c r="O769" i="2"/>
  <c r="P769" i="2" s="1"/>
  <c r="O768" i="2"/>
  <c r="P768" i="2" s="1"/>
  <c r="O767" i="2"/>
  <c r="P767" i="2" s="1"/>
  <c r="O766" i="2"/>
  <c r="P766" i="2" s="1"/>
  <c r="O765" i="2"/>
  <c r="O764" i="2"/>
  <c r="P764" i="2" s="1"/>
  <c r="O763" i="2"/>
  <c r="P763" i="2" s="1"/>
  <c r="O762" i="2"/>
  <c r="P762" i="2" s="1"/>
  <c r="O761" i="2"/>
  <c r="P761" i="2" s="1"/>
  <c r="O760" i="2"/>
  <c r="P760" i="2" s="1"/>
  <c r="O759" i="2"/>
  <c r="O758" i="2"/>
  <c r="P758" i="2" s="1"/>
  <c r="O757" i="2"/>
  <c r="P757" i="2" s="1"/>
  <c r="O756" i="2"/>
  <c r="P756" i="2" s="1"/>
  <c r="O755" i="2"/>
  <c r="P755" i="2" s="1"/>
  <c r="O754" i="2"/>
  <c r="P754" i="2" s="1"/>
  <c r="O753" i="2"/>
  <c r="P753" i="2" s="1"/>
  <c r="O752" i="2"/>
  <c r="P752" i="2" s="1"/>
  <c r="O751" i="2"/>
  <c r="P751" i="2" s="1"/>
  <c r="O750" i="2"/>
  <c r="P750" i="2" s="1"/>
  <c r="O749" i="2"/>
  <c r="P749" i="2" s="1"/>
  <c r="O748" i="2"/>
  <c r="P748" i="2" s="1"/>
  <c r="O747" i="2"/>
  <c r="P747" i="2" s="1"/>
  <c r="O746" i="2"/>
  <c r="O745" i="2"/>
  <c r="P745" i="2" s="1"/>
  <c r="O744" i="2"/>
  <c r="P744" i="2" s="1"/>
  <c r="O743" i="2"/>
  <c r="O742" i="2"/>
  <c r="P742" i="2" s="1"/>
  <c r="O741" i="2"/>
  <c r="P741" i="2" s="1"/>
  <c r="O740" i="2"/>
  <c r="P740" i="2" s="1"/>
  <c r="O739" i="2"/>
  <c r="P739" i="2" s="1"/>
  <c r="O738" i="2"/>
  <c r="O737" i="2"/>
  <c r="P737" i="2" s="1"/>
  <c r="O736" i="2"/>
  <c r="P736" i="2" s="1"/>
  <c r="O735" i="2"/>
  <c r="P735" i="2" s="1"/>
  <c r="O734" i="2"/>
  <c r="O733" i="2"/>
  <c r="P733" i="2" s="1"/>
  <c r="O732" i="2"/>
  <c r="P732" i="2" s="1"/>
  <c r="O731" i="2"/>
  <c r="P731" i="2" s="1"/>
  <c r="O730" i="2"/>
  <c r="P730" i="2" s="1"/>
  <c r="O729" i="2"/>
  <c r="P729" i="2" s="1"/>
  <c r="O728" i="2"/>
  <c r="P728" i="2" s="1"/>
  <c r="O727" i="2"/>
  <c r="P727" i="2" s="1"/>
  <c r="O726" i="2"/>
  <c r="P726" i="2" s="1"/>
  <c r="O725" i="2"/>
  <c r="P725" i="2" s="1"/>
  <c r="O724" i="2"/>
  <c r="P724" i="2" s="1"/>
  <c r="O723" i="2"/>
  <c r="P723" i="2" s="1"/>
  <c r="O722" i="2"/>
  <c r="P722" i="2" s="1"/>
  <c r="O721" i="2"/>
  <c r="P721" i="2" s="1"/>
  <c r="O720" i="2"/>
  <c r="P720" i="2" s="1"/>
  <c r="O719" i="2"/>
  <c r="P719" i="2" s="1"/>
  <c r="O718" i="2"/>
  <c r="P718" i="2" s="1"/>
  <c r="O717" i="2"/>
  <c r="P717" i="2" s="1"/>
  <c r="O716" i="2"/>
  <c r="P716" i="2" s="1"/>
  <c r="O715" i="2"/>
  <c r="P715" i="2" s="1"/>
  <c r="O714" i="2"/>
  <c r="P714" i="2" s="1"/>
  <c r="O713" i="2"/>
  <c r="P713" i="2" s="1"/>
  <c r="O712" i="2"/>
  <c r="P712" i="2" s="1"/>
  <c r="O711" i="2"/>
  <c r="P711" i="2" s="1"/>
  <c r="O710" i="2"/>
  <c r="O709" i="2"/>
  <c r="P709" i="2" s="1"/>
  <c r="O708" i="2"/>
  <c r="P708" i="2" s="1"/>
  <c r="O707" i="2"/>
  <c r="P707" i="2" s="1"/>
  <c r="O706" i="2"/>
  <c r="P706" i="2" s="1"/>
  <c r="O705" i="2"/>
  <c r="P705" i="2" s="1"/>
  <c r="O704" i="2"/>
  <c r="P704" i="2" s="1"/>
  <c r="O703" i="2"/>
  <c r="O702" i="2"/>
  <c r="P702" i="2" s="1"/>
  <c r="O701" i="2"/>
  <c r="P701" i="2" s="1"/>
  <c r="O700" i="2"/>
  <c r="P700" i="2" s="1"/>
  <c r="O699" i="2"/>
  <c r="P699" i="2" s="1"/>
  <c r="O698" i="2"/>
  <c r="P698" i="2" s="1"/>
  <c r="O697" i="2"/>
  <c r="P697" i="2" s="1"/>
  <c r="O696" i="2"/>
  <c r="P696" i="2" s="1"/>
  <c r="O695" i="2"/>
  <c r="P695" i="2" s="1"/>
  <c r="O694" i="2"/>
  <c r="P694" i="2" s="1"/>
  <c r="O693" i="2"/>
  <c r="P693" i="2" s="1"/>
  <c r="O692" i="2"/>
  <c r="P692" i="2" s="1"/>
  <c r="O691" i="2"/>
  <c r="P691" i="2" s="1"/>
  <c r="O690" i="2"/>
  <c r="P690" i="2" s="1"/>
  <c r="O689" i="2"/>
  <c r="P689" i="2" s="1"/>
  <c r="O688" i="2"/>
  <c r="P688" i="2" s="1"/>
  <c r="O687" i="2"/>
  <c r="O686" i="2"/>
  <c r="O685" i="2"/>
  <c r="P685" i="2" s="1"/>
  <c r="O684" i="2"/>
  <c r="P684" i="2" s="1"/>
  <c r="O683" i="2"/>
  <c r="P683" i="2" s="1"/>
  <c r="O682" i="2"/>
  <c r="P682" i="2" s="1"/>
  <c r="O681" i="2"/>
  <c r="P681" i="2" s="1"/>
  <c r="O680" i="2"/>
  <c r="P680" i="2" s="1"/>
  <c r="O679" i="2"/>
  <c r="P679" i="2" s="1"/>
  <c r="O678" i="2"/>
  <c r="P678" i="2" s="1"/>
  <c r="O677" i="2"/>
  <c r="P677" i="2" s="1"/>
  <c r="O676" i="2"/>
  <c r="P676" i="2" s="1"/>
  <c r="O675" i="2"/>
  <c r="P675" i="2" s="1"/>
  <c r="O674" i="2"/>
  <c r="O673" i="2"/>
  <c r="O672" i="2"/>
  <c r="P672" i="2" s="1"/>
  <c r="O671" i="2"/>
  <c r="O670" i="2"/>
  <c r="P670" i="2" s="1"/>
  <c r="O669" i="2"/>
  <c r="P669" i="2" s="1"/>
  <c r="O668" i="2"/>
  <c r="P668" i="2" s="1"/>
  <c r="O667" i="2"/>
  <c r="P667" i="2" s="1"/>
  <c r="O666" i="2"/>
  <c r="P666" i="2" s="1"/>
  <c r="O665" i="2"/>
  <c r="P665" i="2" s="1"/>
  <c r="O664" i="2"/>
  <c r="P664" i="2" s="1"/>
  <c r="O663" i="2"/>
  <c r="P663" i="2" s="1"/>
  <c r="O662" i="2"/>
  <c r="O661" i="2"/>
  <c r="P661" i="2" s="1"/>
  <c r="O660" i="2"/>
  <c r="P660" i="2" s="1"/>
  <c r="O659" i="2"/>
  <c r="P659" i="2" s="1"/>
  <c r="O658" i="2"/>
  <c r="P658" i="2" s="1"/>
  <c r="O657" i="2"/>
  <c r="P657" i="2" s="1"/>
  <c r="O656" i="2"/>
  <c r="P656" i="2" s="1"/>
  <c r="O655" i="2"/>
  <c r="P655" i="2" s="1"/>
  <c r="O654" i="2"/>
  <c r="P654" i="2" s="1"/>
  <c r="O653" i="2"/>
  <c r="P653" i="2" s="1"/>
  <c r="O652" i="2"/>
  <c r="P652" i="2" s="1"/>
  <c r="O651" i="2"/>
  <c r="P651" i="2" s="1"/>
  <c r="O650" i="2"/>
  <c r="P650" i="2" s="1"/>
  <c r="O649" i="2"/>
  <c r="P649" i="2" s="1"/>
  <c r="O648" i="2"/>
  <c r="P648" i="2" s="1"/>
  <c r="O647" i="2"/>
  <c r="P647" i="2" s="1"/>
  <c r="O646" i="2"/>
  <c r="P646" i="2" s="1"/>
  <c r="O645" i="2"/>
  <c r="P645" i="2" s="1"/>
  <c r="O644" i="2"/>
  <c r="P644" i="2" s="1"/>
  <c r="O643" i="2"/>
  <c r="P643" i="2" s="1"/>
  <c r="O642" i="2"/>
  <c r="O641" i="2"/>
  <c r="P641" i="2" s="1"/>
  <c r="O640" i="2"/>
  <c r="P640" i="2" s="1"/>
  <c r="O639" i="2"/>
  <c r="P639" i="2" s="1"/>
  <c r="O638" i="2"/>
  <c r="O637" i="2"/>
  <c r="P637" i="2" s="1"/>
  <c r="O636" i="2"/>
  <c r="P636" i="2" s="1"/>
  <c r="O635" i="2"/>
  <c r="P635" i="2" s="1"/>
  <c r="O634" i="2"/>
  <c r="P634" i="2" s="1"/>
  <c r="O633" i="2"/>
  <c r="P633" i="2" s="1"/>
  <c r="O632" i="2"/>
  <c r="P632" i="2" s="1"/>
  <c r="O631" i="2"/>
  <c r="P631" i="2" s="1"/>
  <c r="O630" i="2"/>
  <c r="P630" i="2" s="1"/>
  <c r="O629" i="2"/>
  <c r="P629" i="2" s="1"/>
  <c r="O628" i="2"/>
  <c r="P628" i="2" s="1"/>
  <c r="O627" i="2"/>
  <c r="P627" i="2" s="1"/>
  <c r="O626" i="2"/>
  <c r="O625" i="2"/>
  <c r="P625" i="2" s="1"/>
  <c r="O624" i="2"/>
  <c r="P624" i="2" s="1"/>
  <c r="O623" i="2"/>
  <c r="O622" i="2"/>
  <c r="O621" i="2"/>
  <c r="P621" i="2" s="1"/>
  <c r="O620" i="2"/>
  <c r="P620" i="2" s="1"/>
  <c r="O619" i="2"/>
  <c r="P619" i="2" s="1"/>
  <c r="O618" i="2"/>
  <c r="P618" i="2" s="1"/>
  <c r="O617" i="2"/>
  <c r="P617" i="2" s="1"/>
  <c r="O616" i="2"/>
  <c r="P616" i="2" s="1"/>
  <c r="O615" i="2"/>
  <c r="P615" i="2" s="1"/>
  <c r="O614" i="2"/>
  <c r="P614" i="2" s="1"/>
  <c r="O613" i="2"/>
  <c r="P613" i="2" s="1"/>
  <c r="O612" i="2"/>
  <c r="O611" i="2"/>
  <c r="P611" i="2" s="1"/>
  <c r="O610" i="2"/>
  <c r="O609" i="2"/>
  <c r="P609" i="2" s="1"/>
  <c r="O608" i="2"/>
  <c r="P608" i="2" s="1"/>
  <c r="O607" i="2"/>
  <c r="P607" i="2" s="1"/>
  <c r="O606" i="2"/>
  <c r="P606" i="2" s="1"/>
  <c r="O605" i="2"/>
  <c r="P605" i="2" s="1"/>
  <c r="O604" i="2"/>
  <c r="P604" i="2" s="1"/>
  <c r="O603" i="2"/>
  <c r="P603" i="2" s="1"/>
  <c r="O602" i="2"/>
  <c r="O601" i="2"/>
  <c r="P601" i="2" s="1"/>
  <c r="O600" i="2"/>
  <c r="P600" i="2" s="1"/>
  <c r="O599" i="2"/>
  <c r="P599" i="2" s="1"/>
  <c r="O598" i="2"/>
  <c r="P598" i="2" s="1"/>
  <c r="O597" i="2"/>
  <c r="P597" i="2" s="1"/>
  <c r="O596" i="2"/>
  <c r="P596" i="2" s="1"/>
  <c r="O595" i="2"/>
  <c r="P595" i="2" s="1"/>
  <c r="O594" i="2"/>
  <c r="P594" i="2" s="1"/>
  <c r="O593" i="2"/>
  <c r="P593" i="2" s="1"/>
  <c r="O592" i="2"/>
  <c r="P592" i="2" s="1"/>
  <c r="O591" i="2"/>
  <c r="P591" i="2" s="1"/>
  <c r="O590" i="2"/>
  <c r="P590" i="2" s="1"/>
  <c r="O589" i="2"/>
  <c r="P589" i="2" s="1"/>
  <c r="O588" i="2"/>
  <c r="P588" i="2" s="1"/>
  <c r="O587" i="2"/>
  <c r="P587" i="2" s="1"/>
  <c r="O586" i="2"/>
  <c r="P586" i="2" s="1"/>
  <c r="O585" i="2"/>
  <c r="P585" i="2" s="1"/>
  <c r="O584" i="2"/>
  <c r="P584" i="2" s="1"/>
  <c r="O583" i="2"/>
  <c r="P583" i="2" s="1"/>
  <c r="O582" i="2"/>
  <c r="P582" i="2" s="1"/>
  <c r="O581" i="2"/>
  <c r="O580" i="2"/>
  <c r="P580" i="2" s="1"/>
  <c r="O579" i="2"/>
  <c r="P579" i="2" s="1"/>
  <c r="O578" i="2"/>
  <c r="P578" i="2" s="1"/>
  <c r="O577" i="2"/>
  <c r="P577" i="2" s="1"/>
  <c r="O576" i="2"/>
  <c r="P576" i="2" s="1"/>
  <c r="O575" i="2"/>
  <c r="P575" i="2" s="1"/>
  <c r="O574" i="2"/>
  <c r="P574" i="2" s="1"/>
  <c r="O573" i="2"/>
  <c r="P573" i="2" s="1"/>
  <c r="O572" i="2"/>
  <c r="P572" i="2" s="1"/>
  <c r="O571" i="2"/>
  <c r="P571" i="2" s="1"/>
  <c r="O570" i="2"/>
  <c r="P570" i="2" s="1"/>
  <c r="O569" i="2"/>
  <c r="P569" i="2" s="1"/>
  <c r="O568" i="2"/>
  <c r="P568" i="2" s="1"/>
  <c r="O567" i="2"/>
  <c r="P567" i="2" s="1"/>
  <c r="O566" i="2"/>
  <c r="O565" i="2"/>
  <c r="P565" i="2" s="1"/>
  <c r="O564" i="2"/>
  <c r="P564" i="2" s="1"/>
  <c r="O563" i="2"/>
  <c r="O562" i="2"/>
  <c r="P562" i="2" s="1"/>
  <c r="O561" i="2"/>
  <c r="P561" i="2" s="1"/>
  <c r="O560" i="2"/>
  <c r="P560" i="2" s="1"/>
  <c r="O559" i="2"/>
  <c r="P559" i="2" s="1"/>
  <c r="O558" i="2"/>
  <c r="P558" i="2" s="1"/>
  <c r="O557" i="2"/>
  <c r="P557" i="2" s="1"/>
  <c r="O556" i="2"/>
  <c r="P556" i="2" s="1"/>
  <c r="O555" i="2"/>
  <c r="P555" i="2" s="1"/>
  <c r="O554" i="2"/>
  <c r="O553" i="2"/>
  <c r="P553" i="2" s="1"/>
  <c r="O552" i="2"/>
  <c r="P552" i="2" s="1"/>
  <c r="O551" i="2"/>
  <c r="P551" i="2" s="1"/>
  <c r="O550" i="2"/>
  <c r="O549" i="2"/>
  <c r="P549" i="2" s="1"/>
  <c r="O548" i="2"/>
  <c r="P548" i="2" s="1"/>
  <c r="O547" i="2"/>
  <c r="P547" i="2" s="1"/>
  <c r="O546" i="2"/>
  <c r="P546" i="2" s="1"/>
  <c r="O545" i="2"/>
  <c r="P545" i="2" s="1"/>
  <c r="O544" i="2"/>
  <c r="P544" i="2" s="1"/>
  <c r="O543" i="2"/>
  <c r="P543" i="2" s="1"/>
  <c r="O542" i="2"/>
  <c r="O541" i="2"/>
  <c r="P541" i="2" s="1"/>
  <c r="O540" i="2"/>
  <c r="P540" i="2" s="1"/>
  <c r="O539" i="2"/>
  <c r="P539" i="2" s="1"/>
  <c r="O538" i="2"/>
  <c r="P538" i="2" s="1"/>
  <c r="O537" i="2"/>
  <c r="P537" i="2" s="1"/>
  <c r="O536" i="2"/>
  <c r="P536" i="2" s="1"/>
  <c r="O535" i="2"/>
  <c r="P535" i="2" s="1"/>
  <c r="O534" i="2"/>
  <c r="P534" i="2" s="1"/>
  <c r="O533" i="2"/>
  <c r="P533" i="2" s="1"/>
  <c r="O532" i="2"/>
  <c r="P532" i="2" s="1"/>
  <c r="O531" i="2"/>
  <c r="P531" i="2" s="1"/>
  <c r="O530" i="2"/>
  <c r="P530" i="2" s="1"/>
  <c r="O529" i="2"/>
  <c r="P529" i="2" s="1"/>
  <c r="O528" i="2"/>
  <c r="P528" i="2" s="1"/>
  <c r="O527" i="2"/>
  <c r="P527" i="2" s="1"/>
  <c r="O526" i="2"/>
  <c r="P526" i="2" s="1"/>
  <c r="O525" i="2"/>
  <c r="P525" i="2" s="1"/>
  <c r="O524" i="2"/>
  <c r="P524" i="2" s="1"/>
  <c r="O523" i="2"/>
  <c r="P523" i="2" s="1"/>
  <c r="O522" i="2"/>
  <c r="P522" i="2" s="1"/>
  <c r="O521" i="2"/>
  <c r="P521" i="2" s="1"/>
  <c r="O520" i="2"/>
  <c r="O519" i="2"/>
  <c r="P519" i="2" s="1"/>
  <c r="O518" i="2"/>
  <c r="P518" i="2" s="1"/>
  <c r="O517" i="2"/>
  <c r="P517" i="2" s="1"/>
  <c r="O516" i="2"/>
  <c r="P516" i="2" s="1"/>
  <c r="O515" i="2"/>
  <c r="P515" i="2" s="1"/>
  <c r="O514" i="2"/>
  <c r="P514" i="2" s="1"/>
  <c r="O513" i="2"/>
  <c r="P513" i="2" s="1"/>
  <c r="O512" i="2"/>
  <c r="P512" i="2" s="1"/>
  <c r="O511" i="2"/>
  <c r="P511" i="2" s="1"/>
  <c r="O510" i="2"/>
  <c r="P510" i="2" s="1"/>
  <c r="O509" i="2"/>
  <c r="P509" i="2" s="1"/>
  <c r="O508" i="2"/>
  <c r="P508" i="2" s="1"/>
  <c r="O507" i="2"/>
  <c r="P507" i="2" s="1"/>
  <c r="O506" i="2"/>
  <c r="P506" i="2" s="1"/>
  <c r="O505" i="2"/>
  <c r="P505" i="2" s="1"/>
  <c r="O504" i="2"/>
  <c r="P504" i="2" s="1"/>
  <c r="O503" i="2"/>
  <c r="P503" i="2" s="1"/>
  <c r="O502" i="2"/>
  <c r="P502" i="2" s="1"/>
  <c r="O501" i="2"/>
  <c r="P501" i="2" s="1"/>
  <c r="O500" i="2"/>
  <c r="P500" i="2" s="1"/>
  <c r="O499" i="2"/>
  <c r="P499" i="2" s="1"/>
  <c r="O498" i="2"/>
  <c r="P498" i="2" s="1"/>
  <c r="O497" i="2"/>
  <c r="P497" i="2" s="1"/>
  <c r="O496" i="2"/>
  <c r="P496" i="2" s="1"/>
  <c r="O495" i="2"/>
  <c r="P495" i="2" s="1"/>
  <c r="O494" i="2"/>
  <c r="P494" i="2" s="1"/>
  <c r="O493" i="2"/>
  <c r="P493" i="2" s="1"/>
  <c r="O492" i="2"/>
  <c r="P492" i="2" s="1"/>
  <c r="O491" i="2"/>
  <c r="P491" i="2" s="1"/>
  <c r="O490" i="2"/>
  <c r="P490" i="2" s="1"/>
  <c r="O489" i="2"/>
  <c r="O488" i="2"/>
  <c r="P488" i="2" s="1"/>
  <c r="O487" i="2"/>
  <c r="P487" i="2" s="1"/>
  <c r="O486" i="2"/>
  <c r="P486" i="2" s="1"/>
  <c r="O485" i="2"/>
  <c r="P485" i="2" s="1"/>
  <c r="O484" i="2"/>
  <c r="P484" i="2" s="1"/>
  <c r="O483" i="2"/>
  <c r="P483" i="2" s="1"/>
  <c r="O482" i="2"/>
  <c r="O481" i="2"/>
  <c r="P481" i="2" s="1"/>
  <c r="O480" i="2"/>
  <c r="P480" i="2" s="1"/>
  <c r="O479" i="2"/>
  <c r="P479" i="2" s="1"/>
  <c r="O478" i="2"/>
  <c r="P478" i="2" s="1"/>
  <c r="O477" i="2"/>
  <c r="P477" i="2" s="1"/>
  <c r="O476" i="2"/>
  <c r="P476" i="2" s="1"/>
  <c r="O475" i="2"/>
  <c r="P475" i="2" s="1"/>
  <c r="O474" i="2"/>
  <c r="P474" i="2" s="1"/>
  <c r="O473" i="2"/>
  <c r="P473" i="2" s="1"/>
  <c r="O472" i="2"/>
  <c r="P472" i="2" s="1"/>
  <c r="O471" i="2"/>
  <c r="P471" i="2" s="1"/>
  <c r="O470" i="2"/>
  <c r="P470" i="2" s="1"/>
  <c r="O469" i="2"/>
  <c r="P469" i="2" s="1"/>
  <c r="O468" i="2"/>
  <c r="P468" i="2" s="1"/>
  <c r="O467" i="2"/>
  <c r="O466" i="2"/>
  <c r="O465" i="2"/>
  <c r="P465" i="2" s="1"/>
  <c r="O464" i="2"/>
  <c r="P464" i="2" s="1"/>
  <c r="O463" i="2"/>
  <c r="P463" i="2" s="1"/>
  <c r="O462" i="2"/>
  <c r="P462" i="2" s="1"/>
  <c r="O461" i="2"/>
  <c r="P461" i="2" s="1"/>
  <c r="O460" i="2"/>
  <c r="P460" i="2" s="1"/>
  <c r="O459" i="2"/>
  <c r="O458" i="2"/>
  <c r="P458" i="2" s="1"/>
  <c r="O457" i="2"/>
  <c r="P457" i="2" s="1"/>
  <c r="O456" i="2"/>
  <c r="P456" i="2" s="1"/>
  <c r="O455" i="2"/>
  <c r="P455" i="2" s="1"/>
  <c r="O454" i="2"/>
  <c r="P454" i="2" s="1"/>
  <c r="O453" i="2"/>
  <c r="P453" i="2" s="1"/>
  <c r="O452" i="2"/>
  <c r="P452" i="2" s="1"/>
  <c r="O451" i="2"/>
  <c r="P451" i="2" s="1"/>
  <c r="O450" i="2"/>
  <c r="P450" i="2" s="1"/>
  <c r="O449" i="2"/>
  <c r="P449" i="2" s="1"/>
  <c r="O448" i="2"/>
  <c r="P448" i="2" s="1"/>
  <c r="O447" i="2"/>
  <c r="P447" i="2" s="1"/>
  <c r="O446" i="2"/>
  <c r="P446" i="2" s="1"/>
  <c r="O445" i="2"/>
  <c r="P445" i="2" s="1"/>
  <c r="O444" i="2"/>
  <c r="P444" i="2" s="1"/>
  <c r="O443" i="2"/>
  <c r="P443" i="2" s="1"/>
  <c r="O442" i="2"/>
  <c r="P442" i="2" s="1"/>
  <c r="O441" i="2"/>
  <c r="P441" i="2" s="1"/>
  <c r="O440" i="2"/>
  <c r="P440" i="2" s="1"/>
  <c r="O439" i="2"/>
  <c r="P439" i="2" s="1"/>
  <c r="O438" i="2"/>
  <c r="P438" i="2" s="1"/>
  <c r="O437" i="2"/>
  <c r="P437" i="2" s="1"/>
  <c r="O436" i="2"/>
  <c r="P436" i="2" s="1"/>
  <c r="O435" i="2"/>
  <c r="P435" i="2" s="1"/>
  <c r="O434" i="2"/>
  <c r="P434" i="2" s="1"/>
  <c r="O433" i="2"/>
  <c r="P433" i="2" s="1"/>
  <c r="O432" i="2"/>
  <c r="P432" i="2" s="1"/>
  <c r="O431" i="2"/>
  <c r="P431" i="2" s="1"/>
  <c r="O430" i="2"/>
  <c r="P430" i="2" s="1"/>
  <c r="O429" i="2"/>
  <c r="P429" i="2" s="1"/>
  <c r="O428" i="2"/>
  <c r="O427" i="2"/>
  <c r="P427" i="2" s="1"/>
  <c r="O426" i="2"/>
  <c r="P426" i="2" s="1"/>
  <c r="O425" i="2"/>
  <c r="P425" i="2" s="1"/>
  <c r="O424" i="2"/>
  <c r="P424" i="2" s="1"/>
  <c r="O423" i="2"/>
  <c r="P423" i="2" s="1"/>
  <c r="O422" i="2"/>
  <c r="O421" i="2"/>
  <c r="P421" i="2" s="1"/>
  <c r="O420" i="2"/>
  <c r="P420" i="2" s="1"/>
  <c r="O419" i="2"/>
  <c r="P419" i="2" s="1"/>
  <c r="O418" i="2"/>
  <c r="P418" i="2" s="1"/>
  <c r="O417" i="2"/>
  <c r="P417" i="2" s="1"/>
  <c r="O416" i="2"/>
  <c r="P416" i="2" s="1"/>
  <c r="O415" i="2"/>
  <c r="P415" i="2" s="1"/>
  <c r="O414" i="2"/>
  <c r="P414" i="2" s="1"/>
  <c r="O413" i="2"/>
  <c r="P413" i="2" s="1"/>
  <c r="O412" i="2"/>
  <c r="P412" i="2" s="1"/>
  <c r="O411" i="2"/>
  <c r="P411" i="2" s="1"/>
  <c r="O410" i="2"/>
  <c r="P410" i="2" s="1"/>
  <c r="O409" i="2"/>
  <c r="P409" i="2" s="1"/>
  <c r="O408" i="2"/>
  <c r="P408" i="2" s="1"/>
  <c r="O407" i="2"/>
  <c r="P407" i="2" s="1"/>
  <c r="O406" i="2"/>
  <c r="P406" i="2" s="1"/>
  <c r="O405" i="2"/>
  <c r="P405" i="2" s="1"/>
  <c r="O404" i="2"/>
  <c r="P404" i="2" s="1"/>
  <c r="O403" i="2"/>
  <c r="P403" i="2" s="1"/>
  <c r="O402" i="2"/>
  <c r="P402" i="2" s="1"/>
  <c r="O401" i="2"/>
  <c r="P401" i="2" s="1"/>
  <c r="O400" i="2"/>
  <c r="O399" i="2"/>
  <c r="P399" i="2" s="1"/>
  <c r="O398" i="2"/>
  <c r="O397" i="2"/>
  <c r="P397" i="2" s="1"/>
  <c r="O396" i="2"/>
  <c r="P396" i="2" s="1"/>
  <c r="O395" i="2"/>
  <c r="P395" i="2" s="1"/>
  <c r="O394" i="2"/>
  <c r="P394" i="2" s="1"/>
  <c r="O393" i="2"/>
  <c r="P393" i="2" s="1"/>
  <c r="O392" i="2"/>
  <c r="P392" i="2" s="1"/>
  <c r="O391" i="2"/>
  <c r="P391" i="2" s="1"/>
  <c r="O390" i="2"/>
  <c r="P390" i="2" s="1"/>
  <c r="O389" i="2"/>
  <c r="P389" i="2" s="1"/>
  <c r="O388" i="2"/>
  <c r="P388" i="2" s="1"/>
  <c r="O387" i="2"/>
  <c r="P387" i="2" s="1"/>
  <c r="O386" i="2"/>
  <c r="O385" i="2"/>
  <c r="O384" i="2"/>
  <c r="P384" i="2" s="1"/>
  <c r="O383" i="2"/>
  <c r="P383" i="2" s="1"/>
  <c r="O382" i="2"/>
  <c r="P382" i="2" s="1"/>
  <c r="O381" i="2"/>
  <c r="P381" i="2" s="1"/>
  <c r="O380" i="2"/>
  <c r="P380" i="2" s="1"/>
  <c r="O379" i="2"/>
  <c r="P379" i="2" s="1"/>
  <c r="O378" i="2"/>
  <c r="P378" i="2" s="1"/>
  <c r="O377" i="2"/>
  <c r="P377" i="2" s="1"/>
  <c r="O376" i="2"/>
  <c r="P376" i="2" s="1"/>
  <c r="O375" i="2"/>
  <c r="P375" i="2" s="1"/>
  <c r="O374" i="2"/>
  <c r="P374" i="2" s="1"/>
  <c r="O373" i="2"/>
  <c r="P373" i="2" s="1"/>
  <c r="O372" i="2"/>
  <c r="P372" i="2" s="1"/>
  <c r="O371" i="2"/>
  <c r="P371" i="2" s="1"/>
  <c r="O370" i="2"/>
  <c r="P370" i="2" s="1"/>
  <c r="O369" i="2"/>
  <c r="O368" i="2"/>
  <c r="P368" i="2" s="1"/>
  <c r="O367" i="2"/>
  <c r="P367" i="2" s="1"/>
  <c r="O366" i="2"/>
  <c r="P366" i="2" s="1"/>
  <c r="O365" i="2"/>
  <c r="P365" i="2" s="1"/>
  <c r="O364" i="2"/>
  <c r="P364" i="2" s="1"/>
  <c r="O363" i="2"/>
  <c r="O362" i="2"/>
  <c r="O361" i="2"/>
  <c r="P361" i="2" s="1"/>
  <c r="O360" i="2"/>
  <c r="P360" i="2" s="1"/>
  <c r="O359" i="2"/>
  <c r="P359" i="2" s="1"/>
  <c r="O358" i="2"/>
  <c r="P358" i="2" s="1"/>
  <c r="O357" i="2"/>
  <c r="P357" i="2" s="1"/>
  <c r="O356" i="2"/>
  <c r="P356" i="2" s="1"/>
  <c r="O355" i="2"/>
  <c r="P355" i="2" s="1"/>
  <c r="O354" i="2"/>
  <c r="P354" i="2" s="1"/>
  <c r="O353" i="2"/>
  <c r="P353" i="2" s="1"/>
  <c r="O352" i="2"/>
  <c r="P352" i="2" s="1"/>
  <c r="O351" i="2"/>
  <c r="P351" i="2" s="1"/>
  <c r="O350" i="2"/>
  <c r="P350" i="2" s="1"/>
  <c r="O349" i="2"/>
  <c r="P349" i="2" s="1"/>
  <c r="O348" i="2"/>
  <c r="P348" i="2" s="1"/>
  <c r="O347" i="2"/>
  <c r="P347" i="2" s="1"/>
  <c r="O346" i="2"/>
  <c r="P346" i="2" s="1"/>
  <c r="O345" i="2"/>
  <c r="P345" i="2" s="1"/>
  <c r="O344" i="2"/>
  <c r="P344" i="2" s="1"/>
  <c r="O343" i="2"/>
  <c r="P343" i="2" s="1"/>
  <c r="O342" i="2"/>
  <c r="P342" i="2" s="1"/>
  <c r="O341" i="2"/>
  <c r="P341" i="2" s="1"/>
  <c r="O340" i="2"/>
  <c r="P340" i="2" s="1"/>
  <c r="O339" i="2"/>
  <c r="P339" i="2" s="1"/>
  <c r="O338" i="2"/>
  <c r="O337" i="2"/>
  <c r="P337" i="2" s="1"/>
  <c r="O336" i="2"/>
  <c r="P336" i="2" s="1"/>
  <c r="O335" i="2"/>
  <c r="P335" i="2" s="1"/>
  <c r="O334" i="2"/>
  <c r="P334" i="2" s="1"/>
  <c r="O333" i="2"/>
  <c r="P333" i="2" s="1"/>
  <c r="O332" i="2"/>
  <c r="P332" i="2" s="1"/>
  <c r="O331" i="2"/>
  <c r="P331" i="2" s="1"/>
  <c r="O330" i="2"/>
  <c r="P330" i="2" s="1"/>
  <c r="O329" i="2"/>
  <c r="P329" i="2" s="1"/>
  <c r="O328" i="2"/>
  <c r="P328" i="2" s="1"/>
  <c r="O327" i="2"/>
  <c r="P327" i="2" s="1"/>
  <c r="O326" i="2"/>
  <c r="P326" i="2" s="1"/>
  <c r="O325" i="2"/>
  <c r="P325" i="2" s="1"/>
  <c r="O324" i="2"/>
  <c r="P324" i="2" s="1"/>
  <c r="O323" i="2"/>
  <c r="P323" i="2" s="1"/>
  <c r="O322" i="2"/>
  <c r="P322" i="2" s="1"/>
  <c r="O321" i="2"/>
  <c r="P321" i="2" s="1"/>
  <c r="O320" i="2"/>
  <c r="P320" i="2" s="1"/>
  <c r="O319" i="2"/>
  <c r="P319" i="2" s="1"/>
  <c r="O318" i="2"/>
  <c r="P318" i="2" s="1"/>
  <c r="O317" i="2"/>
  <c r="P317" i="2" s="1"/>
  <c r="O316" i="2"/>
  <c r="P316" i="2" s="1"/>
  <c r="O315" i="2"/>
  <c r="P315" i="2" s="1"/>
  <c r="O314" i="2"/>
  <c r="P314" i="2" s="1"/>
  <c r="O313" i="2"/>
  <c r="P313" i="2" s="1"/>
  <c r="O312" i="2"/>
  <c r="P312" i="2" s="1"/>
  <c r="O311" i="2"/>
  <c r="P311" i="2" s="1"/>
  <c r="O310" i="2"/>
  <c r="P310" i="2" s="1"/>
  <c r="O309" i="2"/>
  <c r="P309" i="2" s="1"/>
  <c r="O308" i="2"/>
  <c r="O307" i="2"/>
  <c r="P307" i="2" s="1"/>
  <c r="O306" i="2"/>
  <c r="P306" i="2" s="1"/>
  <c r="O305" i="2"/>
  <c r="P305" i="2" s="1"/>
  <c r="O304" i="2"/>
  <c r="P304" i="2" s="1"/>
  <c r="O303" i="2"/>
  <c r="P303" i="2" s="1"/>
  <c r="O302" i="2"/>
  <c r="O301" i="2"/>
  <c r="P301" i="2" s="1"/>
  <c r="O300" i="2"/>
  <c r="P300" i="2" s="1"/>
  <c r="O299" i="2"/>
  <c r="P299" i="2" s="1"/>
  <c r="O298" i="2"/>
  <c r="P298" i="2" s="1"/>
  <c r="O297" i="2"/>
  <c r="P297" i="2" s="1"/>
  <c r="O296" i="2"/>
  <c r="P296" i="2" s="1"/>
  <c r="O295" i="2"/>
  <c r="P295" i="2" s="1"/>
  <c r="O294" i="2"/>
  <c r="P294" i="2" s="1"/>
  <c r="O293" i="2"/>
  <c r="P293" i="2" s="1"/>
  <c r="O292" i="2"/>
  <c r="P292" i="2" s="1"/>
  <c r="O291" i="2"/>
  <c r="P291" i="2" s="1"/>
  <c r="O290" i="2"/>
  <c r="O289" i="2"/>
  <c r="P289" i="2" s="1"/>
  <c r="O288" i="2"/>
  <c r="P288" i="2" s="1"/>
  <c r="O287" i="2"/>
  <c r="P287" i="2" s="1"/>
  <c r="O286" i="2"/>
  <c r="P286" i="2" s="1"/>
  <c r="O285" i="2"/>
  <c r="P285" i="2" s="1"/>
  <c r="O284" i="2"/>
  <c r="P284" i="2" s="1"/>
  <c r="O283" i="2"/>
  <c r="P283" i="2" s="1"/>
  <c r="O282" i="2"/>
  <c r="P282" i="2" s="1"/>
  <c r="O281" i="2"/>
  <c r="P281" i="2" s="1"/>
  <c r="O280" i="2"/>
  <c r="P280" i="2" s="1"/>
  <c r="O279" i="2"/>
  <c r="P279" i="2" s="1"/>
  <c r="O278" i="2"/>
  <c r="P278" i="2" s="1"/>
  <c r="O277" i="2"/>
  <c r="O276" i="2"/>
  <c r="P276" i="2" s="1"/>
  <c r="O275" i="2"/>
  <c r="P275" i="2" s="1"/>
  <c r="O274" i="2"/>
  <c r="P274" i="2" s="1"/>
  <c r="O273" i="2"/>
  <c r="P273" i="2" s="1"/>
  <c r="O272" i="2"/>
  <c r="P272" i="2" s="1"/>
  <c r="O271" i="2"/>
  <c r="P271" i="2" s="1"/>
  <c r="O270" i="2"/>
  <c r="P270" i="2" s="1"/>
  <c r="O269" i="2"/>
  <c r="P269" i="2" s="1"/>
  <c r="O268" i="2"/>
  <c r="P268" i="2" s="1"/>
  <c r="O267" i="2"/>
  <c r="P267" i="2" s="1"/>
  <c r="O266" i="2"/>
  <c r="O265" i="2"/>
  <c r="P265" i="2" s="1"/>
  <c r="O264" i="2"/>
  <c r="P264" i="2" s="1"/>
  <c r="O263" i="2"/>
  <c r="P263" i="2" s="1"/>
  <c r="O262" i="2"/>
  <c r="P262" i="2" s="1"/>
  <c r="O261" i="2"/>
  <c r="P261" i="2" s="1"/>
  <c r="O260" i="2"/>
  <c r="P260" i="2" s="1"/>
  <c r="O259" i="2"/>
  <c r="P259" i="2" s="1"/>
  <c r="O258" i="2"/>
  <c r="P258" i="2" s="1"/>
  <c r="O257" i="2"/>
  <c r="P257" i="2" s="1"/>
  <c r="O256" i="2"/>
  <c r="P256" i="2" s="1"/>
  <c r="O255" i="2"/>
  <c r="O254" i="2"/>
  <c r="P254" i="2" s="1"/>
  <c r="O253" i="2"/>
  <c r="P253" i="2" s="1"/>
  <c r="O252" i="2"/>
  <c r="P252" i="2" s="1"/>
  <c r="O251" i="2"/>
  <c r="P251" i="2" s="1"/>
  <c r="O250" i="2"/>
  <c r="P250" i="2" s="1"/>
  <c r="O249" i="2"/>
  <c r="P249" i="2" s="1"/>
  <c r="O248" i="2"/>
  <c r="P248" i="2" s="1"/>
  <c r="O247" i="2"/>
  <c r="O246" i="2"/>
  <c r="P246" i="2" s="1"/>
  <c r="O245" i="2"/>
  <c r="P245" i="2" s="1"/>
  <c r="O244" i="2"/>
  <c r="P244" i="2" s="1"/>
  <c r="O243" i="2"/>
  <c r="P243" i="2" s="1"/>
  <c r="O242" i="2"/>
  <c r="P242" i="2" s="1"/>
  <c r="O241" i="2"/>
  <c r="O240" i="2"/>
  <c r="P240" i="2" s="1"/>
  <c r="O239" i="2"/>
  <c r="P239" i="2" s="1"/>
  <c r="O238" i="2"/>
  <c r="P238" i="2" s="1"/>
  <c r="O237" i="2"/>
  <c r="P237" i="2" s="1"/>
  <c r="O236" i="2"/>
  <c r="P236" i="2" s="1"/>
  <c r="O235" i="2"/>
  <c r="P235" i="2" s="1"/>
  <c r="O234" i="2"/>
  <c r="P234" i="2" s="1"/>
  <c r="O233" i="2"/>
  <c r="P233" i="2" s="1"/>
  <c r="O232" i="2"/>
  <c r="P232" i="2" s="1"/>
  <c r="O231" i="2"/>
  <c r="P231" i="2" s="1"/>
  <c r="O230" i="2"/>
  <c r="P230" i="2" s="1"/>
  <c r="O229" i="2"/>
  <c r="P229" i="2" s="1"/>
  <c r="O228" i="2"/>
  <c r="P228" i="2" s="1"/>
  <c r="O227" i="2"/>
  <c r="O226" i="2"/>
  <c r="P226" i="2" s="1"/>
  <c r="O225" i="2"/>
  <c r="P225" i="2" s="1"/>
  <c r="O224" i="2"/>
  <c r="P224" i="2" s="1"/>
  <c r="O223" i="2"/>
  <c r="P223" i="2" s="1"/>
  <c r="O222" i="2"/>
  <c r="O221" i="2"/>
  <c r="O220" i="2"/>
  <c r="P220" i="2" s="1"/>
  <c r="O219" i="2"/>
  <c r="P219" i="2" s="1"/>
  <c r="O218" i="2"/>
  <c r="P218" i="2" s="1"/>
  <c r="O217" i="2"/>
  <c r="P217" i="2" s="1"/>
  <c r="O216" i="2"/>
  <c r="O215" i="2"/>
  <c r="P215" i="2" s="1"/>
  <c r="O214" i="2"/>
  <c r="P214" i="2" s="1"/>
  <c r="O213" i="2"/>
  <c r="P213" i="2" s="1"/>
  <c r="O212" i="2"/>
  <c r="P212" i="2" s="1"/>
  <c r="O211" i="2"/>
  <c r="P211" i="2" s="1"/>
  <c r="O210" i="2"/>
  <c r="P210" i="2" s="1"/>
  <c r="O209" i="2"/>
  <c r="P209" i="2" s="1"/>
  <c r="O208" i="2"/>
  <c r="P208" i="2" s="1"/>
  <c r="O207" i="2"/>
  <c r="P207" i="2" s="1"/>
  <c r="O206" i="2"/>
  <c r="P206" i="2" s="1"/>
  <c r="O205" i="2"/>
  <c r="P205" i="2" s="1"/>
  <c r="O204" i="2"/>
  <c r="P204" i="2" s="1"/>
  <c r="O203" i="2"/>
  <c r="P203" i="2" s="1"/>
  <c r="O202" i="2"/>
  <c r="P202" i="2" s="1"/>
  <c r="O201" i="2"/>
  <c r="P201" i="2" s="1"/>
  <c r="O200" i="2"/>
  <c r="P200" i="2" s="1"/>
  <c r="O199" i="2"/>
  <c r="P199" i="2" s="1"/>
  <c r="O198" i="2"/>
  <c r="P198" i="2" s="1"/>
  <c r="O197" i="2"/>
  <c r="P197" i="2" s="1"/>
  <c r="O196" i="2"/>
  <c r="P196" i="2" s="1"/>
  <c r="O195" i="2"/>
  <c r="P195" i="2" s="1"/>
  <c r="O194" i="2"/>
  <c r="P194" i="2" s="1"/>
  <c r="O193" i="2"/>
  <c r="O192" i="2"/>
  <c r="P192" i="2" s="1"/>
  <c r="O191" i="2"/>
  <c r="P191" i="2" s="1"/>
  <c r="O190" i="2"/>
  <c r="P190" i="2" s="1"/>
  <c r="O189" i="2"/>
  <c r="P189" i="2" s="1"/>
  <c r="O188" i="2"/>
  <c r="P188" i="2" s="1"/>
  <c r="O187" i="2"/>
  <c r="P187" i="2" s="1"/>
  <c r="O186" i="2"/>
  <c r="P186" i="2" s="1"/>
  <c r="O185" i="2"/>
  <c r="O184" i="2"/>
  <c r="P184" i="2" s="1"/>
  <c r="O183" i="2"/>
  <c r="P183" i="2" s="1"/>
  <c r="O182" i="2"/>
  <c r="P182" i="2" s="1"/>
  <c r="O181" i="2"/>
  <c r="P181" i="2" s="1"/>
  <c r="O180" i="2"/>
  <c r="P180" i="2" s="1"/>
  <c r="O179" i="2"/>
  <c r="P179" i="2" s="1"/>
  <c r="O178" i="2"/>
  <c r="P178" i="2" s="1"/>
  <c r="O177" i="2"/>
  <c r="P177" i="2" s="1"/>
  <c r="O176" i="2"/>
  <c r="P176" i="2" s="1"/>
  <c r="O175" i="2"/>
  <c r="P175" i="2" s="1"/>
  <c r="O174" i="2"/>
  <c r="P174" i="2" s="1"/>
  <c r="O173" i="2"/>
  <c r="P173" i="2" s="1"/>
  <c r="O172" i="2"/>
  <c r="P172" i="2" s="1"/>
  <c r="O171" i="2"/>
  <c r="P171" i="2" s="1"/>
  <c r="O170" i="2"/>
  <c r="P170" i="2" s="1"/>
  <c r="O169" i="2"/>
  <c r="P169" i="2" s="1"/>
  <c r="O168" i="2"/>
  <c r="P168" i="2" s="1"/>
  <c r="O167" i="2"/>
  <c r="P167" i="2" s="1"/>
  <c r="O166" i="2"/>
  <c r="P166" i="2" s="1"/>
  <c r="O165" i="2"/>
  <c r="P165" i="2" s="1"/>
  <c r="O164" i="2"/>
  <c r="P164" i="2" s="1"/>
  <c r="O163" i="2"/>
  <c r="P163" i="2" s="1"/>
  <c r="O162" i="2"/>
  <c r="P162" i="2" s="1"/>
  <c r="O161" i="2"/>
  <c r="P161" i="2" s="1"/>
  <c r="O160" i="2"/>
  <c r="P160" i="2" s="1"/>
  <c r="O159" i="2"/>
  <c r="P159" i="2" s="1"/>
  <c r="O158" i="2"/>
  <c r="P158" i="2" s="1"/>
  <c r="O157" i="2"/>
  <c r="P157" i="2" s="1"/>
  <c r="O156" i="2"/>
  <c r="P156" i="2" s="1"/>
  <c r="O155" i="2"/>
  <c r="O154" i="2"/>
  <c r="P154" i="2" s="1"/>
  <c r="O153" i="2"/>
  <c r="O152" i="2"/>
  <c r="P152" i="2" s="1"/>
  <c r="O151" i="2"/>
  <c r="P151" i="2" s="1"/>
  <c r="O150" i="2"/>
  <c r="O149" i="2"/>
  <c r="P149" i="2" s="1"/>
  <c r="O148" i="2"/>
  <c r="P148" i="2" s="1"/>
  <c r="O147" i="2"/>
  <c r="O146" i="2"/>
  <c r="P146" i="2" s="1"/>
  <c r="O145" i="2"/>
  <c r="P145" i="2" s="1"/>
  <c r="O144" i="2"/>
  <c r="P144" i="2" s="1"/>
  <c r="O143" i="2"/>
  <c r="P143" i="2" s="1"/>
  <c r="O142" i="2"/>
  <c r="P142" i="2" s="1"/>
  <c r="O141" i="2"/>
  <c r="P141" i="2" s="1"/>
  <c r="O140" i="2"/>
  <c r="P140" i="2" s="1"/>
  <c r="O139" i="2"/>
  <c r="P139" i="2" s="1"/>
  <c r="O138" i="2"/>
  <c r="P138" i="2" s="1"/>
  <c r="O137" i="2"/>
  <c r="P137" i="2" s="1"/>
  <c r="O136" i="2"/>
  <c r="P136" i="2" s="1"/>
  <c r="O135" i="2"/>
  <c r="P135" i="2" s="1"/>
  <c r="O134" i="2"/>
  <c r="P134" i="2" s="1"/>
  <c r="O133" i="2"/>
  <c r="P133" i="2" s="1"/>
  <c r="O132" i="2"/>
  <c r="P132" i="2" s="1"/>
  <c r="O131" i="2"/>
  <c r="P131" i="2" s="1"/>
  <c r="O130" i="2"/>
  <c r="P130" i="2" s="1"/>
  <c r="O129" i="2"/>
  <c r="P129" i="2" s="1"/>
  <c r="O128" i="2"/>
  <c r="P128" i="2" s="1"/>
  <c r="O127" i="2"/>
  <c r="P127" i="2" s="1"/>
  <c r="O126" i="2"/>
  <c r="P126" i="2" s="1"/>
  <c r="O125" i="2"/>
  <c r="P125" i="2" s="1"/>
  <c r="O124" i="2"/>
  <c r="C20" i="5" s="1"/>
  <c r="D20" i="5" s="1"/>
  <c r="O123" i="2"/>
  <c r="P123" i="2" s="1"/>
  <c r="O122" i="2"/>
  <c r="P122" i="2" s="1"/>
  <c r="O121" i="2"/>
  <c r="O120" i="2"/>
  <c r="P120" i="2" s="1"/>
  <c r="O119" i="2"/>
  <c r="P119" i="2" s="1"/>
  <c r="O118" i="2"/>
  <c r="P118" i="2" s="1"/>
  <c r="O117" i="2"/>
  <c r="P117" i="2" s="1"/>
  <c r="O116" i="2"/>
  <c r="P116" i="2" s="1"/>
  <c r="O115" i="2"/>
  <c r="P115" i="2" s="1"/>
  <c r="O114" i="2"/>
  <c r="P114" i="2" s="1"/>
  <c r="O113" i="2"/>
  <c r="P113" i="2" s="1"/>
  <c r="O112" i="2"/>
  <c r="P112" i="2" s="1"/>
  <c r="O111" i="2"/>
  <c r="P111" i="2" s="1"/>
  <c r="O110" i="2"/>
  <c r="P110" i="2" s="1"/>
  <c r="O109" i="2"/>
  <c r="P109" i="2" s="1"/>
  <c r="O108" i="2"/>
  <c r="P108" i="2" s="1"/>
  <c r="O107" i="2"/>
  <c r="P107" i="2" s="1"/>
  <c r="O106" i="2"/>
  <c r="P106" i="2" s="1"/>
  <c r="O105" i="2"/>
  <c r="P105" i="2" s="1"/>
  <c r="O104" i="2"/>
  <c r="P104" i="2" s="1"/>
  <c r="O103" i="2"/>
  <c r="P103" i="2" s="1"/>
  <c r="O102" i="2"/>
  <c r="P102" i="2" s="1"/>
  <c r="O101" i="2"/>
  <c r="P101" i="2" s="1"/>
  <c r="O100" i="2"/>
  <c r="P100" i="2" s="1"/>
  <c r="O99" i="2"/>
  <c r="P99" i="2" s="1"/>
  <c r="O98" i="2"/>
  <c r="P98" i="2" s="1"/>
  <c r="O97" i="2"/>
  <c r="P97" i="2" s="1"/>
  <c r="O96" i="2"/>
  <c r="P96" i="2" s="1"/>
  <c r="O95" i="2"/>
  <c r="P95" i="2" s="1"/>
  <c r="O94" i="2"/>
  <c r="O93" i="2"/>
  <c r="O92" i="2"/>
  <c r="P92" i="2" s="1"/>
  <c r="O91" i="2"/>
  <c r="P91" i="2" s="1"/>
  <c r="O90" i="2"/>
  <c r="P90" i="2" s="1"/>
  <c r="O89" i="2"/>
  <c r="P89" i="2" s="1"/>
  <c r="O88" i="2"/>
  <c r="P88" i="2" s="1"/>
  <c r="O87" i="2"/>
  <c r="P87" i="2" s="1"/>
  <c r="O86" i="2"/>
  <c r="P86" i="2" s="1"/>
  <c r="O85" i="2"/>
  <c r="P85" i="2" s="1"/>
  <c r="O84" i="2"/>
  <c r="P84" i="2" s="1"/>
  <c r="O83" i="2"/>
  <c r="P83" i="2" s="1"/>
  <c r="O82" i="2"/>
  <c r="P82" i="2" s="1"/>
  <c r="O81" i="2"/>
  <c r="P81" i="2" s="1"/>
  <c r="O80" i="2"/>
  <c r="P80" i="2" s="1"/>
  <c r="O79" i="2"/>
  <c r="P79" i="2" s="1"/>
  <c r="O78" i="2"/>
  <c r="P78" i="2" s="1"/>
  <c r="O77" i="2"/>
  <c r="P77" i="2" s="1"/>
  <c r="O76" i="2"/>
  <c r="P76" i="2" s="1"/>
  <c r="O75" i="2"/>
  <c r="P75" i="2" s="1"/>
  <c r="O74" i="2"/>
  <c r="P74" i="2" s="1"/>
  <c r="O73" i="2"/>
  <c r="P73" i="2" s="1"/>
  <c r="O72" i="2"/>
  <c r="P72" i="2" s="1"/>
  <c r="O71" i="2"/>
  <c r="P71" i="2" s="1"/>
  <c r="O70" i="2"/>
  <c r="P70" i="2" s="1"/>
  <c r="O69" i="2"/>
  <c r="P69" i="2" s="1"/>
  <c r="O68" i="2"/>
  <c r="P68" i="2" s="1"/>
  <c r="O67" i="2"/>
  <c r="P67" i="2" s="1"/>
  <c r="O66" i="2"/>
  <c r="O65" i="2"/>
  <c r="P65" i="2" s="1"/>
  <c r="O64" i="2"/>
  <c r="P64" i="2" s="1"/>
  <c r="O63" i="2"/>
  <c r="O62" i="2"/>
  <c r="P62" i="2" s="1"/>
  <c r="O61" i="2"/>
  <c r="P61" i="2" s="1"/>
  <c r="O60" i="2"/>
  <c r="P60" i="2" s="1"/>
  <c r="O59" i="2"/>
  <c r="P59" i="2" s="1"/>
  <c r="O58" i="2"/>
  <c r="P58" i="2" s="1"/>
  <c r="O57" i="2"/>
  <c r="P57" i="2" s="1"/>
  <c r="O56" i="2"/>
  <c r="P56" i="2" s="1"/>
  <c r="O55" i="2"/>
  <c r="P55" i="2" s="1"/>
  <c r="O54" i="2"/>
  <c r="P54" i="2" s="1"/>
  <c r="O53" i="2"/>
  <c r="O52" i="2"/>
  <c r="P52" i="2" s="1"/>
  <c r="O51" i="2"/>
  <c r="P51" i="2" s="1"/>
  <c r="O50" i="2"/>
  <c r="P50" i="2" s="1"/>
  <c r="O49" i="2"/>
  <c r="P49" i="2" s="1"/>
  <c r="O48" i="2"/>
  <c r="P48" i="2" s="1"/>
  <c r="O47" i="2"/>
  <c r="P47" i="2" s="1"/>
  <c r="O46" i="2"/>
  <c r="P46" i="2" s="1"/>
  <c r="O45" i="2"/>
  <c r="P45" i="2" s="1"/>
  <c r="O44" i="2"/>
  <c r="P44" i="2" s="1"/>
  <c r="O43" i="2"/>
  <c r="P43" i="2" s="1"/>
  <c r="O42" i="2"/>
  <c r="P42" i="2" s="1"/>
  <c r="O41" i="2"/>
  <c r="P41" i="2" s="1"/>
  <c r="O40" i="2"/>
  <c r="P40" i="2" s="1"/>
  <c r="O39" i="2"/>
  <c r="P39" i="2" s="1"/>
  <c r="O38" i="2"/>
  <c r="P38" i="2" s="1"/>
  <c r="O37" i="2"/>
  <c r="P37" i="2" s="1"/>
  <c r="O36" i="2"/>
  <c r="P36" i="2" s="1"/>
  <c r="O35" i="2"/>
  <c r="O34" i="2"/>
  <c r="P34" i="2" s="1"/>
  <c r="O33" i="2"/>
  <c r="P33" i="2" s="1"/>
  <c r="O32" i="2"/>
  <c r="P32" i="2" s="1"/>
  <c r="O31" i="2"/>
  <c r="P31" i="2" s="1"/>
  <c r="O30" i="2"/>
  <c r="P30" i="2" s="1"/>
  <c r="O29" i="2"/>
  <c r="P29" i="2" s="1"/>
  <c r="O28" i="2"/>
  <c r="P28" i="2" s="1"/>
  <c r="O27" i="2"/>
  <c r="P27" i="2" s="1"/>
  <c r="O26" i="2"/>
  <c r="P26" i="2" s="1"/>
  <c r="O25" i="2"/>
  <c r="P25" i="2" s="1"/>
  <c r="O24" i="2"/>
  <c r="P24" i="2" s="1"/>
  <c r="O23" i="2"/>
  <c r="P23" i="2" s="1"/>
  <c r="O22" i="2"/>
  <c r="P22" i="2" s="1"/>
  <c r="O21" i="2"/>
  <c r="P21" i="2" s="1"/>
  <c r="O20" i="2"/>
  <c r="P20" i="2" s="1"/>
  <c r="O19" i="2"/>
  <c r="P19" i="2" s="1"/>
  <c r="O18" i="2"/>
  <c r="P18" i="2" s="1"/>
  <c r="O17" i="2"/>
  <c r="P17" i="2" s="1"/>
  <c r="O16" i="2"/>
  <c r="P16" i="2" s="1"/>
  <c r="O15" i="2"/>
  <c r="P15" i="2" s="1"/>
  <c r="O14" i="2"/>
  <c r="P14" i="2" s="1"/>
  <c r="O13" i="2"/>
  <c r="P13" i="2" s="1"/>
  <c r="O12" i="2"/>
  <c r="P12" i="2" s="1"/>
  <c r="O11" i="2"/>
  <c r="P11" i="2" s="1"/>
  <c r="O10" i="2"/>
  <c r="P10" i="2" s="1"/>
  <c r="O9" i="2"/>
  <c r="P9" i="2" s="1"/>
  <c r="O8" i="2"/>
  <c r="P8" i="2" s="1"/>
  <c r="O7" i="2"/>
  <c r="P7" i="2" s="1"/>
  <c r="O6" i="2"/>
  <c r="P6" i="2" s="1"/>
  <c r="O5" i="2"/>
  <c r="P5" i="2" s="1"/>
  <c r="O4" i="2"/>
  <c r="O3" i="2"/>
  <c r="P3" i="2" s="1"/>
  <c r="O2" i="2"/>
  <c r="N1001" i="2"/>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N972" i="2"/>
  <c r="N971"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Q942" i="2" s="1"/>
  <c r="R942" i="2" s="1"/>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Q273" i="2" s="1"/>
  <c r="R273" i="2" s="1"/>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M1001" i="2"/>
  <c r="M1000" i="2"/>
  <c r="M999" i="2"/>
  <c r="B1012" i="4" s="1"/>
  <c r="M998" i="2"/>
  <c r="B1011" i="4" s="1"/>
  <c r="M997" i="2"/>
  <c r="B1010" i="4" s="1"/>
  <c r="M996" i="2"/>
  <c r="B1009" i="4" s="1"/>
  <c r="M995" i="2"/>
  <c r="M994" i="2"/>
  <c r="M993" i="2"/>
  <c r="M992" i="2"/>
  <c r="M991" i="2"/>
  <c r="M990" i="2"/>
  <c r="B1003" i="4" s="1"/>
  <c r="M989" i="2"/>
  <c r="M988" i="2"/>
  <c r="M987" i="2"/>
  <c r="B1000" i="4" s="1"/>
  <c r="M986" i="2"/>
  <c r="B999" i="4" s="1"/>
  <c r="M985" i="2"/>
  <c r="B998" i="4" s="1"/>
  <c r="M984" i="2"/>
  <c r="B997" i="4" s="1"/>
  <c r="M983" i="2"/>
  <c r="M982" i="2"/>
  <c r="M981" i="2"/>
  <c r="M980" i="2"/>
  <c r="M979" i="2"/>
  <c r="M978" i="2"/>
  <c r="B991" i="4" s="1"/>
  <c r="M977" i="2"/>
  <c r="M976" i="2"/>
  <c r="M975" i="2"/>
  <c r="B988" i="4" s="1"/>
  <c r="M974" i="2"/>
  <c r="B987" i="4" s="1"/>
  <c r="M973" i="2"/>
  <c r="B986" i="4" s="1"/>
  <c r="M972" i="2"/>
  <c r="B985" i="4" s="1"/>
  <c r="M971" i="2"/>
  <c r="B984" i="4" s="1"/>
  <c r="M970" i="2"/>
  <c r="B983" i="4" s="1"/>
  <c r="M969" i="2"/>
  <c r="M968" i="2"/>
  <c r="B981" i="4" s="1"/>
  <c r="M967" i="2"/>
  <c r="B980" i="4" s="1"/>
  <c r="M966" i="2"/>
  <c r="B979" i="4" s="1"/>
  <c r="M965" i="2"/>
  <c r="B978" i="4" s="1"/>
  <c r="M964" i="2"/>
  <c r="B977" i="4" s="1"/>
  <c r="M963" i="2"/>
  <c r="B976" i="4" s="1"/>
  <c r="M962" i="2"/>
  <c r="B975" i="4" s="1"/>
  <c r="M961" i="2"/>
  <c r="B974" i="4" s="1"/>
  <c r="M960" i="2"/>
  <c r="B973" i="4" s="1"/>
  <c r="M959" i="2"/>
  <c r="B972" i="4" s="1"/>
  <c r="M958" i="2"/>
  <c r="B971" i="4" s="1"/>
  <c r="M957" i="2"/>
  <c r="B970" i="4" s="1"/>
  <c r="M956" i="2"/>
  <c r="B969" i="4" s="1"/>
  <c r="M955" i="2"/>
  <c r="B968" i="4" s="1"/>
  <c r="M954" i="2"/>
  <c r="B967" i="4" s="1"/>
  <c r="M953" i="2"/>
  <c r="B966" i="4" s="1"/>
  <c r="M952" i="2"/>
  <c r="B965" i="4" s="1"/>
  <c r="M951" i="2"/>
  <c r="M950" i="2"/>
  <c r="B963" i="4" s="1"/>
  <c r="M949" i="2"/>
  <c r="B962" i="4" s="1"/>
  <c r="M948" i="2"/>
  <c r="B961" i="4" s="1"/>
  <c r="M947" i="2"/>
  <c r="B960" i="4" s="1"/>
  <c r="M946" i="2"/>
  <c r="M945" i="2"/>
  <c r="B958" i="4" s="1"/>
  <c r="M944" i="2"/>
  <c r="B957" i="4" s="1"/>
  <c r="M943" i="2"/>
  <c r="B956" i="4" s="1"/>
  <c r="M942" i="2"/>
  <c r="B955" i="4" s="1"/>
  <c r="M941" i="2"/>
  <c r="B954" i="4" s="1"/>
  <c r="M940" i="2"/>
  <c r="B953" i="4" s="1"/>
  <c r="M939" i="2"/>
  <c r="B952" i="4" s="1"/>
  <c r="M938" i="2"/>
  <c r="B951" i="4" s="1"/>
  <c r="M937" i="2"/>
  <c r="B950" i="4" s="1"/>
  <c r="M936" i="2"/>
  <c r="B949" i="4" s="1"/>
  <c r="M935" i="2"/>
  <c r="B948" i="4" s="1"/>
  <c r="M934" i="2"/>
  <c r="B947" i="4" s="1"/>
  <c r="M933" i="2"/>
  <c r="B946" i="4" s="1"/>
  <c r="M932" i="2"/>
  <c r="B945" i="4" s="1"/>
  <c r="M931" i="2"/>
  <c r="B944" i="4" s="1"/>
  <c r="M930" i="2"/>
  <c r="B943" i="4" s="1"/>
  <c r="M929" i="2"/>
  <c r="B942" i="4" s="1"/>
  <c r="M928" i="2"/>
  <c r="B941" i="4" s="1"/>
  <c r="M927" i="2"/>
  <c r="B940" i="4" s="1"/>
  <c r="M926" i="2"/>
  <c r="B939" i="4" s="1"/>
  <c r="M925" i="2"/>
  <c r="B938" i="4" s="1"/>
  <c r="M924" i="2"/>
  <c r="B937" i="4" s="1"/>
  <c r="M923" i="2"/>
  <c r="B936" i="4" s="1"/>
  <c r="M922" i="2"/>
  <c r="B935" i="4" s="1"/>
  <c r="M921" i="2"/>
  <c r="B934" i="4" s="1"/>
  <c r="M920" i="2"/>
  <c r="B933" i="4" s="1"/>
  <c r="M919" i="2"/>
  <c r="B932" i="4" s="1"/>
  <c r="M918" i="2"/>
  <c r="B931" i="4" s="1"/>
  <c r="M917" i="2"/>
  <c r="B930" i="4" s="1"/>
  <c r="M916" i="2"/>
  <c r="B929" i="4" s="1"/>
  <c r="M915" i="2"/>
  <c r="B928" i="4" s="1"/>
  <c r="M914" i="2"/>
  <c r="B927" i="4" s="1"/>
  <c r="M913" i="2"/>
  <c r="B926" i="4" s="1"/>
  <c r="M912" i="2"/>
  <c r="B925" i="4" s="1"/>
  <c r="M911" i="2"/>
  <c r="B924" i="4" s="1"/>
  <c r="M910" i="2"/>
  <c r="B923" i="4" s="1"/>
  <c r="M909" i="2"/>
  <c r="B922" i="4" s="1"/>
  <c r="M908" i="2"/>
  <c r="B921" i="4" s="1"/>
  <c r="M907" i="2"/>
  <c r="B920" i="4" s="1"/>
  <c r="M906" i="2"/>
  <c r="B919" i="4" s="1"/>
  <c r="M905" i="2"/>
  <c r="B918" i="4" s="1"/>
  <c r="M904" i="2"/>
  <c r="M903" i="2"/>
  <c r="B916" i="4" s="1"/>
  <c r="M902" i="2"/>
  <c r="B915" i="4" s="1"/>
  <c r="M901" i="2"/>
  <c r="B914" i="4" s="1"/>
  <c r="M900" i="2"/>
  <c r="B913" i="4" s="1"/>
  <c r="M899" i="2"/>
  <c r="B912" i="4" s="1"/>
  <c r="M898" i="2"/>
  <c r="B911" i="4" s="1"/>
  <c r="M897" i="2"/>
  <c r="B910" i="4" s="1"/>
  <c r="M896" i="2"/>
  <c r="B909" i="4" s="1"/>
  <c r="M895" i="2"/>
  <c r="B908" i="4" s="1"/>
  <c r="M894" i="2"/>
  <c r="B907" i="4" s="1"/>
  <c r="M893" i="2"/>
  <c r="B906" i="4" s="1"/>
  <c r="M892" i="2"/>
  <c r="B905" i="4" s="1"/>
  <c r="M891" i="2"/>
  <c r="B904" i="4" s="1"/>
  <c r="M890" i="2"/>
  <c r="B903" i="4" s="1"/>
  <c r="M889" i="2"/>
  <c r="B902" i="4" s="1"/>
  <c r="M888" i="2"/>
  <c r="B901" i="4" s="1"/>
  <c r="M887" i="2"/>
  <c r="B900" i="4" s="1"/>
  <c r="M886" i="2"/>
  <c r="B899" i="4" s="1"/>
  <c r="M885" i="2"/>
  <c r="B898" i="4" s="1"/>
  <c r="M884" i="2"/>
  <c r="B897" i="4" s="1"/>
  <c r="M883" i="2"/>
  <c r="B896" i="4" s="1"/>
  <c r="M882" i="2"/>
  <c r="B895" i="4" s="1"/>
  <c r="M881" i="2"/>
  <c r="B894" i="4" s="1"/>
  <c r="M880" i="2"/>
  <c r="B893" i="4" s="1"/>
  <c r="M879" i="2"/>
  <c r="B892" i="4" s="1"/>
  <c r="M878" i="2"/>
  <c r="B891" i="4" s="1"/>
  <c r="M877" i="2"/>
  <c r="B890" i="4" s="1"/>
  <c r="M876" i="2"/>
  <c r="B889" i="4" s="1"/>
  <c r="M875" i="2"/>
  <c r="B888" i="4" s="1"/>
  <c r="M874" i="2"/>
  <c r="B887" i="4" s="1"/>
  <c r="M873" i="2"/>
  <c r="B886" i="4" s="1"/>
  <c r="M872" i="2"/>
  <c r="B885" i="4" s="1"/>
  <c r="M871" i="2"/>
  <c r="B884" i="4" s="1"/>
  <c r="M870" i="2"/>
  <c r="B883" i="4" s="1"/>
  <c r="M869" i="2"/>
  <c r="B882" i="4" s="1"/>
  <c r="M868" i="2"/>
  <c r="B881" i="4" s="1"/>
  <c r="M867" i="2"/>
  <c r="B880" i="4" s="1"/>
  <c r="M866" i="2"/>
  <c r="B879" i="4" s="1"/>
  <c r="M865" i="2"/>
  <c r="B878" i="4" s="1"/>
  <c r="M864" i="2"/>
  <c r="B877" i="4" s="1"/>
  <c r="M863" i="2"/>
  <c r="B876" i="4" s="1"/>
  <c r="M862" i="2"/>
  <c r="B875" i="4" s="1"/>
  <c r="M861" i="2"/>
  <c r="B874" i="4" s="1"/>
  <c r="M860" i="2"/>
  <c r="B873" i="4" s="1"/>
  <c r="M859" i="2"/>
  <c r="B872" i="4" s="1"/>
  <c r="M858" i="2"/>
  <c r="B871" i="4" s="1"/>
  <c r="M857" i="2"/>
  <c r="B870" i="4" s="1"/>
  <c r="M856" i="2"/>
  <c r="B869" i="4" s="1"/>
  <c r="M855" i="2"/>
  <c r="B868" i="4" s="1"/>
  <c r="M854" i="2"/>
  <c r="B867" i="4" s="1"/>
  <c r="M853" i="2"/>
  <c r="B866" i="4" s="1"/>
  <c r="M852" i="2"/>
  <c r="M851" i="2"/>
  <c r="B864" i="4" s="1"/>
  <c r="M850" i="2"/>
  <c r="B863" i="4" s="1"/>
  <c r="M849" i="2"/>
  <c r="B862" i="4" s="1"/>
  <c r="M848" i="2"/>
  <c r="B861" i="4" s="1"/>
  <c r="M847" i="2"/>
  <c r="B860" i="4" s="1"/>
  <c r="M846" i="2"/>
  <c r="B859" i="4" s="1"/>
  <c r="M845" i="2"/>
  <c r="B858" i="4" s="1"/>
  <c r="M844" i="2"/>
  <c r="B857" i="4" s="1"/>
  <c r="M843" i="2"/>
  <c r="B856" i="4" s="1"/>
  <c r="M842" i="2"/>
  <c r="B855" i="4" s="1"/>
  <c r="M841" i="2"/>
  <c r="B854" i="4" s="1"/>
  <c r="M840" i="2"/>
  <c r="B853" i="4" s="1"/>
  <c r="M839" i="2"/>
  <c r="B852" i="4" s="1"/>
  <c r="M838" i="2"/>
  <c r="B851" i="4" s="1"/>
  <c r="M837" i="2"/>
  <c r="B850" i="4" s="1"/>
  <c r="M836" i="2"/>
  <c r="B849" i="4" s="1"/>
  <c r="M835" i="2"/>
  <c r="B848" i="4" s="1"/>
  <c r="M834" i="2"/>
  <c r="B847" i="4" s="1"/>
  <c r="M833" i="2"/>
  <c r="B846" i="4" s="1"/>
  <c r="M832" i="2"/>
  <c r="B845" i="4" s="1"/>
  <c r="M831" i="2"/>
  <c r="M830" i="2"/>
  <c r="M829" i="2"/>
  <c r="B842" i="4" s="1"/>
  <c r="M828" i="2"/>
  <c r="B841" i="4" s="1"/>
  <c r="M827" i="2"/>
  <c r="B840" i="4" s="1"/>
  <c r="M826" i="2"/>
  <c r="B839" i="4" s="1"/>
  <c r="M825" i="2"/>
  <c r="B838" i="4" s="1"/>
  <c r="M824" i="2"/>
  <c r="B837" i="4" s="1"/>
  <c r="M823" i="2"/>
  <c r="B836" i="4" s="1"/>
  <c r="M822" i="2"/>
  <c r="B835" i="4" s="1"/>
  <c r="M821" i="2"/>
  <c r="B834" i="4" s="1"/>
  <c r="M820" i="2"/>
  <c r="B833" i="4" s="1"/>
  <c r="M819" i="2"/>
  <c r="B832" i="4" s="1"/>
  <c r="M818" i="2"/>
  <c r="B831" i="4" s="1"/>
  <c r="M817" i="2"/>
  <c r="B830" i="4" s="1"/>
  <c r="M816" i="2"/>
  <c r="B829" i="4" s="1"/>
  <c r="M815" i="2"/>
  <c r="B828" i="4" s="1"/>
  <c r="M814" i="2"/>
  <c r="B827" i="4" s="1"/>
  <c r="M813" i="2"/>
  <c r="B826" i="4" s="1"/>
  <c r="M812" i="2"/>
  <c r="B825" i="4" s="1"/>
  <c r="M811" i="2"/>
  <c r="B824" i="4" s="1"/>
  <c r="M810" i="2"/>
  <c r="B823" i="4" s="1"/>
  <c r="M809" i="2"/>
  <c r="B822" i="4" s="1"/>
  <c r="M808" i="2"/>
  <c r="B821" i="4" s="1"/>
  <c r="M807" i="2"/>
  <c r="B820" i="4" s="1"/>
  <c r="M806" i="2"/>
  <c r="B819" i="4" s="1"/>
  <c r="M805" i="2"/>
  <c r="B818" i="4" s="1"/>
  <c r="M804" i="2"/>
  <c r="B817" i="4" s="1"/>
  <c r="M803" i="2"/>
  <c r="B816" i="4" s="1"/>
  <c r="M802" i="2"/>
  <c r="M801" i="2"/>
  <c r="B814" i="4" s="1"/>
  <c r="M800" i="2"/>
  <c r="B813" i="4" s="1"/>
  <c r="M799" i="2"/>
  <c r="B812" i="4" s="1"/>
  <c r="M798" i="2"/>
  <c r="B811" i="4" s="1"/>
  <c r="M797" i="2"/>
  <c r="B810" i="4" s="1"/>
  <c r="M796" i="2"/>
  <c r="B809" i="4" s="1"/>
  <c r="M795" i="2"/>
  <c r="B808" i="4" s="1"/>
  <c r="M794" i="2"/>
  <c r="B807" i="4" s="1"/>
  <c r="M793" i="2"/>
  <c r="B806" i="4" s="1"/>
  <c r="M792" i="2"/>
  <c r="B805" i="4" s="1"/>
  <c r="M791" i="2"/>
  <c r="B804" i="4" s="1"/>
  <c r="M790" i="2"/>
  <c r="B803" i="4" s="1"/>
  <c r="M789" i="2"/>
  <c r="B802" i="4" s="1"/>
  <c r="M788" i="2"/>
  <c r="B801" i="4" s="1"/>
  <c r="M787" i="2"/>
  <c r="B800" i="4" s="1"/>
  <c r="M786" i="2"/>
  <c r="B799" i="4" s="1"/>
  <c r="M785" i="2"/>
  <c r="B798" i="4" s="1"/>
  <c r="M784" i="2"/>
  <c r="B797" i="4" s="1"/>
  <c r="M783" i="2"/>
  <c r="B796" i="4" s="1"/>
  <c r="M782" i="2"/>
  <c r="B795" i="4" s="1"/>
  <c r="M781" i="2"/>
  <c r="B794" i="4" s="1"/>
  <c r="M780" i="2"/>
  <c r="B793" i="4" s="1"/>
  <c r="M779" i="2"/>
  <c r="B792" i="4" s="1"/>
  <c r="M778" i="2"/>
  <c r="B791" i="4" s="1"/>
  <c r="M777" i="2"/>
  <c r="B790" i="4" s="1"/>
  <c r="M776" i="2"/>
  <c r="B789" i="4" s="1"/>
  <c r="M775" i="2"/>
  <c r="B788" i="4" s="1"/>
  <c r="M774" i="2"/>
  <c r="B787" i="4" s="1"/>
  <c r="M773" i="2"/>
  <c r="B786" i="4" s="1"/>
  <c r="M772" i="2"/>
  <c r="B785" i="4" s="1"/>
  <c r="M771" i="2"/>
  <c r="B784" i="4" s="1"/>
  <c r="M770" i="2"/>
  <c r="B783" i="4" s="1"/>
  <c r="M769" i="2"/>
  <c r="B782" i="4" s="1"/>
  <c r="M768" i="2"/>
  <c r="B781" i="4" s="1"/>
  <c r="M767" i="2"/>
  <c r="B780" i="4" s="1"/>
  <c r="M766" i="2"/>
  <c r="B779" i="4" s="1"/>
  <c r="M765" i="2"/>
  <c r="B778" i="4" s="1"/>
  <c r="M764" i="2"/>
  <c r="B777" i="4" s="1"/>
  <c r="M763" i="2"/>
  <c r="B776" i="4" s="1"/>
  <c r="M762" i="2"/>
  <c r="B775" i="4" s="1"/>
  <c r="M761" i="2"/>
  <c r="B774" i="4" s="1"/>
  <c r="M760" i="2"/>
  <c r="B773" i="4" s="1"/>
  <c r="M759" i="2"/>
  <c r="B772" i="4" s="1"/>
  <c r="M758" i="2"/>
  <c r="B771" i="4" s="1"/>
  <c r="M757" i="2"/>
  <c r="B770" i="4" s="1"/>
  <c r="M756" i="2"/>
  <c r="B769" i="4" s="1"/>
  <c r="M755" i="2"/>
  <c r="M754" i="2"/>
  <c r="B767" i="4" s="1"/>
  <c r="M753" i="2"/>
  <c r="B766" i="4" s="1"/>
  <c r="M752" i="2"/>
  <c r="B765" i="4" s="1"/>
  <c r="M751" i="2"/>
  <c r="B764" i="4" s="1"/>
  <c r="M750" i="2"/>
  <c r="B763" i="4" s="1"/>
  <c r="M749" i="2"/>
  <c r="B762" i="4" s="1"/>
  <c r="M748" i="2"/>
  <c r="B761" i="4" s="1"/>
  <c r="M747" i="2"/>
  <c r="B760" i="4" s="1"/>
  <c r="M746" i="2"/>
  <c r="M745" i="2"/>
  <c r="B758" i="4" s="1"/>
  <c r="M744" i="2"/>
  <c r="B757" i="4" s="1"/>
  <c r="M743" i="2"/>
  <c r="B756" i="4" s="1"/>
  <c r="M742" i="2"/>
  <c r="B755" i="4" s="1"/>
  <c r="M741" i="2"/>
  <c r="M740" i="2"/>
  <c r="B753" i="4" s="1"/>
  <c r="M739" i="2"/>
  <c r="B752" i="4" s="1"/>
  <c r="M738" i="2"/>
  <c r="B751" i="4" s="1"/>
  <c r="M737" i="2"/>
  <c r="B750" i="4" s="1"/>
  <c r="M736" i="2"/>
  <c r="B749" i="4" s="1"/>
  <c r="M735" i="2"/>
  <c r="B748" i="4" s="1"/>
  <c r="M734" i="2"/>
  <c r="B747" i="4" s="1"/>
  <c r="M733" i="2"/>
  <c r="M732" i="2"/>
  <c r="B745" i="4" s="1"/>
  <c r="M731" i="2"/>
  <c r="B744" i="4" s="1"/>
  <c r="M730" i="2"/>
  <c r="B743" i="4" s="1"/>
  <c r="M729" i="2"/>
  <c r="B742" i="4" s="1"/>
  <c r="M728" i="2"/>
  <c r="Q728" i="2" s="1"/>
  <c r="R728" i="2" s="1"/>
  <c r="M727" i="2"/>
  <c r="B740" i="4" s="1"/>
  <c r="M726" i="2"/>
  <c r="B739" i="4" s="1"/>
  <c r="M725" i="2"/>
  <c r="B738" i="4" s="1"/>
  <c r="M724" i="2"/>
  <c r="B737" i="4" s="1"/>
  <c r="M723" i="2"/>
  <c r="B736" i="4" s="1"/>
  <c r="M722" i="2"/>
  <c r="B735" i="4" s="1"/>
  <c r="M721" i="2"/>
  <c r="B734" i="4" s="1"/>
  <c r="M720" i="2"/>
  <c r="B733" i="4" s="1"/>
  <c r="M719" i="2"/>
  <c r="B732" i="4" s="1"/>
  <c r="M718" i="2"/>
  <c r="B731" i="4" s="1"/>
  <c r="M717" i="2"/>
  <c r="B730" i="4" s="1"/>
  <c r="M716" i="2"/>
  <c r="B729" i="4" s="1"/>
  <c r="M715" i="2"/>
  <c r="B728" i="4" s="1"/>
  <c r="M714" i="2"/>
  <c r="B727" i="4" s="1"/>
  <c r="M713" i="2"/>
  <c r="B726" i="4" s="1"/>
  <c r="M712" i="2"/>
  <c r="B725" i="4" s="1"/>
  <c r="M711" i="2"/>
  <c r="B724" i="4" s="1"/>
  <c r="M710" i="2"/>
  <c r="B723" i="4" s="1"/>
  <c r="M709" i="2"/>
  <c r="B722" i="4" s="1"/>
  <c r="M708" i="2"/>
  <c r="B721" i="4" s="1"/>
  <c r="M707" i="2"/>
  <c r="B720" i="4" s="1"/>
  <c r="M706" i="2"/>
  <c r="B719" i="4" s="1"/>
  <c r="M705" i="2"/>
  <c r="B718" i="4" s="1"/>
  <c r="M704" i="2"/>
  <c r="B717" i="4" s="1"/>
  <c r="M703" i="2"/>
  <c r="B716" i="4" s="1"/>
  <c r="M702" i="2"/>
  <c r="B715" i="4" s="1"/>
  <c r="M701" i="2"/>
  <c r="B714" i="4" s="1"/>
  <c r="M700" i="2"/>
  <c r="B713" i="4" s="1"/>
  <c r="M699" i="2"/>
  <c r="B712" i="4" s="1"/>
  <c r="M698" i="2"/>
  <c r="M697" i="2"/>
  <c r="B710" i="4" s="1"/>
  <c r="M696" i="2"/>
  <c r="B709" i="4" s="1"/>
  <c r="M695" i="2"/>
  <c r="B708" i="4" s="1"/>
  <c r="M694" i="2"/>
  <c r="B707" i="4" s="1"/>
  <c r="M693" i="2"/>
  <c r="B706" i="4" s="1"/>
  <c r="M692" i="2"/>
  <c r="B705" i="4" s="1"/>
  <c r="M691" i="2"/>
  <c r="B704" i="4" s="1"/>
  <c r="M690" i="2"/>
  <c r="B703" i="4" s="1"/>
  <c r="M689" i="2"/>
  <c r="B702" i="4" s="1"/>
  <c r="M688" i="2"/>
  <c r="B701" i="4" s="1"/>
  <c r="M687" i="2"/>
  <c r="B700" i="4" s="1"/>
  <c r="M686" i="2"/>
  <c r="B699" i="4" s="1"/>
  <c r="M685" i="2"/>
  <c r="M684" i="2"/>
  <c r="B697" i="4" s="1"/>
  <c r="M683" i="2"/>
  <c r="B696" i="4" s="1"/>
  <c r="M682" i="2"/>
  <c r="B695" i="4" s="1"/>
  <c r="M681" i="2"/>
  <c r="B694" i="4" s="1"/>
  <c r="M680" i="2"/>
  <c r="B693" i="4" s="1"/>
  <c r="M679" i="2"/>
  <c r="B692" i="4" s="1"/>
  <c r="M678" i="2"/>
  <c r="B691" i="4" s="1"/>
  <c r="M677" i="2"/>
  <c r="B690" i="4" s="1"/>
  <c r="M676" i="2"/>
  <c r="B689" i="4" s="1"/>
  <c r="M675" i="2"/>
  <c r="B688" i="4" s="1"/>
  <c r="M674" i="2"/>
  <c r="B687" i="4" s="1"/>
  <c r="M673" i="2"/>
  <c r="B686" i="4" s="1"/>
  <c r="M672" i="2"/>
  <c r="B685" i="4" s="1"/>
  <c r="M671" i="2"/>
  <c r="B684" i="4" s="1"/>
  <c r="M670" i="2"/>
  <c r="B683" i="4" s="1"/>
  <c r="M669" i="2"/>
  <c r="B682" i="4" s="1"/>
  <c r="M668" i="2"/>
  <c r="B681" i="4" s="1"/>
  <c r="M667" i="2"/>
  <c r="B680" i="4" s="1"/>
  <c r="M666" i="2"/>
  <c r="B679" i="4" s="1"/>
  <c r="M665" i="2"/>
  <c r="B678" i="4" s="1"/>
  <c r="M664" i="2"/>
  <c r="B677" i="4" s="1"/>
  <c r="M663" i="2"/>
  <c r="B676" i="4" s="1"/>
  <c r="M662" i="2"/>
  <c r="B675" i="4" s="1"/>
  <c r="M661" i="2"/>
  <c r="B674" i="4" s="1"/>
  <c r="M660" i="2"/>
  <c r="B673" i="4" s="1"/>
  <c r="M659" i="2"/>
  <c r="B672" i="4" s="1"/>
  <c r="M658" i="2"/>
  <c r="B671" i="4" s="1"/>
  <c r="M657" i="2"/>
  <c r="B670" i="4" s="1"/>
  <c r="M656" i="2"/>
  <c r="B669" i="4" s="1"/>
  <c r="M655" i="2"/>
  <c r="B668" i="4" s="1"/>
  <c r="M654" i="2"/>
  <c r="B667" i="4" s="1"/>
  <c r="M653" i="2"/>
  <c r="B666" i="4" s="1"/>
  <c r="M652" i="2"/>
  <c r="B665" i="4" s="1"/>
  <c r="M651" i="2"/>
  <c r="B664" i="4" s="1"/>
  <c r="M650" i="2"/>
  <c r="B663" i="4" s="1"/>
  <c r="M649" i="2"/>
  <c r="B662" i="4" s="1"/>
  <c r="M648" i="2"/>
  <c r="B661" i="4" s="1"/>
  <c r="M647" i="2"/>
  <c r="B660" i="4" s="1"/>
  <c r="M646" i="2"/>
  <c r="B659" i="4" s="1"/>
  <c r="M645" i="2"/>
  <c r="B658" i="4" s="1"/>
  <c r="M644" i="2"/>
  <c r="B657" i="4" s="1"/>
  <c r="M643" i="2"/>
  <c r="B656" i="4" s="1"/>
  <c r="M642" i="2"/>
  <c r="B655" i="4" s="1"/>
  <c r="M641" i="2"/>
  <c r="B654" i="4" s="1"/>
  <c r="M640" i="2"/>
  <c r="B653" i="4" s="1"/>
  <c r="M639" i="2"/>
  <c r="B652" i="4" s="1"/>
  <c r="M638" i="2"/>
  <c r="B651" i="4" s="1"/>
  <c r="M637" i="2"/>
  <c r="B650" i="4" s="1"/>
  <c r="M636" i="2"/>
  <c r="B649" i="4" s="1"/>
  <c r="M635" i="2"/>
  <c r="B648" i="4" s="1"/>
  <c r="M634" i="2"/>
  <c r="M633" i="2"/>
  <c r="B646" i="4" s="1"/>
  <c r="M632" i="2"/>
  <c r="B645" i="4" s="1"/>
  <c r="M631" i="2"/>
  <c r="B644" i="4" s="1"/>
  <c r="M630" i="2"/>
  <c r="B643" i="4" s="1"/>
  <c r="M629" i="2"/>
  <c r="B642" i="4" s="1"/>
  <c r="M628" i="2"/>
  <c r="B641" i="4" s="1"/>
  <c r="M627" i="2"/>
  <c r="B640" i="4" s="1"/>
  <c r="M626" i="2"/>
  <c r="B639" i="4" s="1"/>
  <c r="M625" i="2"/>
  <c r="B638" i="4" s="1"/>
  <c r="M624" i="2"/>
  <c r="B637" i="4" s="1"/>
  <c r="M623" i="2"/>
  <c r="B636" i="4" s="1"/>
  <c r="M622" i="2"/>
  <c r="B635" i="4" s="1"/>
  <c r="M621" i="2"/>
  <c r="B634" i="4" s="1"/>
  <c r="M620" i="2"/>
  <c r="M619" i="2"/>
  <c r="B632" i="4" s="1"/>
  <c r="M618" i="2"/>
  <c r="B631" i="4" s="1"/>
  <c r="M617" i="2"/>
  <c r="B630" i="4" s="1"/>
  <c r="M616" i="2"/>
  <c r="B629" i="4" s="1"/>
  <c r="M615" i="2"/>
  <c r="B628" i="4" s="1"/>
  <c r="M614" i="2"/>
  <c r="B627" i="4" s="1"/>
  <c r="M613" i="2"/>
  <c r="B626" i="4" s="1"/>
  <c r="M612" i="2"/>
  <c r="B625" i="4" s="1"/>
  <c r="M611" i="2"/>
  <c r="B624" i="4" s="1"/>
  <c r="M610" i="2"/>
  <c r="B623" i="4" s="1"/>
  <c r="M609" i="2"/>
  <c r="B622" i="4" s="1"/>
  <c r="M608" i="2"/>
  <c r="B621" i="4" s="1"/>
  <c r="M607" i="2"/>
  <c r="B620" i="4" s="1"/>
  <c r="M606" i="2"/>
  <c r="B619" i="4" s="1"/>
  <c r="M605" i="2"/>
  <c r="B618" i="4" s="1"/>
  <c r="M604" i="2"/>
  <c r="M603" i="2"/>
  <c r="B616" i="4" s="1"/>
  <c r="M602" i="2"/>
  <c r="B615" i="4" s="1"/>
  <c r="M601" i="2"/>
  <c r="B614" i="4" s="1"/>
  <c r="M600" i="2"/>
  <c r="B613" i="4" s="1"/>
  <c r="M599" i="2"/>
  <c r="B612" i="4" s="1"/>
  <c r="M598" i="2"/>
  <c r="B611" i="4" s="1"/>
  <c r="M597" i="2"/>
  <c r="B610" i="4" s="1"/>
  <c r="M596" i="2"/>
  <c r="B609" i="4" s="1"/>
  <c r="M595" i="2"/>
  <c r="B608" i="4" s="1"/>
  <c r="M594" i="2"/>
  <c r="B607" i="4" s="1"/>
  <c r="M593" i="2"/>
  <c r="B606" i="4" s="1"/>
  <c r="M592" i="2"/>
  <c r="B605" i="4" s="1"/>
  <c r="M591" i="2"/>
  <c r="M590" i="2"/>
  <c r="B603" i="4" s="1"/>
  <c r="M589" i="2"/>
  <c r="M588" i="2"/>
  <c r="M587" i="2"/>
  <c r="B600" i="4" s="1"/>
  <c r="M586" i="2"/>
  <c r="B599" i="4" s="1"/>
  <c r="M585" i="2"/>
  <c r="B598" i="4" s="1"/>
  <c r="M584" i="2"/>
  <c r="B597" i="4" s="1"/>
  <c r="M583" i="2"/>
  <c r="B596" i="4" s="1"/>
  <c r="M582" i="2"/>
  <c r="B595" i="4" s="1"/>
  <c r="M581" i="2"/>
  <c r="B594" i="4" s="1"/>
  <c r="M580" i="2"/>
  <c r="B593" i="4" s="1"/>
  <c r="M579" i="2"/>
  <c r="B592" i="4" s="1"/>
  <c r="M578" i="2"/>
  <c r="B591" i="4" s="1"/>
  <c r="M577" i="2"/>
  <c r="B590" i="4" s="1"/>
  <c r="M576" i="2"/>
  <c r="B589" i="4" s="1"/>
  <c r="M575" i="2"/>
  <c r="B588" i="4" s="1"/>
  <c r="M574" i="2"/>
  <c r="B587" i="4" s="1"/>
  <c r="M573" i="2"/>
  <c r="B586" i="4" s="1"/>
  <c r="M572" i="2"/>
  <c r="B585" i="4" s="1"/>
  <c r="M571" i="2"/>
  <c r="B584" i="4" s="1"/>
  <c r="M570" i="2"/>
  <c r="B583" i="4" s="1"/>
  <c r="M569" i="2"/>
  <c r="B582" i="4" s="1"/>
  <c r="M568" i="2"/>
  <c r="B581" i="4" s="1"/>
  <c r="M567" i="2"/>
  <c r="B580" i="4" s="1"/>
  <c r="M566" i="2"/>
  <c r="B579" i="4" s="1"/>
  <c r="M565" i="2"/>
  <c r="B578" i="4" s="1"/>
  <c r="M564" i="2"/>
  <c r="B577" i="4" s="1"/>
  <c r="M563" i="2"/>
  <c r="B576" i="4" s="1"/>
  <c r="M562" i="2"/>
  <c r="M561" i="2"/>
  <c r="B574" i="4" s="1"/>
  <c r="M560" i="2"/>
  <c r="B573" i="4" s="1"/>
  <c r="M559" i="2"/>
  <c r="B572" i="4" s="1"/>
  <c r="M558" i="2"/>
  <c r="B571" i="4" s="1"/>
  <c r="M557" i="2"/>
  <c r="B570" i="4" s="1"/>
  <c r="M556" i="2"/>
  <c r="M555" i="2"/>
  <c r="B568" i="4" s="1"/>
  <c r="M554" i="2"/>
  <c r="B567" i="4" s="1"/>
  <c r="M553" i="2"/>
  <c r="B566" i="4" s="1"/>
  <c r="M552" i="2"/>
  <c r="B565" i="4" s="1"/>
  <c r="M551" i="2"/>
  <c r="B564" i="4" s="1"/>
  <c r="M550" i="2"/>
  <c r="B563" i="4" s="1"/>
  <c r="M549" i="2"/>
  <c r="B562" i="4" s="1"/>
  <c r="M548" i="2"/>
  <c r="B561" i="4" s="1"/>
  <c r="M547" i="2"/>
  <c r="B560" i="4" s="1"/>
  <c r="M546" i="2"/>
  <c r="B559" i="4" s="1"/>
  <c r="M545" i="2"/>
  <c r="B558" i="4" s="1"/>
  <c r="M544" i="2"/>
  <c r="B557" i="4" s="1"/>
  <c r="M543" i="2"/>
  <c r="B556" i="4" s="1"/>
  <c r="M542" i="2"/>
  <c r="B555" i="4" s="1"/>
  <c r="M541" i="2"/>
  <c r="B554" i="4" s="1"/>
  <c r="M540" i="2"/>
  <c r="B553" i="4" s="1"/>
  <c r="M539" i="2"/>
  <c r="B552" i="4" s="1"/>
  <c r="M538" i="2"/>
  <c r="B551" i="4" s="1"/>
  <c r="M537" i="2"/>
  <c r="B550" i="4" s="1"/>
  <c r="M536" i="2"/>
  <c r="B549" i="4" s="1"/>
  <c r="M535" i="2"/>
  <c r="B548" i="4" s="1"/>
  <c r="M534" i="2"/>
  <c r="B547" i="4" s="1"/>
  <c r="M533" i="2"/>
  <c r="B546" i="4" s="1"/>
  <c r="M532" i="2"/>
  <c r="B545" i="4" s="1"/>
  <c r="M531" i="2"/>
  <c r="B544" i="4" s="1"/>
  <c r="M530" i="2"/>
  <c r="B543" i="4" s="1"/>
  <c r="M529" i="2"/>
  <c r="B542" i="4" s="1"/>
  <c r="M528" i="2"/>
  <c r="B541" i="4" s="1"/>
  <c r="M527" i="2"/>
  <c r="B540" i="4" s="1"/>
  <c r="M526" i="2"/>
  <c r="B539" i="4" s="1"/>
  <c r="M525" i="2"/>
  <c r="B538" i="4" s="1"/>
  <c r="M524" i="2"/>
  <c r="B537" i="4" s="1"/>
  <c r="M523" i="2"/>
  <c r="B536" i="4" s="1"/>
  <c r="M522" i="2"/>
  <c r="B535" i="4" s="1"/>
  <c r="M521" i="2"/>
  <c r="B534" i="4" s="1"/>
  <c r="M520" i="2"/>
  <c r="B533" i="4" s="1"/>
  <c r="M519" i="2"/>
  <c r="B532" i="4" s="1"/>
  <c r="M518" i="2"/>
  <c r="B531" i="4" s="1"/>
  <c r="M517" i="2"/>
  <c r="B530" i="4" s="1"/>
  <c r="M516" i="2"/>
  <c r="B529" i="4" s="1"/>
  <c r="M515" i="2"/>
  <c r="B528" i="4" s="1"/>
  <c r="M514" i="2"/>
  <c r="M513" i="2"/>
  <c r="B526" i="4" s="1"/>
  <c r="M512" i="2"/>
  <c r="B525" i="4" s="1"/>
  <c r="M511" i="2"/>
  <c r="B524" i="4" s="1"/>
  <c r="M510" i="2"/>
  <c r="B523" i="4" s="1"/>
  <c r="M509" i="2"/>
  <c r="B522" i="4" s="1"/>
  <c r="M508" i="2"/>
  <c r="B521" i="4" s="1"/>
  <c r="M507" i="2"/>
  <c r="B520" i="4" s="1"/>
  <c r="M506" i="2"/>
  <c r="B519" i="4" s="1"/>
  <c r="M505" i="2"/>
  <c r="B518" i="4" s="1"/>
  <c r="M504" i="2"/>
  <c r="B517" i="4" s="1"/>
  <c r="M503" i="2"/>
  <c r="B516" i="4" s="1"/>
  <c r="M502" i="2"/>
  <c r="B515" i="4" s="1"/>
  <c r="M501" i="2"/>
  <c r="B514" i="4" s="1"/>
  <c r="M500" i="2"/>
  <c r="B513" i="4" s="1"/>
  <c r="M499" i="2"/>
  <c r="B512" i="4" s="1"/>
  <c r="M498" i="2"/>
  <c r="B511" i="4" s="1"/>
  <c r="M497" i="2"/>
  <c r="B510" i="4" s="1"/>
  <c r="M496" i="2"/>
  <c r="B509" i="4" s="1"/>
  <c r="M495" i="2"/>
  <c r="B508" i="4" s="1"/>
  <c r="M494" i="2"/>
  <c r="B507" i="4" s="1"/>
  <c r="M493" i="2"/>
  <c r="B506" i="4" s="1"/>
  <c r="M492" i="2"/>
  <c r="M491" i="2"/>
  <c r="B504" i="4" s="1"/>
  <c r="M490" i="2"/>
  <c r="B503" i="4" s="1"/>
  <c r="M489" i="2"/>
  <c r="B502" i="4" s="1"/>
  <c r="M488" i="2"/>
  <c r="B501" i="4" s="1"/>
  <c r="M487" i="2"/>
  <c r="B500" i="4" s="1"/>
  <c r="M486" i="2"/>
  <c r="B499" i="4" s="1"/>
  <c r="M485" i="2"/>
  <c r="B498" i="4" s="1"/>
  <c r="M484" i="2"/>
  <c r="B497" i="4" s="1"/>
  <c r="M483" i="2"/>
  <c r="B496" i="4" s="1"/>
  <c r="M482" i="2"/>
  <c r="B495" i="4" s="1"/>
  <c r="M481" i="2"/>
  <c r="B494" i="4" s="1"/>
  <c r="M480" i="2"/>
  <c r="B493" i="4" s="1"/>
  <c r="M479" i="2"/>
  <c r="B492" i="4" s="1"/>
  <c r="M478" i="2"/>
  <c r="B491" i="4" s="1"/>
  <c r="M477" i="2"/>
  <c r="B490" i="4" s="1"/>
  <c r="M476" i="2"/>
  <c r="B489" i="4" s="1"/>
  <c r="M475" i="2"/>
  <c r="B488" i="4" s="1"/>
  <c r="M474" i="2"/>
  <c r="B487" i="4" s="1"/>
  <c r="M473" i="2"/>
  <c r="B486" i="4" s="1"/>
  <c r="M472" i="2"/>
  <c r="B485" i="4" s="1"/>
  <c r="M471" i="2"/>
  <c r="B484" i="4" s="1"/>
  <c r="M470" i="2"/>
  <c r="B483" i="4" s="1"/>
  <c r="M469" i="2"/>
  <c r="B482" i="4" s="1"/>
  <c r="M468" i="2"/>
  <c r="B481" i="4" s="1"/>
  <c r="M467" i="2"/>
  <c r="B480" i="4" s="1"/>
  <c r="M466" i="2"/>
  <c r="M465" i="2"/>
  <c r="B478" i="4" s="1"/>
  <c r="M464" i="2"/>
  <c r="B477" i="4" s="1"/>
  <c r="M463" i="2"/>
  <c r="B476" i="4" s="1"/>
  <c r="M462" i="2"/>
  <c r="B475" i="4" s="1"/>
  <c r="M461" i="2"/>
  <c r="B474" i="4" s="1"/>
  <c r="M460" i="2"/>
  <c r="B473" i="4" s="1"/>
  <c r="M459" i="2"/>
  <c r="B472" i="4" s="1"/>
  <c r="M458" i="2"/>
  <c r="B471" i="4" s="1"/>
  <c r="M457" i="2"/>
  <c r="B470" i="4" s="1"/>
  <c r="M456" i="2"/>
  <c r="B469" i="4" s="1"/>
  <c r="M455" i="2"/>
  <c r="B468" i="4" s="1"/>
  <c r="M454" i="2"/>
  <c r="B467" i="4" s="1"/>
  <c r="M453" i="2"/>
  <c r="B466" i="4" s="1"/>
  <c r="M452" i="2"/>
  <c r="B465" i="4" s="1"/>
  <c r="M451" i="2"/>
  <c r="B464" i="4" s="1"/>
  <c r="M450" i="2"/>
  <c r="B463" i="4" s="1"/>
  <c r="M449" i="2"/>
  <c r="M448" i="2"/>
  <c r="B461" i="4" s="1"/>
  <c r="M447" i="2"/>
  <c r="B460" i="4" s="1"/>
  <c r="M446" i="2"/>
  <c r="B459" i="4" s="1"/>
  <c r="M445" i="2"/>
  <c r="B458" i="4" s="1"/>
  <c r="M444" i="2"/>
  <c r="B457" i="4" s="1"/>
  <c r="M443" i="2"/>
  <c r="B456" i="4" s="1"/>
  <c r="M442" i="2"/>
  <c r="B455" i="4" s="1"/>
  <c r="M441" i="2"/>
  <c r="B454" i="4" s="1"/>
  <c r="M440" i="2"/>
  <c r="B453" i="4" s="1"/>
  <c r="M439" i="2"/>
  <c r="B452" i="4" s="1"/>
  <c r="M438" i="2"/>
  <c r="B451" i="4" s="1"/>
  <c r="M437" i="2"/>
  <c r="B450" i="4" s="1"/>
  <c r="M436" i="2"/>
  <c r="B449" i="4" s="1"/>
  <c r="M435" i="2"/>
  <c r="B448" i="4" s="1"/>
  <c r="M434" i="2"/>
  <c r="B447" i="4" s="1"/>
  <c r="M433" i="2"/>
  <c r="B446" i="4" s="1"/>
  <c r="M432" i="2"/>
  <c r="B445" i="4" s="1"/>
  <c r="M431" i="2"/>
  <c r="B444" i="4" s="1"/>
  <c r="M430" i="2"/>
  <c r="B443" i="4" s="1"/>
  <c r="M429" i="2"/>
  <c r="B442" i="4" s="1"/>
  <c r="M428" i="2"/>
  <c r="B441" i="4" s="1"/>
  <c r="M427" i="2"/>
  <c r="B440" i="4" s="1"/>
  <c r="M426" i="2"/>
  <c r="B439" i="4" s="1"/>
  <c r="M425" i="2"/>
  <c r="B438" i="4" s="1"/>
  <c r="M424" i="2"/>
  <c r="B437" i="4" s="1"/>
  <c r="M423" i="2"/>
  <c r="B436" i="4" s="1"/>
  <c r="M422" i="2"/>
  <c r="B435" i="4" s="1"/>
  <c r="M421" i="2"/>
  <c r="B434" i="4" s="1"/>
  <c r="M420" i="2"/>
  <c r="B433" i="4" s="1"/>
  <c r="M419" i="2"/>
  <c r="B432" i="4" s="1"/>
  <c r="M418" i="2"/>
  <c r="B431" i="4" s="1"/>
  <c r="M417" i="2"/>
  <c r="B430" i="4" s="1"/>
  <c r="M416" i="2"/>
  <c r="B429" i="4" s="1"/>
  <c r="M415" i="2"/>
  <c r="B428" i="4" s="1"/>
  <c r="M414" i="2"/>
  <c r="B427" i="4" s="1"/>
  <c r="M413" i="2"/>
  <c r="B426" i="4" s="1"/>
  <c r="M412" i="2"/>
  <c r="B425" i="4" s="1"/>
  <c r="M411" i="2"/>
  <c r="B424" i="4" s="1"/>
  <c r="M410" i="2"/>
  <c r="B423" i="4" s="1"/>
  <c r="M409" i="2"/>
  <c r="B422" i="4" s="1"/>
  <c r="M408" i="2"/>
  <c r="B421" i="4" s="1"/>
  <c r="M407" i="2"/>
  <c r="B420" i="4" s="1"/>
  <c r="M406" i="2"/>
  <c r="B419" i="4" s="1"/>
  <c r="M405" i="2"/>
  <c r="B418" i="4" s="1"/>
  <c r="M404" i="2"/>
  <c r="B417" i="4" s="1"/>
  <c r="M403" i="2"/>
  <c r="B416" i="4" s="1"/>
  <c r="M402" i="2"/>
  <c r="B415" i="4" s="1"/>
  <c r="M401" i="2"/>
  <c r="B414" i="4" s="1"/>
  <c r="M400" i="2"/>
  <c r="M399" i="2"/>
  <c r="B412" i="4" s="1"/>
  <c r="M398" i="2"/>
  <c r="B411" i="4" s="1"/>
  <c r="M397" i="2"/>
  <c r="B410" i="4" s="1"/>
  <c r="M396" i="2"/>
  <c r="B409" i="4" s="1"/>
  <c r="M395" i="2"/>
  <c r="B408" i="4" s="1"/>
  <c r="M394" i="2"/>
  <c r="B407" i="4" s="1"/>
  <c r="M393" i="2"/>
  <c r="B406" i="4" s="1"/>
  <c r="M392" i="2"/>
  <c r="B405" i="4" s="1"/>
  <c r="M391" i="2"/>
  <c r="B404" i="4" s="1"/>
  <c r="M390" i="2"/>
  <c r="B403" i="4" s="1"/>
  <c r="M389" i="2"/>
  <c r="B402" i="4" s="1"/>
  <c r="M388" i="2"/>
  <c r="B401" i="4" s="1"/>
  <c r="M387" i="2"/>
  <c r="B400" i="4" s="1"/>
  <c r="M386" i="2"/>
  <c r="B399" i="4" s="1"/>
  <c r="M385" i="2"/>
  <c r="B398" i="4" s="1"/>
  <c r="M384" i="2"/>
  <c r="B397" i="4" s="1"/>
  <c r="M383" i="2"/>
  <c r="B396" i="4" s="1"/>
  <c r="M382" i="2"/>
  <c r="M381" i="2"/>
  <c r="B394" i="4" s="1"/>
  <c r="M380" i="2"/>
  <c r="B393" i="4" s="1"/>
  <c r="M379" i="2"/>
  <c r="B392" i="4" s="1"/>
  <c r="M378" i="2"/>
  <c r="B391" i="4" s="1"/>
  <c r="M377" i="2"/>
  <c r="B390" i="4" s="1"/>
  <c r="M376" i="2"/>
  <c r="B389" i="4" s="1"/>
  <c r="M375" i="2"/>
  <c r="B388" i="4" s="1"/>
  <c r="M374" i="2"/>
  <c r="B387" i="4" s="1"/>
  <c r="M373" i="2"/>
  <c r="B386" i="4" s="1"/>
  <c r="M372" i="2"/>
  <c r="B385" i="4" s="1"/>
  <c r="M371" i="2"/>
  <c r="B384" i="4" s="1"/>
  <c r="M370" i="2"/>
  <c r="B383" i="4" s="1"/>
  <c r="M369" i="2"/>
  <c r="M368" i="2"/>
  <c r="B381" i="4" s="1"/>
  <c r="M367" i="2"/>
  <c r="B380" i="4" s="1"/>
  <c r="M366" i="2"/>
  <c r="B379" i="4" s="1"/>
  <c r="M365" i="2"/>
  <c r="B378" i="4" s="1"/>
  <c r="M364" i="2"/>
  <c r="M363" i="2"/>
  <c r="B376" i="4" s="1"/>
  <c r="M362" i="2"/>
  <c r="B375" i="4" s="1"/>
  <c r="M361" i="2"/>
  <c r="B374" i="4" s="1"/>
  <c r="M360" i="2"/>
  <c r="B373" i="4" s="1"/>
  <c r="M359" i="2"/>
  <c r="B372" i="4" s="1"/>
  <c r="M358" i="2"/>
  <c r="B371" i="4" s="1"/>
  <c r="M357" i="2"/>
  <c r="B370" i="4" s="1"/>
  <c r="M356" i="2"/>
  <c r="B369" i="4" s="1"/>
  <c r="M355" i="2"/>
  <c r="B368" i="4" s="1"/>
  <c r="M354" i="2"/>
  <c r="B367" i="4" s="1"/>
  <c r="M353" i="2"/>
  <c r="B366" i="4" s="1"/>
  <c r="M352" i="2"/>
  <c r="B365" i="4" s="1"/>
  <c r="M351" i="2"/>
  <c r="B364" i="4" s="1"/>
  <c r="M350" i="2"/>
  <c r="B363" i="4" s="1"/>
  <c r="M349" i="2"/>
  <c r="B362" i="4" s="1"/>
  <c r="M348" i="2"/>
  <c r="B361" i="4" s="1"/>
  <c r="M347" i="2"/>
  <c r="B360" i="4" s="1"/>
  <c r="M346" i="2"/>
  <c r="B359" i="4" s="1"/>
  <c r="M345" i="2"/>
  <c r="B358" i="4" s="1"/>
  <c r="M344" i="2"/>
  <c r="B357" i="4" s="1"/>
  <c r="M343" i="2"/>
  <c r="B356" i="4" s="1"/>
  <c r="M342" i="2"/>
  <c r="B355" i="4" s="1"/>
  <c r="M341" i="2"/>
  <c r="B354" i="4" s="1"/>
  <c r="M340" i="2"/>
  <c r="B353" i="4" s="1"/>
  <c r="M339" i="2"/>
  <c r="B352" i="4" s="1"/>
  <c r="M338" i="2"/>
  <c r="B351" i="4" s="1"/>
  <c r="M337" i="2"/>
  <c r="B350" i="4" s="1"/>
  <c r="M336" i="2"/>
  <c r="B349" i="4" s="1"/>
  <c r="M335" i="2"/>
  <c r="B348" i="4" s="1"/>
  <c r="M334" i="2"/>
  <c r="B347" i="4" s="1"/>
  <c r="M333" i="2"/>
  <c r="B346" i="4" s="1"/>
  <c r="M332" i="2"/>
  <c r="B345" i="4" s="1"/>
  <c r="M331" i="2"/>
  <c r="B344" i="4" s="1"/>
  <c r="M330" i="2"/>
  <c r="B343" i="4" s="1"/>
  <c r="M329" i="2"/>
  <c r="B342" i="4" s="1"/>
  <c r="M328" i="2"/>
  <c r="B341" i="4" s="1"/>
  <c r="M327" i="2"/>
  <c r="B340" i="4" s="1"/>
  <c r="M326" i="2"/>
  <c r="B339" i="4" s="1"/>
  <c r="M325" i="2"/>
  <c r="B338" i="4" s="1"/>
  <c r="M324" i="2"/>
  <c r="B337" i="4" s="1"/>
  <c r="M323" i="2"/>
  <c r="B336" i="4" s="1"/>
  <c r="M322" i="2"/>
  <c r="B335" i="4" s="1"/>
  <c r="M321" i="2"/>
  <c r="B334" i="4" s="1"/>
  <c r="M320" i="2"/>
  <c r="B333" i="4" s="1"/>
  <c r="M319" i="2"/>
  <c r="B332" i="4" s="1"/>
  <c r="M318" i="2"/>
  <c r="B331" i="4" s="1"/>
  <c r="M317" i="2"/>
  <c r="B330" i="4" s="1"/>
  <c r="M316" i="2"/>
  <c r="B329" i="4" s="1"/>
  <c r="M315" i="2"/>
  <c r="B328" i="4" s="1"/>
  <c r="M314" i="2"/>
  <c r="B327" i="4" s="1"/>
  <c r="M313" i="2"/>
  <c r="B326" i="4" s="1"/>
  <c r="M312" i="2"/>
  <c r="Q312" i="2" s="1"/>
  <c r="R312" i="2" s="1"/>
  <c r="M311" i="2"/>
  <c r="B324" i="4" s="1"/>
  <c r="M310" i="2"/>
  <c r="M309" i="2"/>
  <c r="B322" i="4" s="1"/>
  <c r="M308" i="2"/>
  <c r="B321" i="4" s="1"/>
  <c r="M307" i="2"/>
  <c r="B320" i="4" s="1"/>
  <c r="M306" i="2"/>
  <c r="B319" i="4" s="1"/>
  <c r="M305" i="2"/>
  <c r="B318" i="4" s="1"/>
  <c r="M304" i="2"/>
  <c r="M303" i="2"/>
  <c r="B316" i="4" s="1"/>
  <c r="M302" i="2"/>
  <c r="B315" i="4" s="1"/>
  <c r="M301" i="2"/>
  <c r="B314" i="4" s="1"/>
  <c r="M300" i="2"/>
  <c r="B313" i="4" s="1"/>
  <c r="M299" i="2"/>
  <c r="Q299" i="2" s="1"/>
  <c r="R299" i="2" s="1"/>
  <c r="M298" i="2"/>
  <c r="B311" i="4" s="1"/>
  <c r="M297" i="2"/>
  <c r="M296" i="2"/>
  <c r="B309" i="4" s="1"/>
  <c r="M295" i="2"/>
  <c r="B308" i="4" s="1"/>
  <c r="M294" i="2"/>
  <c r="B307" i="4" s="1"/>
  <c r="M293" i="2"/>
  <c r="B306" i="4" s="1"/>
  <c r="M292" i="2"/>
  <c r="B305" i="4" s="1"/>
  <c r="M291" i="2"/>
  <c r="B304" i="4" s="1"/>
  <c r="M290" i="2"/>
  <c r="B303" i="4" s="1"/>
  <c r="M289" i="2"/>
  <c r="B302" i="4" s="1"/>
  <c r="M288" i="2"/>
  <c r="B301" i="4" s="1"/>
  <c r="M287" i="2"/>
  <c r="B300" i="4" s="1"/>
  <c r="M286" i="2"/>
  <c r="B299" i="4" s="1"/>
  <c r="M285" i="2"/>
  <c r="B298" i="4" s="1"/>
  <c r="M284" i="2"/>
  <c r="B297" i="4" s="1"/>
  <c r="M283" i="2"/>
  <c r="B296" i="4" s="1"/>
  <c r="M282" i="2"/>
  <c r="B295" i="4" s="1"/>
  <c r="M281" i="2"/>
  <c r="B294" i="4" s="1"/>
  <c r="M280" i="2"/>
  <c r="B293" i="4" s="1"/>
  <c r="M279" i="2"/>
  <c r="B292" i="4" s="1"/>
  <c r="M278" i="2"/>
  <c r="B291" i="4" s="1"/>
  <c r="M277" i="2"/>
  <c r="B290" i="4" s="1"/>
  <c r="M276" i="2"/>
  <c r="B289" i="4" s="1"/>
  <c r="M275" i="2"/>
  <c r="B288" i="4" s="1"/>
  <c r="M274" i="2"/>
  <c r="B287" i="4" s="1"/>
  <c r="M273" i="2"/>
  <c r="B286" i="4" s="1"/>
  <c r="M272" i="2"/>
  <c r="B285" i="4" s="1"/>
  <c r="M271" i="2"/>
  <c r="B284" i="4" s="1"/>
  <c r="M270" i="2"/>
  <c r="B283" i="4" s="1"/>
  <c r="M269" i="2"/>
  <c r="B282" i="4" s="1"/>
  <c r="M268" i="2"/>
  <c r="B281" i="4" s="1"/>
  <c r="M267" i="2"/>
  <c r="B280" i="4" s="1"/>
  <c r="M266" i="2"/>
  <c r="B279" i="4" s="1"/>
  <c r="M265" i="2"/>
  <c r="B278" i="4" s="1"/>
  <c r="M264" i="2"/>
  <c r="B277" i="4" s="1"/>
  <c r="M263" i="2"/>
  <c r="B276" i="4" s="1"/>
  <c r="M262" i="2"/>
  <c r="B275" i="4" s="1"/>
  <c r="M261" i="2"/>
  <c r="B274" i="4" s="1"/>
  <c r="M260" i="2"/>
  <c r="B273" i="4" s="1"/>
  <c r="M259" i="2"/>
  <c r="B272" i="4" s="1"/>
  <c r="M258" i="2"/>
  <c r="B271" i="4" s="1"/>
  <c r="M257" i="2"/>
  <c r="B270" i="4" s="1"/>
  <c r="M256" i="2"/>
  <c r="B269" i="4" s="1"/>
  <c r="M255" i="2"/>
  <c r="B268" i="4" s="1"/>
  <c r="M254" i="2"/>
  <c r="B267" i="4" s="1"/>
  <c r="M253" i="2"/>
  <c r="B266" i="4" s="1"/>
  <c r="M252" i="2"/>
  <c r="B265" i="4" s="1"/>
  <c r="M251" i="2"/>
  <c r="B264" i="4" s="1"/>
  <c r="M250" i="2"/>
  <c r="B263" i="4" s="1"/>
  <c r="M249" i="2"/>
  <c r="B262" i="4" s="1"/>
  <c r="M248" i="2"/>
  <c r="B261" i="4" s="1"/>
  <c r="M247" i="2"/>
  <c r="B260" i="4" s="1"/>
  <c r="M246" i="2"/>
  <c r="B259" i="4" s="1"/>
  <c r="M245" i="2"/>
  <c r="B258" i="4" s="1"/>
  <c r="M244" i="2"/>
  <c r="M243" i="2"/>
  <c r="B256" i="4" s="1"/>
  <c r="M242" i="2"/>
  <c r="B255" i="4" s="1"/>
  <c r="M241" i="2"/>
  <c r="B254" i="4" s="1"/>
  <c r="M240" i="2"/>
  <c r="B253" i="4" s="1"/>
  <c r="M239" i="2"/>
  <c r="B252" i="4" s="1"/>
  <c r="M238" i="2"/>
  <c r="B251" i="4" s="1"/>
  <c r="M237" i="2"/>
  <c r="B250" i="4" s="1"/>
  <c r="M236" i="2"/>
  <c r="B249" i="4" s="1"/>
  <c r="M235" i="2"/>
  <c r="B248" i="4" s="1"/>
  <c r="M234" i="2"/>
  <c r="B247" i="4" s="1"/>
  <c r="M233" i="2"/>
  <c r="B246" i="4" s="1"/>
  <c r="M232" i="2"/>
  <c r="B245" i="4" s="1"/>
  <c r="M231" i="2"/>
  <c r="B244" i="4" s="1"/>
  <c r="M230" i="2"/>
  <c r="B243" i="4" s="1"/>
  <c r="M229" i="2"/>
  <c r="B242" i="4" s="1"/>
  <c r="M228" i="2"/>
  <c r="B241" i="4" s="1"/>
  <c r="M227" i="2"/>
  <c r="B240" i="4" s="1"/>
  <c r="M226" i="2"/>
  <c r="B239" i="4" s="1"/>
  <c r="M225" i="2"/>
  <c r="B238" i="4" s="1"/>
  <c r="M224" i="2"/>
  <c r="M223" i="2"/>
  <c r="B236" i="4" s="1"/>
  <c r="M222" i="2"/>
  <c r="B235" i="4" s="1"/>
  <c r="M221" i="2"/>
  <c r="B234" i="4" s="1"/>
  <c r="M220" i="2"/>
  <c r="B233" i="4" s="1"/>
  <c r="M219" i="2"/>
  <c r="B232" i="4" s="1"/>
  <c r="M218" i="2"/>
  <c r="B231" i="4" s="1"/>
  <c r="M217" i="2"/>
  <c r="B230" i="4" s="1"/>
  <c r="M216" i="2"/>
  <c r="B229" i="4" s="1"/>
  <c r="M215" i="2"/>
  <c r="Q215" i="2" s="1"/>
  <c r="R215" i="2" s="1"/>
  <c r="M214" i="2"/>
  <c r="B227" i="4" s="1"/>
  <c r="M213" i="2"/>
  <c r="B226" i="4" s="1"/>
  <c r="M212" i="2"/>
  <c r="B225" i="4" s="1"/>
  <c r="M211" i="2"/>
  <c r="B224" i="4" s="1"/>
  <c r="M210" i="2"/>
  <c r="B223" i="4" s="1"/>
  <c r="M209" i="2"/>
  <c r="B222" i="4" s="1"/>
  <c r="M208" i="2"/>
  <c r="B221" i="4" s="1"/>
  <c r="M207" i="2"/>
  <c r="B220" i="4" s="1"/>
  <c r="M206" i="2"/>
  <c r="B219" i="4" s="1"/>
  <c r="M205" i="2"/>
  <c r="B218" i="4" s="1"/>
  <c r="M204" i="2"/>
  <c r="B217" i="4" s="1"/>
  <c r="M203" i="2"/>
  <c r="B216" i="4" s="1"/>
  <c r="M202" i="2"/>
  <c r="B215" i="4" s="1"/>
  <c r="M201" i="2"/>
  <c r="B214" i="4" s="1"/>
  <c r="M200" i="2"/>
  <c r="B213" i="4" s="1"/>
  <c r="M199" i="2"/>
  <c r="B212" i="4" s="1"/>
  <c r="M198" i="2"/>
  <c r="B211" i="4" s="1"/>
  <c r="M197" i="2"/>
  <c r="B210" i="4" s="1"/>
  <c r="M196" i="2"/>
  <c r="M195" i="2"/>
  <c r="B208" i="4" s="1"/>
  <c r="M194" i="2"/>
  <c r="B207" i="4" s="1"/>
  <c r="M193" i="2"/>
  <c r="B206" i="4" s="1"/>
  <c r="M192" i="2"/>
  <c r="B205" i="4" s="1"/>
  <c r="M191" i="2"/>
  <c r="B204" i="4" s="1"/>
  <c r="M190" i="2"/>
  <c r="B203" i="4" s="1"/>
  <c r="M189" i="2"/>
  <c r="B202" i="4" s="1"/>
  <c r="M188" i="2"/>
  <c r="B201" i="4" s="1"/>
  <c r="M187" i="2"/>
  <c r="B200" i="4" s="1"/>
  <c r="M186" i="2"/>
  <c r="B199" i="4" s="1"/>
  <c r="M185" i="2"/>
  <c r="B198" i="4" s="1"/>
  <c r="M184" i="2"/>
  <c r="M183" i="2"/>
  <c r="B196" i="4" s="1"/>
  <c r="M182" i="2"/>
  <c r="B195" i="4" s="1"/>
  <c r="M181" i="2"/>
  <c r="B194" i="4" s="1"/>
  <c r="M180" i="2"/>
  <c r="B193" i="4" s="1"/>
  <c r="M179" i="2"/>
  <c r="B192" i="4" s="1"/>
  <c r="M178" i="2"/>
  <c r="B191" i="4" s="1"/>
  <c r="M177" i="2"/>
  <c r="B190" i="4" s="1"/>
  <c r="M176" i="2"/>
  <c r="B189" i="4" s="1"/>
  <c r="M175" i="2"/>
  <c r="B188" i="4" s="1"/>
  <c r="M174" i="2"/>
  <c r="B187" i="4" s="1"/>
  <c r="M173" i="2"/>
  <c r="B186" i="4" s="1"/>
  <c r="M172" i="2"/>
  <c r="B185" i="4" s="1"/>
  <c r="M171" i="2"/>
  <c r="B184" i="4" s="1"/>
  <c r="M170" i="2"/>
  <c r="B183" i="4" s="1"/>
  <c r="M169" i="2"/>
  <c r="B182" i="4" s="1"/>
  <c r="M168" i="2"/>
  <c r="B181" i="4" s="1"/>
  <c r="M167" i="2"/>
  <c r="B180" i="4" s="1"/>
  <c r="M166" i="2"/>
  <c r="B179" i="4" s="1"/>
  <c r="M165" i="2"/>
  <c r="B178" i="4" s="1"/>
  <c r="M164" i="2"/>
  <c r="B177" i="4" s="1"/>
  <c r="M163" i="2"/>
  <c r="B176" i="4" s="1"/>
  <c r="M162" i="2"/>
  <c r="B175" i="4" s="1"/>
  <c r="M161" i="2"/>
  <c r="B174" i="4" s="1"/>
  <c r="M160" i="2"/>
  <c r="M159" i="2"/>
  <c r="B172" i="4" s="1"/>
  <c r="M158" i="2"/>
  <c r="M157" i="2"/>
  <c r="B170" i="4" s="1"/>
  <c r="M156" i="2"/>
  <c r="B169" i="4" s="1"/>
  <c r="M155" i="2"/>
  <c r="B168" i="4" s="1"/>
  <c r="M154" i="2"/>
  <c r="B167" i="4" s="1"/>
  <c r="M153" i="2"/>
  <c r="B166" i="4" s="1"/>
  <c r="M152" i="2"/>
  <c r="B165" i="4" s="1"/>
  <c r="M151" i="2"/>
  <c r="B164" i="4" s="1"/>
  <c r="M150" i="2"/>
  <c r="B163" i="4" s="1"/>
  <c r="M149" i="2"/>
  <c r="B162" i="4" s="1"/>
  <c r="M148" i="2"/>
  <c r="B161" i="4" s="1"/>
  <c r="M147" i="2"/>
  <c r="B160" i="4" s="1"/>
  <c r="M146" i="2"/>
  <c r="B159" i="4" s="1"/>
  <c r="M145" i="2"/>
  <c r="B158" i="4" s="1"/>
  <c r="M144" i="2"/>
  <c r="B157" i="4" s="1"/>
  <c r="M143" i="2"/>
  <c r="B156" i="4" s="1"/>
  <c r="M142" i="2"/>
  <c r="B155" i="4" s="1"/>
  <c r="M141" i="2"/>
  <c r="B154" i="4" s="1"/>
  <c r="M140" i="2"/>
  <c r="B153" i="4" s="1"/>
  <c r="M139" i="2"/>
  <c r="B152" i="4" s="1"/>
  <c r="M138" i="2"/>
  <c r="B151" i="4" s="1"/>
  <c r="M137" i="2"/>
  <c r="B150" i="4" s="1"/>
  <c r="M136" i="2"/>
  <c r="M135" i="2"/>
  <c r="B148" i="4" s="1"/>
  <c r="M134" i="2"/>
  <c r="B147" i="4" s="1"/>
  <c r="M133" i="2"/>
  <c r="B146" i="4" s="1"/>
  <c r="M132" i="2"/>
  <c r="M131" i="2"/>
  <c r="B144" i="4" s="1"/>
  <c r="M130" i="2"/>
  <c r="B143" i="4" s="1"/>
  <c r="M129" i="2"/>
  <c r="B142" i="4" s="1"/>
  <c r="M128" i="2"/>
  <c r="B141" i="4" s="1"/>
  <c r="M127" i="2"/>
  <c r="B140" i="4" s="1"/>
  <c r="M126" i="2"/>
  <c r="B139" i="4" s="1"/>
  <c r="M125" i="2"/>
  <c r="B138" i="4" s="1"/>
  <c r="M124" i="2"/>
  <c r="B137" i="4" s="1"/>
  <c r="M123" i="2"/>
  <c r="B136" i="4" s="1"/>
  <c r="M122" i="2"/>
  <c r="M121" i="2"/>
  <c r="B134" i="4" s="1"/>
  <c r="M120" i="2"/>
  <c r="M119" i="2"/>
  <c r="B132" i="4" s="1"/>
  <c r="M118" i="2"/>
  <c r="M117" i="2"/>
  <c r="B130" i="4" s="1"/>
  <c r="M116" i="2"/>
  <c r="B129" i="4" s="1"/>
  <c r="M115" i="2"/>
  <c r="B128" i="4" s="1"/>
  <c r="M114" i="2"/>
  <c r="B127" i="4" s="1"/>
  <c r="M113" i="2"/>
  <c r="B126" i="4" s="1"/>
  <c r="M112" i="2"/>
  <c r="B125" i="4" s="1"/>
  <c r="M111" i="2"/>
  <c r="B124" i="4" s="1"/>
  <c r="M110" i="2"/>
  <c r="M109" i="2"/>
  <c r="B122" i="4" s="1"/>
  <c r="M108" i="2"/>
  <c r="B121" i="4" s="1"/>
  <c r="M107" i="2"/>
  <c r="B120" i="4" s="1"/>
  <c r="M106" i="2"/>
  <c r="B119" i="4" s="1"/>
  <c r="M105" i="2"/>
  <c r="B118" i="4" s="1"/>
  <c r="M104" i="2"/>
  <c r="B117" i="4" s="1"/>
  <c r="M103" i="2"/>
  <c r="B116" i="4" s="1"/>
  <c r="M102" i="2"/>
  <c r="B115" i="4" s="1"/>
  <c r="M101" i="2"/>
  <c r="B114" i="4" s="1"/>
  <c r="M100" i="2"/>
  <c r="B113" i="4" s="1"/>
  <c r="M99" i="2"/>
  <c r="B112" i="4" s="1"/>
  <c r="M98" i="2"/>
  <c r="B111" i="4" s="1"/>
  <c r="M97" i="2"/>
  <c r="Q97" i="2" s="1"/>
  <c r="R97" i="2" s="1"/>
  <c r="M96" i="2"/>
  <c r="B109" i="4" s="1"/>
  <c r="M95" i="2"/>
  <c r="B108" i="4" s="1"/>
  <c r="M94" i="2"/>
  <c r="B107" i="4" s="1"/>
  <c r="M93" i="2"/>
  <c r="B106" i="4" s="1"/>
  <c r="M92" i="2"/>
  <c r="Q92" i="2" s="1"/>
  <c r="R92" i="2" s="1"/>
  <c r="M91" i="2"/>
  <c r="B104" i="4" s="1"/>
  <c r="M90" i="2"/>
  <c r="B103" i="4" s="1"/>
  <c r="M89" i="2"/>
  <c r="B102" i="4" s="1"/>
  <c r="M88" i="2"/>
  <c r="B101" i="4" s="1"/>
  <c r="M87" i="2"/>
  <c r="B100" i="4" s="1"/>
  <c r="M86" i="2"/>
  <c r="B99" i="4" s="1"/>
  <c r="M85" i="2"/>
  <c r="B98" i="4" s="1"/>
  <c r="M84" i="2"/>
  <c r="B97" i="4" s="1"/>
  <c r="M83" i="2"/>
  <c r="B96" i="4" s="1"/>
  <c r="M82" i="2"/>
  <c r="B95" i="4" s="1"/>
  <c r="M81" i="2"/>
  <c r="B94" i="4" s="1"/>
  <c r="M80" i="2"/>
  <c r="B93" i="4" s="1"/>
  <c r="M79" i="2"/>
  <c r="B92" i="4" s="1"/>
  <c r="M78" i="2"/>
  <c r="B91" i="4" s="1"/>
  <c r="M77" i="2"/>
  <c r="B90" i="4" s="1"/>
  <c r="M76" i="2"/>
  <c r="B89" i="4" s="1"/>
  <c r="M75" i="2"/>
  <c r="B88" i="4" s="1"/>
  <c r="M74" i="2"/>
  <c r="B87" i="4" s="1"/>
  <c r="M73" i="2"/>
  <c r="B86" i="4" s="1"/>
  <c r="M72" i="2"/>
  <c r="B85" i="4" s="1"/>
  <c r="M71" i="2"/>
  <c r="B84" i="4" s="1"/>
  <c r="M70" i="2"/>
  <c r="B83" i="4" s="1"/>
  <c r="M69" i="2"/>
  <c r="B82" i="4" s="1"/>
  <c r="M68" i="2"/>
  <c r="M67" i="2"/>
  <c r="B80" i="4" s="1"/>
  <c r="M66" i="2"/>
  <c r="B79" i="4" s="1"/>
  <c r="M65" i="2"/>
  <c r="B78" i="4" s="1"/>
  <c r="M64" i="2"/>
  <c r="B77" i="4" s="1"/>
  <c r="M63" i="2"/>
  <c r="B76" i="4" s="1"/>
  <c r="M62" i="2"/>
  <c r="B75" i="4" s="1"/>
  <c r="M61" i="2"/>
  <c r="B74" i="4" s="1"/>
  <c r="M60" i="2"/>
  <c r="B73" i="4" s="1"/>
  <c r="M59" i="2"/>
  <c r="B72" i="4" s="1"/>
  <c r="M58" i="2"/>
  <c r="B71" i="4" s="1"/>
  <c r="M57" i="2"/>
  <c r="B70" i="4" s="1"/>
  <c r="M56" i="2"/>
  <c r="B69" i="4" s="1"/>
  <c r="M55" i="2"/>
  <c r="Q55" i="2" s="1"/>
  <c r="R55" i="2" s="1"/>
  <c r="M54" i="2"/>
  <c r="B67" i="4" s="1"/>
  <c r="M53" i="2"/>
  <c r="B66" i="4" s="1"/>
  <c r="M52" i="2"/>
  <c r="B65" i="4" s="1"/>
  <c r="M51" i="2"/>
  <c r="B64" i="4" s="1"/>
  <c r="M50" i="2"/>
  <c r="B63" i="4" s="1"/>
  <c r="M49" i="2"/>
  <c r="B62" i="4" s="1"/>
  <c r="M48" i="2"/>
  <c r="B61" i="4" s="1"/>
  <c r="M47" i="2"/>
  <c r="Q47" i="2" s="1"/>
  <c r="R47" i="2" s="1"/>
  <c r="M46" i="2"/>
  <c r="B59" i="4" s="1"/>
  <c r="M45" i="2"/>
  <c r="B58" i="4" s="1"/>
  <c r="M44" i="2"/>
  <c r="B57" i="4" s="1"/>
  <c r="M43" i="2"/>
  <c r="B56" i="4" s="1"/>
  <c r="M42" i="2"/>
  <c r="B55" i="4" s="1"/>
  <c r="M41" i="2"/>
  <c r="B54" i="4" s="1"/>
  <c r="M40" i="2"/>
  <c r="B53" i="4" s="1"/>
  <c r="M39" i="2"/>
  <c r="B52" i="4" s="1"/>
  <c r="M38" i="2"/>
  <c r="B51" i="4" s="1"/>
  <c r="M37" i="2"/>
  <c r="B50" i="4" s="1"/>
  <c r="M36" i="2"/>
  <c r="B49" i="4" s="1"/>
  <c r="M35" i="2"/>
  <c r="B48" i="4" s="1"/>
  <c r="M34" i="2"/>
  <c r="B47" i="4" s="1"/>
  <c r="M33" i="2"/>
  <c r="B46" i="4" s="1"/>
  <c r="M32" i="2"/>
  <c r="B45" i="4" s="1"/>
  <c r="M31" i="2"/>
  <c r="B44" i="4" s="1"/>
  <c r="M30" i="2"/>
  <c r="B43" i="4" s="1"/>
  <c r="M29" i="2"/>
  <c r="B42" i="4" s="1"/>
  <c r="M28" i="2"/>
  <c r="B41" i="4" s="1"/>
  <c r="M27" i="2"/>
  <c r="B40" i="4" s="1"/>
  <c r="M26" i="2"/>
  <c r="B39" i="4" s="1"/>
  <c r="M25" i="2"/>
  <c r="B38" i="4" s="1"/>
  <c r="M24" i="2"/>
  <c r="B37" i="4" s="1"/>
  <c r="M23" i="2"/>
  <c r="B36" i="4" s="1"/>
  <c r="M22" i="2"/>
  <c r="B35" i="4" s="1"/>
  <c r="M21" i="2"/>
  <c r="B34" i="4" s="1"/>
  <c r="M20" i="2"/>
  <c r="B33" i="4" s="1"/>
  <c r="M19" i="2"/>
  <c r="B32" i="4" s="1"/>
  <c r="M18" i="2"/>
  <c r="B31" i="4" s="1"/>
  <c r="M17" i="2"/>
  <c r="B30" i="4" s="1"/>
  <c r="M16" i="2"/>
  <c r="B29" i="4" s="1"/>
  <c r="M15" i="2"/>
  <c r="B28" i="4" s="1"/>
  <c r="M14" i="2"/>
  <c r="B27" i="4" s="1"/>
  <c r="M13" i="2"/>
  <c r="B26" i="4" s="1"/>
  <c r="M12" i="2"/>
  <c r="Q12" i="2" s="1"/>
  <c r="R12" i="2" s="1"/>
  <c r="M11" i="2"/>
  <c r="B24" i="4" s="1"/>
  <c r="M10" i="2"/>
  <c r="B23" i="4" s="1"/>
  <c r="M9" i="2"/>
  <c r="B22" i="4" s="1"/>
  <c r="M8" i="2"/>
  <c r="B21" i="4" s="1"/>
  <c r="M7" i="2"/>
  <c r="B20" i="4" s="1"/>
  <c r="M6" i="2"/>
  <c r="B19" i="4" s="1"/>
  <c r="M5" i="2"/>
  <c r="B18" i="4" s="1"/>
  <c r="M4" i="2"/>
  <c r="B17" i="4" s="1"/>
  <c r="M3" i="2"/>
  <c r="B16" i="4" s="1"/>
  <c r="M2" i="2"/>
  <c r="B15" i="4" s="1"/>
  <c r="F88" i="1"/>
  <c r="C88" i="1"/>
  <c r="B88" i="1"/>
  <c r="F87" i="1"/>
  <c r="C87" i="1"/>
  <c r="B87" i="1"/>
  <c r="F86" i="1"/>
  <c r="C86" i="1"/>
  <c r="B86" i="1"/>
  <c r="F85" i="1"/>
  <c r="C85" i="1"/>
  <c r="B85" i="1"/>
  <c r="F84" i="1"/>
  <c r="C84" i="1"/>
  <c r="B84" i="1"/>
  <c r="F83" i="1"/>
  <c r="C83" i="1"/>
  <c r="B83" i="1"/>
  <c r="D83" i="1" s="1"/>
  <c r="F82" i="1"/>
  <c r="C82" i="1"/>
  <c r="B82" i="1"/>
  <c r="F81" i="1"/>
  <c r="C81" i="1"/>
  <c r="B81" i="1"/>
  <c r="F80" i="1"/>
  <c r="C80" i="1"/>
  <c r="B80" i="1"/>
  <c r="F79" i="1"/>
  <c r="C79" i="1"/>
  <c r="B79" i="1"/>
  <c r="D79" i="1" s="1"/>
  <c r="F78" i="1"/>
  <c r="C78" i="1"/>
  <c r="B78" i="1"/>
  <c r="F77" i="1"/>
  <c r="C77" i="1"/>
  <c r="B77" i="1"/>
  <c r="F76" i="1"/>
  <c r="C76" i="1"/>
  <c r="B76" i="1"/>
  <c r="F75" i="1"/>
  <c r="C75" i="1"/>
  <c r="B75" i="1"/>
  <c r="D75" i="1" s="1"/>
  <c r="F74" i="1"/>
  <c r="C74" i="1"/>
  <c r="B74" i="1"/>
  <c r="D74" i="1" s="1"/>
  <c r="F73" i="1"/>
  <c r="C73" i="1"/>
  <c r="B73" i="1"/>
  <c r="F72" i="1"/>
  <c r="C72" i="1"/>
  <c r="B72" i="1"/>
  <c r="F71" i="1"/>
  <c r="C71" i="1"/>
  <c r="B71" i="1"/>
  <c r="D71" i="1" s="1"/>
  <c r="F70" i="1"/>
  <c r="C70" i="1"/>
  <c r="B70" i="1"/>
  <c r="F69" i="1"/>
  <c r="C69" i="1"/>
  <c r="B69" i="1"/>
  <c r="F68" i="1"/>
  <c r="C68" i="1"/>
  <c r="B68" i="1"/>
  <c r="F67" i="1"/>
  <c r="C67" i="1"/>
  <c r="B67" i="1"/>
  <c r="F66" i="1"/>
  <c r="C66" i="1"/>
  <c r="B66" i="1"/>
  <c r="D66" i="1" s="1"/>
  <c r="F65" i="1"/>
  <c r="C65" i="1"/>
  <c r="B65" i="1"/>
  <c r="F64" i="1"/>
  <c r="C64" i="1"/>
  <c r="B64" i="1"/>
  <c r="F63" i="1"/>
  <c r="C63" i="1"/>
  <c r="B63" i="1"/>
  <c r="F62" i="1"/>
  <c r="C62" i="1"/>
  <c r="B62" i="1"/>
  <c r="D62" i="1" s="1"/>
  <c r="F61" i="1"/>
  <c r="C61" i="1"/>
  <c r="B61" i="1"/>
  <c r="D61" i="1" s="1"/>
  <c r="F60" i="1"/>
  <c r="C60" i="1"/>
  <c r="B60" i="1"/>
  <c r="F59" i="1"/>
  <c r="C59" i="1"/>
  <c r="B59" i="1"/>
  <c r="D59" i="1" s="1"/>
  <c r="F58" i="1"/>
  <c r="C58" i="1"/>
  <c r="B58" i="1"/>
  <c r="F57" i="1"/>
  <c r="C57" i="1"/>
  <c r="B57" i="1"/>
  <c r="D57" i="1" s="1"/>
  <c r="F56" i="1"/>
  <c r="C56" i="1"/>
  <c r="B56" i="1"/>
  <c r="F55" i="1"/>
  <c r="C55" i="1"/>
  <c r="B55" i="1"/>
  <c r="D55" i="1" s="1"/>
  <c r="J17" i="1"/>
  <c r="I17" i="1"/>
  <c r="H17" i="1"/>
  <c r="D17" i="1"/>
  <c r="I16" i="1"/>
  <c r="H16" i="1"/>
  <c r="D16" i="1"/>
  <c r="I15" i="1"/>
  <c r="H15" i="1"/>
  <c r="D15" i="1"/>
  <c r="G9" i="1"/>
  <c r="D9" i="1"/>
  <c r="A9" i="1"/>
  <c r="B110" i="4" l="1"/>
  <c r="B325" i="4"/>
  <c r="Q492" i="2"/>
  <c r="R492" i="2" s="1"/>
  <c r="B505" i="4"/>
  <c r="P520" i="2"/>
  <c r="C33" i="5"/>
  <c r="D33" i="5" s="1"/>
  <c r="B145" i="4"/>
  <c r="E11" i="6"/>
  <c r="Q588" i="2"/>
  <c r="R588" i="2" s="1"/>
  <c r="B601" i="4"/>
  <c r="P400" i="2"/>
  <c r="C29" i="5"/>
  <c r="D29" i="5" s="1"/>
  <c r="C35" i="5"/>
  <c r="D35" i="5" s="1"/>
  <c r="Q591" i="2"/>
  <c r="R591" i="2" s="1"/>
  <c r="B604" i="4"/>
  <c r="Q831" i="2"/>
  <c r="R831" i="2" s="1"/>
  <c r="B844" i="4"/>
  <c r="Q951" i="2"/>
  <c r="R951" i="2" s="1"/>
  <c r="B964" i="4"/>
  <c r="P247" i="2"/>
  <c r="C24" i="5"/>
  <c r="D24" i="5" s="1"/>
  <c r="P703" i="2"/>
  <c r="C39" i="5"/>
  <c r="D39" i="5" s="1"/>
  <c r="Q447" i="2"/>
  <c r="R447" i="2" s="1"/>
  <c r="B105" i="4"/>
  <c r="Q110" i="2"/>
  <c r="R110" i="2" s="1"/>
  <c r="B123" i="4"/>
  <c r="Q698" i="2"/>
  <c r="R698" i="2" s="1"/>
  <c r="B711" i="4"/>
  <c r="Q746" i="2"/>
  <c r="R746" i="2" s="1"/>
  <c r="B759" i="4"/>
  <c r="T129" i="2"/>
  <c r="C142" i="4" s="1"/>
  <c r="T165" i="2"/>
  <c r="C178" i="4" s="1"/>
  <c r="T189" i="2"/>
  <c r="C202" i="4" s="1"/>
  <c r="T213" i="2"/>
  <c r="C226" i="4" s="1"/>
  <c r="B197" i="4"/>
  <c r="T225" i="2"/>
  <c r="C238" i="4" s="1"/>
  <c r="B209" i="4"/>
  <c r="T273" i="2"/>
  <c r="C286" i="4" s="1"/>
  <c r="B257" i="4"/>
  <c r="T333" i="2"/>
  <c r="C346" i="4" s="1"/>
  <c r="T393" i="2"/>
  <c r="C406" i="4" s="1"/>
  <c r="T429" i="2"/>
  <c r="C442" i="4" s="1"/>
  <c r="B413" i="4"/>
  <c r="T585" i="2"/>
  <c r="C598" i="4" s="1"/>
  <c r="B569" i="4"/>
  <c r="T633" i="2"/>
  <c r="C646" i="4" s="1"/>
  <c r="B617" i="4"/>
  <c r="T933" i="2"/>
  <c r="C946" i="4" s="1"/>
  <c r="B917" i="4"/>
  <c r="Q976" i="2"/>
  <c r="R976" i="2" s="1"/>
  <c r="B989" i="4"/>
  <c r="Q988" i="2"/>
  <c r="R988" i="2" s="1"/>
  <c r="B1001" i="4"/>
  <c r="Q1000" i="2"/>
  <c r="R1000" i="2" s="1"/>
  <c r="Q144" i="2"/>
  <c r="R144" i="2" s="1"/>
  <c r="Q240" i="2"/>
  <c r="R240" i="2" s="1"/>
  <c r="Q348" i="2"/>
  <c r="R348" i="2" s="1"/>
  <c r="P308" i="2"/>
  <c r="C26" i="5"/>
  <c r="D26" i="5" s="1"/>
  <c r="P428" i="2"/>
  <c r="C30" i="5"/>
  <c r="D30" i="5" s="1"/>
  <c r="Q2" i="2"/>
  <c r="Q497" i="2"/>
  <c r="R497" i="2" s="1"/>
  <c r="B149" i="4"/>
  <c r="B228" i="4"/>
  <c r="P4" i="2"/>
  <c r="C16" i="5"/>
  <c r="D16" i="5" s="1"/>
  <c r="Q278" i="2"/>
  <c r="R278" i="2" s="1"/>
  <c r="Q449" i="2"/>
  <c r="R449" i="2" s="1"/>
  <c r="B462" i="4"/>
  <c r="Q977" i="2"/>
  <c r="R977" i="2" s="1"/>
  <c r="B990" i="4"/>
  <c r="Q989" i="2"/>
  <c r="R989" i="2" s="1"/>
  <c r="B1002" i="4"/>
  <c r="Q1001" i="2"/>
  <c r="R1001" i="2" s="1"/>
  <c r="B1014" i="4"/>
  <c r="Q145" i="2"/>
  <c r="R145" i="2" s="1"/>
  <c r="Q493" i="2"/>
  <c r="R493" i="2" s="1"/>
  <c r="P369" i="2"/>
  <c r="C28" i="5"/>
  <c r="D28" i="5" s="1"/>
  <c r="P489" i="2"/>
  <c r="C32" i="5"/>
  <c r="D32" i="5" s="1"/>
  <c r="P765" i="2"/>
  <c r="C41" i="5"/>
  <c r="D41" i="5" s="1"/>
  <c r="P825" i="2"/>
  <c r="C43" i="5"/>
  <c r="D43" i="5" s="1"/>
  <c r="P581" i="2"/>
  <c r="Q32" i="2"/>
  <c r="R32" i="2" s="1"/>
  <c r="Q682" i="2"/>
  <c r="R682" i="2" s="1"/>
  <c r="B68" i="4"/>
  <c r="B312" i="4"/>
  <c r="Q120" i="2"/>
  <c r="R120" i="2" s="1"/>
  <c r="B133" i="4"/>
  <c r="Q852" i="2"/>
  <c r="R852" i="2" s="1"/>
  <c r="B865" i="4"/>
  <c r="Q685" i="2"/>
  <c r="R685" i="2" s="1"/>
  <c r="B698" i="4"/>
  <c r="Q733" i="2"/>
  <c r="R733" i="2" s="1"/>
  <c r="B746" i="4"/>
  <c r="Q122" i="2"/>
  <c r="R122" i="2" s="1"/>
  <c r="B135" i="4"/>
  <c r="P94" i="2"/>
  <c r="C19" i="5"/>
  <c r="D19" i="5" s="1"/>
  <c r="P550" i="2"/>
  <c r="C34" i="5"/>
  <c r="D34" i="5" s="1"/>
  <c r="P886" i="2"/>
  <c r="C45" i="5"/>
  <c r="D45" i="5" s="1"/>
  <c r="Q683" i="2"/>
  <c r="R683" i="2" s="1"/>
  <c r="B25" i="4"/>
  <c r="B173" i="4"/>
  <c r="Q589" i="2"/>
  <c r="R589" i="2" s="1"/>
  <c r="B602" i="4"/>
  <c r="P185" i="2"/>
  <c r="C22" i="5"/>
  <c r="D22" i="5" s="1"/>
  <c r="Q158" i="2"/>
  <c r="R158" i="2" s="1"/>
  <c r="B171" i="4"/>
  <c r="Q979" i="2"/>
  <c r="R979" i="2" s="1"/>
  <c r="B992" i="4"/>
  <c r="Q991" i="2"/>
  <c r="R991" i="2" s="1"/>
  <c r="B1004" i="4"/>
  <c r="C17" i="5"/>
  <c r="D17" i="5" s="1"/>
  <c r="P155" i="2"/>
  <c r="C21" i="5"/>
  <c r="D21" i="5" s="1"/>
  <c r="C47" i="5"/>
  <c r="D47" i="5" s="1"/>
  <c r="P35" i="2"/>
  <c r="Q67" i="2"/>
  <c r="R67" i="2" s="1"/>
  <c r="D9" i="4"/>
  <c r="P642" i="2"/>
  <c r="C37" i="5"/>
  <c r="D37" i="5" s="1"/>
  <c r="Q44" i="2"/>
  <c r="R44" i="2" s="1"/>
  <c r="Q212" i="2"/>
  <c r="R212" i="2" s="1"/>
  <c r="Q224" i="2"/>
  <c r="R224" i="2" s="1"/>
  <c r="B237" i="4"/>
  <c r="F12" i="6"/>
  <c r="B633" i="4"/>
  <c r="T757" i="2"/>
  <c r="C770" i="4" s="1"/>
  <c r="B741" i="4"/>
  <c r="Q980" i="2"/>
  <c r="R980" i="2" s="1"/>
  <c r="B993" i="4"/>
  <c r="Q992" i="2"/>
  <c r="R992" i="2" s="1"/>
  <c r="B1005" i="4"/>
  <c r="P216" i="2"/>
  <c r="C23" i="5"/>
  <c r="D23" i="5" s="1"/>
  <c r="P612" i="2"/>
  <c r="C36" i="5"/>
  <c r="D36" i="5" s="1"/>
  <c r="Q729" i="2"/>
  <c r="R729" i="2" s="1"/>
  <c r="B60" i="4"/>
  <c r="B377" i="4"/>
  <c r="Q45" i="2"/>
  <c r="R45" i="2" s="1"/>
  <c r="Q93" i="2"/>
  <c r="R93" i="2" s="1"/>
  <c r="Q297" i="2"/>
  <c r="R297" i="2" s="1"/>
  <c r="B310" i="4"/>
  <c r="Q369" i="2"/>
  <c r="R369" i="2" s="1"/>
  <c r="B382" i="4"/>
  <c r="F13" i="6"/>
  <c r="B754" i="4"/>
  <c r="Q969" i="2"/>
  <c r="R969" i="2" s="1"/>
  <c r="B982" i="4"/>
  <c r="Q981" i="2"/>
  <c r="R981" i="2" s="1"/>
  <c r="B994" i="4"/>
  <c r="Q993" i="2"/>
  <c r="R993" i="2" s="1"/>
  <c r="B1006" i="4"/>
  <c r="P277" i="2"/>
  <c r="C25" i="5"/>
  <c r="D25" i="5" s="1"/>
  <c r="P673" i="2"/>
  <c r="C38" i="5"/>
  <c r="D38" i="5" s="1"/>
  <c r="P124" i="2"/>
  <c r="P916" i="2"/>
  <c r="Q167" i="2"/>
  <c r="R167" i="2" s="1"/>
  <c r="Q781" i="2"/>
  <c r="R781" i="2" s="1"/>
  <c r="B1013" i="4"/>
  <c r="Q830" i="2"/>
  <c r="R830" i="2" s="1"/>
  <c r="B843" i="4"/>
  <c r="F11" i="6"/>
  <c r="B131" i="4"/>
  <c r="Q310" i="2"/>
  <c r="R310" i="2" s="1"/>
  <c r="B323" i="4"/>
  <c r="Q382" i="2"/>
  <c r="R382" i="2" s="1"/>
  <c r="B395" i="4"/>
  <c r="Q466" i="2"/>
  <c r="R466" i="2" s="1"/>
  <c r="B479" i="4"/>
  <c r="Q514" i="2"/>
  <c r="R514" i="2" s="1"/>
  <c r="B527" i="4"/>
  <c r="Q562" i="2"/>
  <c r="R562" i="2" s="1"/>
  <c r="B575" i="4"/>
  <c r="Q634" i="2"/>
  <c r="R634" i="2" s="1"/>
  <c r="B647" i="4"/>
  <c r="E12" i="6"/>
  <c r="G12" i="6" s="1"/>
  <c r="Q802" i="2"/>
  <c r="R802" i="2" s="1"/>
  <c r="B815" i="4"/>
  <c r="Q946" i="2"/>
  <c r="R946" i="2" s="1"/>
  <c r="B959" i="4"/>
  <c r="Q982" i="2"/>
  <c r="R982" i="2" s="1"/>
  <c r="B995" i="4"/>
  <c r="Q994" i="2"/>
  <c r="R994" i="2" s="1"/>
  <c r="B1007" i="4"/>
  <c r="Q834" i="2"/>
  <c r="R834" i="2" s="1"/>
  <c r="P2" i="2"/>
  <c r="A9" i="5"/>
  <c r="C15" i="5"/>
  <c r="D15" i="5" s="1"/>
  <c r="C27" i="5"/>
  <c r="D27" i="5" s="1"/>
  <c r="P734" i="2"/>
  <c r="C40" i="5"/>
  <c r="D40" i="5" s="1"/>
  <c r="P794" i="2"/>
  <c r="C42" i="5"/>
  <c r="D42" i="5" s="1"/>
  <c r="Q173" i="2"/>
  <c r="R173" i="2" s="1"/>
  <c r="Q795" i="2"/>
  <c r="R795" i="2" s="1"/>
  <c r="B317" i="4"/>
  <c r="C48" i="5"/>
  <c r="D48" i="5" s="1"/>
  <c r="Q68" i="2"/>
  <c r="R68" i="2" s="1"/>
  <c r="D64" i="1"/>
  <c r="D68" i="1"/>
  <c r="E13" i="6"/>
  <c r="B768" i="4"/>
  <c r="Q983" i="2"/>
  <c r="R983" i="2" s="1"/>
  <c r="B996" i="4"/>
  <c r="Q995" i="2"/>
  <c r="R995" i="2" s="1"/>
  <c r="B1008" i="4"/>
  <c r="P63" i="2"/>
  <c r="C18" i="5"/>
  <c r="D18" i="5" s="1"/>
  <c r="P459" i="2"/>
  <c r="C31" i="5"/>
  <c r="D31" i="5" s="1"/>
  <c r="P855" i="2"/>
  <c r="C44" i="5"/>
  <c r="D44" i="5" s="1"/>
  <c r="Q211" i="2"/>
  <c r="R211" i="2" s="1"/>
  <c r="Q849" i="2"/>
  <c r="R849" i="2" s="1"/>
  <c r="B81" i="4"/>
  <c r="J12" i="6"/>
  <c r="T297" i="2"/>
  <c r="C310" i="4" s="1"/>
  <c r="Q268" i="2"/>
  <c r="R268" i="2" s="1"/>
  <c r="T381" i="2"/>
  <c r="C394" i="4" s="1"/>
  <c r="Q352" i="2"/>
  <c r="R352" i="2" s="1"/>
  <c r="T513" i="2"/>
  <c r="C526" i="4" s="1"/>
  <c r="Q484" i="2"/>
  <c r="R484" i="2" s="1"/>
  <c r="T645" i="2"/>
  <c r="C658" i="4" s="1"/>
  <c r="Q616" i="2"/>
  <c r="R616" i="2" s="1"/>
  <c r="T777" i="2"/>
  <c r="C790" i="4" s="1"/>
  <c r="Q748" i="2"/>
  <c r="R748" i="2" s="1"/>
  <c r="T921" i="2"/>
  <c r="C934" i="4" s="1"/>
  <c r="Q892" i="2"/>
  <c r="R892" i="2" s="1"/>
  <c r="T177" i="2"/>
  <c r="C190" i="4" s="1"/>
  <c r="Q148" i="2"/>
  <c r="R148" i="2" s="1"/>
  <c r="T201" i="2"/>
  <c r="C214" i="4" s="1"/>
  <c r="Q172" i="2"/>
  <c r="R172" i="2" s="1"/>
  <c r="T237" i="2"/>
  <c r="C250" i="4" s="1"/>
  <c r="Q208" i="2"/>
  <c r="R208" i="2" s="1"/>
  <c r="T285" i="2"/>
  <c r="C298" i="4" s="1"/>
  <c r="Q256" i="2"/>
  <c r="R256" i="2" s="1"/>
  <c r="T345" i="2"/>
  <c r="C358" i="4" s="1"/>
  <c r="Q316" i="2"/>
  <c r="R316" i="2" s="1"/>
  <c r="T441" i="2"/>
  <c r="C454" i="4" s="1"/>
  <c r="Q412" i="2"/>
  <c r="R412" i="2" s="1"/>
  <c r="T537" i="2"/>
  <c r="C550" i="4" s="1"/>
  <c r="Q508" i="2"/>
  <c r="R508" i="2" s="1"/>
  <c r="T681" i="2"/>
  <c r="C694" i="4" s="1"/>
  <c r="Q652" i="2"/>
  <c r="R652" i="2" s="1"/>
  <c r="T837" i="2"/>
  <c r="C850" i="4" s="1"/>
  <c r="Q808" i="2"/>
  <c r="R808" i="2" s="1"/>
  <c r="T142" i="2"/>
  <c r="C155" i="4" s="1"/>
  <c r="T154" i="2"/>
  <c r="C167" i="4" s="1"/>
  <c r="Q125" i="2"/>
  <c r="R125" i="2" s="1"/>
  <c r="T202" i="2"/>
  <c r="C215" i="4" s="1"/>
  <c r="T214" i="2"/>
  <c r="C227" i="4" s="1"/>
  <c r="Q185" i="2"/>
  <c r="R185" i="2" s="1"/>
  <c r="T394" i="2"/>
  <c r="C407" i="4" s="1"/>
  <c r="T430" i="2"/>
  <c r="C443" i="4" s="1"/>
  <c r="T442" i="2"/>
  <c r="C455" i="4" s="1"/>
  <c r="Q413" i="2"/>
  <c r="R413" i="2" s="1"/>
  <c r="T454" i="2"/>
  <c r="C467" i="4" s="1"/>
  <c r="Q425" i="2"/>
  <c r="R425" i="2" s="1"/>
  <c r="T466" i="2"/>
  <c r="C479" i="4" s="1"/>
  <c r="Q437" i="2"/>
  <c r="R437" i="2" s="1"/>
  <c r="T778" i="2"/>
  <c r="C791" i="4" s="1"/>
  <c r="T790" i="2"/>
  <c r="C803" i="4" s="1"/>
  <c r="Q761" i="2"/>
  <c r="R761" i="2" s="1"/>
  <c r="T802" i="2"/>
  <c r="C815" i="4" s="1"/>
  <c r="Q773" i="2"/>
  <c r="R773" i="2" s="1"/>
  <c r="T814" i="2"/>
  <c r="C827" i="4" s="1"/>
  <c r="Q785" i="2"/>
  <c r="R785" i="2" s="1"/>
  <c r="T826" i="2"/>
  <c r="C839" i="4" s="1"/>
  <c r="Q797" i="2"/>
  <c r="R797" i="2" s="1"/>
  <c r="T838" i="2"/>
  <c r="C851" i="4" s="1"/>
  <c r="Q809" i="2"/>
  <c r="R809" i="2" s="1"/>
  <c r="T850" i="2"/>
  <c r="C863" i="4" s="1"/>
  <c r="Q821" i="2"/>
  <c r="R821" i="2" s="1"/>
  <c r="T862" i="2"/>
  <c r="C875" i="4" s="1"/>
  <c r="Q833" i="2"/>
  <c r="R833" i="2" s="1"/>
  <c r="T874" i="2"/>
  <c r="C887" i="4" s="1"/>
  <c r="Q845" i="2"/>
  <c r="R845" i="2" s="1"/>
  <c r="T886" i="2"/>
  <c r="C899" i="4" s="1"/>
  <c r="Q857" i="2"/>
  <c r="R857" i="2" s="1"/>
  <c r="T898" i="2"/>
  <c r="C911" i="4" s="1"/>
  <c r="Q869" i="2"/>
  <c r="R869" i="2" s="1"/>
  <c r="T910" i="2"/>
  <c r="C923" i="4" s="1"/>
  <c r="Q881" i="2"/>
  <c r="R881" i="2" s="1"/>
  <c r="T922" i="2"/>
  <c r="C935" i="4" s="1"/>
  <c r="Q893" i="2"/>
  <c r="R893" i="2" s="1"/>
  <c r="T934" i="2"/>
  <c r="C947" i="4" s="1"/>
  <c r="Q905" i="2"/>
  <c r="R905" i="2" s="1"/>
  <c r="T946" i="2"/>
  <c r="C959" i="4" s="1"/>
  <c r="Q917" i="2"/>
  <c r="R917" i="2" s="1"/>
  <c r="T958" i="2"/>
  <c r="C971" i="4" s="1"/>
  <c r="Q929" i="2"/>
  <c r="R929" i="2" s="1"/>
  <c r="T970" i="2"/>
  <c r="C983" i="4" s="1"/>
  <c r="Q941" i="2"/>
  <c r="R941" i="2" s="1"/>
  <c r="T982" i="2"/>
  <c r="C995" i="4" s="1"/>
  <c r="Q953" i="2"/>
  <c r="R953" i="2" s="1"/>
  <c r="T994" i="2"/>
  <c r="C1007" i="4" s="1"/>
  <c r="Q965" i="2"/>
  <c r="R965" i="2" s="1"/>
  <c r="Q364" i="2"/>
  <c r="R364" i="2" s="1"/>
  <c r="T417" i="2"/>
  <c r="C430" i="4" s="1"/>
  <c r="Q388" i="2"/>
  <c r="R388" i="2" s="1"/>
  <c r="T525" i="2"/>
  <c r="C538" i="4" s="1"/>
  <c r="Q496" i="2"/>
  <c r="R496" i="2" s="1"/>
  <c r="T597" i="2"/>
  <c r="C610" i="4" s="1"/>
  <c r="Q568" i="2"/>
  <c r="R568" i="2" s="1"/>
  <c r="T705" i="2"/>
  <c r="C718" i="4" s="1"/>
  <c r="Q676" i="2"/>
  <c r="R676" i="2" s="1"/>
  <c r="T813" i="2"/>
  <c r="C826" i="4" s="1"/>
  <c r="Q784" i="2"/>
  <c r="R784" i="2" s="1"/>
  <c r="T34" i="2"/>
  <c r="C47" i="4" s="1"/>
  <c r="Q5" i="2"/>
  <c r="R5" i="2" s="1"/>
  <c r="T46" i="2"/>
  <c r="C59" i="4" s="1"/>
  <c r="Q17" i="2"/>
  <c r="R17" i="2" s="1"/>
  <c r="T58" i="2"/>
  <c r="C71" i="4" s="1"/>
  <c r="Q29" i="2"/>
  <c r="R29" i="2" s="1"/>
  <c r="T70" i="2"/>
  <c r="C83" i="4" s="1"/>
  <c r="Q41" i="2"/>
  <c r="R41" i="2" s="1"/>
  <c r="T82" i="2"/>
  <c r="C95" i="4" s="1"/>
  <c r="Q53" i="2"/>
  <c r="R53" i="2" s="1"/>
  <c r="T94" i="2"/>
  <c r="C107" i="4" s="1"/>
  <c r="Q65" i="2"/>
  <c r="R65" i="2" s="1"/>
  <c r="T106" i="2"/>
  <c r="C119" i="4" s="1"/>
  <c r="Q77" i="2"/>
  <c r="R77" i="2" s="1"/>
  <c r="T118" i="2"/>
  <c r="C131" i="4" s="1"/>
  <c r="Q89" i="2"/>
  <c r="R89" i="2" s="1"/>
  <c r="T130" i="2"/>
  <c r="C143" i="4" s="1"/>
  <c r="Q101" i="2"/>
  <c r="R101" i="2" s="1"/>
  <c r="T190" i="2"/>
  <c r="C203" i="4" s="1"/>
  <c r="T358" i="2"/>
  <c r="C371" i="4" s="1"/>
  <c r="T370" i="2"/>
  <c r="C383" i="4" s="1"/>
  <c r="Q341" i="2"/>
  <c r="R341" i="2" s="1"/>
  <c r="T382" i="2"/>
  <c r="C395" i="4" s="1"/>
  <c r="Q353" i="2"/>
  <c r="R353" i="2" s="1"/>
  <c r="T478" i="2"/>
  <c r="C491" i="4" s="1"/>
  <c r="T490" i="2"/>
  <c r="C503" i="4" s="1"/>
  <c r="Q461" i="2"/>
  <c r="R461" i="2" s="1"/>
  <c r="T502" i="2"/>
  <c r="C515" i="4" s="1"/>
  <c r="Q473" i="2"/>
  <c r="R473" i="2" s="1"/>
  <c r="T514" i="2"/>
  <c r="C527" i="4" s="1"/>
  <c r="Q485" i="2"/>
  <c r="R485" i="2" s="1"/>
  <c r="T538" i="2"/>
  <c r="C551" i="4" s="1"/>
  <c r="Q509" i="2"/>
  <c r="R509" i="2" s="1"/>
  <c r="T562" i="2"/>
  <c r="C575" i="4" s="1"/>
  <c r="Q533" i="2"/>
  <c r="R533" i="2" s="1"/>
  <c r="T586" i="2"/>
  <c r="C599" i="4" s="1"/>
  <c r="Q557" i="2"/>
  <c r="R557" i="2" s="1"/>
  <c r="T610" i="2"/>
  <c r="C623" i="4" s="1"/>
  <c r="Q581" i="2"/>
  <c r="R581" i="2" s="1"/>
  <c r="T622" i="2"/>
  <c r="C635" i="4" s="1"/>
  <c r="Q593" i="2"/>
  <c r="R593" i="2" s="1"/>
  <c r="T646" i="2"/>
  <c r="C659" i="4" s="1"/>
  <c r="Q617" i="2"/>
  <c r="R617" i="2" s="1"/>
  <c r="T658" i="2"/>
  <c r="C671" i="4" s="1"/>
  <c r="Q629" i="2"/>
  <c r="R629" i="2" s="1"/>
  <c r="T682" i="2"/>
  <c r="C695" i="4" s="1"/>
  <c r="Q653" i="2"/>
  <c r="R653" i="2" s="1"/>
  <c r="T694" i="2"/>
  <c r="C707" i="4" s="1"/>
  <c r="Q665" i="2"/>
  <c r="R665" i="2" s="1"/>
  <c r="T706" i="2"/>
  <c r="C719" i="4" s="1"/>
  <c r="Q677" i="2"/>
  <c r="R677" i="2" s="1"/>
  <c r="T718" i="2"/>
  <c r="C731" i="4" s="1"/>
  <c r="Q689" i="2"/>
  <c r="R689" i="2" s="1"/>
  <c r="T35" i="2"/>
  <c r="C48" i="4" s="1"/>
  <c r="Q6" i="2"/>
  <c r="R6" i="2" s="1"/>
  <c r="T47" i="2"/>
  <c r="C60" i="4" s="1"/>
  <c r="Q18" i="2"/>
  <c r="R18" i="2" s="1"/>
  <c r="T59" i="2"/>
  <c r="C72" i="4" s="1"/>
  <c r="Q30" i="2"/>
  <c r="R30" i="2" s="1"/>
  <c r="T71" i="2"/>
  <c r="C84" i="4" s="1"/>
  <c r="Q42" i="2"/>
  <c r="R42" i="2" s="1"/>
  <c r="T83" i="2"/>
  <c r="C96" i="4" s="1"/>
  <c r="T95" i="2"/>
  <c r="C108" i="4" s="1"/>
  <c r="Q66" i="2"/>
  <c r="R66" i="2" s="1"/>
  <c r="T107" i="2"/>
  <c r="C120" i="4" s="1"/>
  <c r="T119" i="2"/>
  <c r="C132" i="4" s="1"/>
  <c r="Q90" i="2"/>
  <c r="R90" i="2" s="1"/>
  <c r="T131" i="2"/>
  <c r="C144" i="4" s="1"/>
  <c r="Q102" i="2"/>
  <c r="R102" i="2" s="1"/>
  <c r="T143" i="2"/>
  <c r="C156" i="4" s="1"/>
  <c r="Q114" i="2"/>
  <c r="R114" i="2" s="1"/>
  <c r="T155" i="2"/>
  <c r="C168" i="4" s="1"/>
  <c r="Q126" i="2"/>
  <c r="R126" i="2" s="1"/>
  <c r="T167" i="2"/>
  <c r="C180" i="4" s="1"/>
  <c r="Q138" i="2"/>
  <c r="R138" i="2" s="1"/>
  <c r="T179" i="2"/>
  <c r="C192" i="4" s="1"/>
  <c r="Q150" i="2"/>
  <c r="R150" i="2" s="1"/>
  <c r="T191" i="2"/>
  <c r="C204" i="4" s="1"/>
  <c r="Q162" i="2"/>
  <c r="R162" i="2" s="1"/>
  <c r="T203" i="2"/>
  <c r="C216" i="4" s="1"/>
  <c r="Q174" i="2"/>
  <c r="R174" i="2" s="1"/>
  <c r="T215" i="2"/>
  <c r="C228" i="4" s="1"/>
  <c r="Q186" i="2"/>
  <c r="R186" i="2" s="1"/>
  <c r="T227" i="2"/>
  <c r="C240" i="4" s="1"/>
  <c r="Q198" i="2"/>
  <c r="R198" i="2" s="1"/>
  <c r="T239" i="2"/>
  <c r="C252" i="4" s="1"/>
  <c r="Q210" i="2"/>
  <c r="R210" i="2" s="1"/>
  <c r="T251" i="2"/>
  <c r="C264" i="4" s="1"/>
  <c r="Q222" i="2"/>
  <c r="R222" i="2" s="1"/>
  <c r="T263" i="2"/>
  <c r="C276" i="4" s="1"/>
  <c r="Q234" i="2"/>
  <c r="R234" i="2" s="1"/>
  <c r="T275" i="2"/>
  <c r="C288" i="4" s="1"/>
  <c r="Q246" i="2"/>
  <c r="R246" i="2" s="1"/>
  <c r="T287" i="2"/>
  <c r="C300" i="4" s="1"/>
  <c r="Q258" i="2"/>
  <c r="R258" i="2" s="1"/>
  <c r="T299" i="2"/>
  <c r="C312" i="4" s="1"/>
  <c r="T311" i="2"/>
  <c r="C324" i="4" s="1"/>
  <c r="T323" i="2"/>
  <c r="C336" i="4" s="1"/>
  <c r="Q294" i="2"/>
  <c r="R294" i="2" s="1"/>
  <c r="T335" i="2"/>
  <c r="C348" i="4" s="1"/>
  <c r="Q306" i="2"/>
  <c r="R306" i="2" s="1"/>
  <c r="T347" i="2"/>
  <c r="C360" i="4" s="1"/>
  <c r="Q318" i="2"/>
  <c r="R318" i="2" s="1"/>
  <c r="T359" i="2"/>
  <c r="C372" i="4" s="1"/>
  <c r="T371" i="2"/>
  <c r="C384" i="4" s="1"/>
  <c r="T383" i="2"/>
  <c r="C396" i="4" s="1"/>
  <c r="Q354" i="2"/>
  <c r="R354" i="2" s="1"/>
  <c r="T395" i="2"/>
  <c r="C408" i="4" s="1"/>
  <c r="Q366" i="2"/>
  <c r="R366" i="2" s="1"/>
  <c r="T407" i="2"/>
  <c r="C420" i="4" s="1"/>
  <c r="Q378" i="2"/>
  <c r="R378" i="2" s="1"/>
  <c r="T419" i="2"/>
  <c r="C432" i="4" s="1"/>
  <c r="Q390" i="2"/>
  <c r="R390" i="2" s="1"/>
  <c r="T431" i="2"/>
  <c r="C444" i="4" s="1"/>
  <c r="Q402" i="2"/>
  <c r="R402" i="2" s="1"/>
  <c r="T443" i="2"/>
  <c r="C456" i="4" s="1"/>
  <c r="Q414" i="2"/>
  <c r="R414" i="2" s="1"/>
  <c r="T455" i="2"/>
  <c r="C468" i="4" s="1"/>
  <c r="Q426" i="2"/>
  <c r="R426" i="2" s="1"/>
  <c r="T467" i="2"/>
  <c r="C480" i="4" s="1"/>
  <c r="Q438" i="2"/>
  <c r="R438" i="2" s="1"/>
  <c r="T479" i="2"/>
  <c r="C492" i="4" s="1"/>
  <c r="Q450" i="2"/>
  <c r="R450" i="2" s="1"/>
  <c r="T491" i="2"/>
  <c r="C504" i="4" s="1"/>
  <c r="T503" i="2"/>
  <c r="C516" i="4" s="1"/>
  <c r="Q474" i="2"/>
  <c r="R474" i="2" s="1"/>
  <c r="T515" i="2"/>
  <c r="C528" i="4" s="1"/>
  <c r="Q486" i="2"/>
  <c r="R486" i="2" s="1"/>
  <c r="T527" i="2"/>
  <c r="C540" i="4" s="1"/>
  <c r="Q498" i="2"/>
  <c r="R498" i="2" s="1"/>
  <c r="T539" i="2"/>
  <c r="C552" i="4" s="1"/>
  <c r="T551" i="2"/>
  <c r="C564" i="4" s="1"/>
  <c r="Q522" i="2"/>
  <c r="R522" i="2" s="1"/>
  <c r="T563" i="2"/>
  <c r="C576" i="4" s="1"/>
  <c r="Q534" i="2"/>
  <c r="R534" i="2" s="1"/>
  <c r="T575" i="2"/>
  <c r="C588" i="4" s="1"/>
  <c r="Q546" i="2"/>
  <c r="R546" i="2" s="1"/>
  <c r="T587" i="2"/>
  <c r="C600" i="4" s="1"/>
  <c r="Q558" i="2"/>
  <c r="R558" i="2" s="1"/>
  <c r="T599" i="2"/>
  <c r="C612" i="4" s="1"/>
  <c r="Q570" i="2"/>
  <c r="R570" i="2" s="1"/>
  <c r="T611" i="2"/>
  <c r="C624" i="4" s="1"/>
  <c r="Q582" i="2"/>
  <c r="R582" i="2" s="1"/>
  <c r="T623" i="2"/>
  <c r="C636" i="4" s="1"/>
  <c r="Q594" i="2"/>
  <c r="R594" i="2" s="1"/>
  <c r="T635" i="2"/>
  <c r="C648" i="4" s="1"/>
  <c r="Q606" i="2"/>
  <c r="R606" i="2" s="1"/>
  <c r="T647" i="2"/>
  <c r="C660" i="4" s="1"/>
  <c r="Q618" i="2"/>
  <c r="R618" i="2" s="1"/>
  <c r="T659" i="2"/>
  <c r="C672" i="4" s="1"/>
  <c r="Q630" i="2"/>
  <c r="R630" i="2" s="1"/>
  <c r="T671" i="2"/>
  <c r="C684" i="4" s="1"/>
  <c r="Q642" i="2"/>
  <c r="R642" i="2" s="1"/>
  <c r="T683" i="2"/>
  <c r="C696" i="4" s="1"/>
  <c r="Q654" i="2"/>
  <c r="R654" i="2" s="1"/>
  <c r="T695" i="2"/>
  <c r="C708" i="4" s="1"/>
  <c r="Q666" i="2"/>
  <c r="R666" i="2" s="1"/>
  <c r="T707" i="2"/>
  <c r="C720" i="4" s="1"/>
  <c r="Q678" i="2"/>
  <c r="R678" i="2" s="1"/>
  <c r="T719" i="2"/>
  <c r="C732" i="4" s="1"/>
  <c r="Q690" i="2"/>
  <c r="R690" i="2" s="1"/>
  <c r="T731" i="2"/>
  <c r="C744" i="4" s="1"/>
  <c r="Q702" i="2"/>
  <c r="R702" i="2" s="1"/>
  <c r="T743" i="2"/>
  <c r="C756" i="4" s="1"/>
  <c r="Q714" i="2"/>
  <c r="R714" i="2" s="1"/>
  <c r="T755" i="2"/>
  <c r="C768" i="4" s="1"/>
  <c r="Q726" i="2"/>
  <c r="R726" i="2" s="1"/>
  <c r="T767" i="2"/>
  <c r="C780" i="4" s="1"/>
  <c r="Q738" i="2"/>
  <c r="R738" i="2" s="1"/>
  <c r="T779" i="2"/>
  <c r="C792" i="4" s="1"/>
  <c r="Q750" i="2"/>
  <c r="R750" i="2" s="1"/>
  <c r="T791" i="2"/>
  <c r="C804" i="4" s="1"/>
  <c r="Q762" i="2"/>
  <c r="R762" i="2" s="1"/>
  <c r="T803" i="2"/>
  <c r="C816" i="4" s="1"/>
  <c r="Q774" i="2"/>
  <c r="R774" i="2" s="1"/>
  <c r="T815" i="2"/>
  <c r="C828" i="4" s="1"/>
  <c r="Q786" i="2"/>
  <c r="R786" i="2" s="1"/>
  <c r="T827" i="2"/>
  <c r="C840" i="4" s="1"/>
  <c r="Q798" i="2"/>
  <c r="R798" i="2" s="1"/>
  <c r="T839" i="2"/>
  <c r="C852" i="4" s="1"/>
  <c r="Q810" i="2"/>
  <c r="R810" i="2" s="1"/>
  <c r="T851" i="2"/>
  <c r="C864" i="4" s="1"/>
  <c r="Q822" i="2"/>
  <c r="R822" i="2" s="1"/>
  <c r="T863" i="2"/>
  <c r="C876" i="4" s="1"/>
  <c r="T875" i="2"/>
  <c r="C888" i="4" s="1"/>
  <c r="Q846" i="2"/>
  <c r="R846" i="2" s="1"/>
  <c r="T887" i="2"/>
  <c r="C900" i="4" s="1"/>
  <c r="Q858" i="2"/>
  <c r="R858" i="2" s="1"/>
  <c r="T899" i="2"/>
  <c r="C912" i="4" s="1"/>
  <c r="Q870" i="2"/>
  <c r="R870" i="2" s="1"/>
  <c r="T911" i="2"/>
  <c r="C924" i="4" s="1"/>
  <c r="T923" i="2"/>
  <c r="C936" i="4" s="1"/>
  <c r="Q894" i="2"/>
  <c r="R894" i="2" s="1"/>
  <c r="T935" i="2"/>
  <c r="C948" i="4" s="1"/>
  <c r="Q906" i="2"/>
  <c r="R906" i="2" s="1"/>
  <c r="T947" i="2"/>
  <c r="C960" i="4" s="1"/>
  <c r="Q918" i="2"/>
  <c r="R918" i="2" s="1"/>
  <c r="T959" i="2"/>
  <c r="C972" i="4" s="1"/>
  <c r="Q930" i="2"/>
  <c r="R930" i="2" s="1"/>
  <c r="T971" i="2"/>
  <c r="C984" i="4" s="1"/>
  <c r="T983" i="2"/>
  <c r="C996" i="4" s="1"/>
  <c r="Q954" i="2"/>
  <c r="R954" i="2" s="1"/>
  <c r="T995" i="2"/>
  <c r="C1008" i="4" s="1"/>
  <c r="Q966" i="2"/>
  <c r="R966" i="2" s="1"/>
  <c r="Q978" i="2"/>
  <c r="R978" i="2" s="1"/>
  <c r="Q990" i="2"/>
  <c r="R990" i="2" s="1"/>
  <c r="Q282" i="2"/>
  <c r="R282" i="2" s="1"/>
  <c r="Q365" i="2"/>
  <c r="R365" i="2" s="1"/>
  <c r="Q462" i="2"/>
  <c r="R462" i="2" s="1"/>
  <c r="T33" i="2"/>
  <c r="C46" i="4" s="1"/>
  <c r="Q4" i="2"/>
  <c r="R4" i="2" s="1"/>
  <c r="T105" i="2"/>
  <c r="C118" i="4" s="1"/>
  <c r="Q76" i="2"/>
  <c r="R76" i="2" s="1"/>
  <c r="T501" i="2"/>
  <c r="C514" i="4" s="1"/>
  <c r="Q472" i="2"/>
  <c r="R472" i="2" s="1"/>
  <c r="T573" i="2"/>
  <c r="C586" i="4" s="1"/>
  <c r="Q544" i="2"/>
  <c r="R544" i="2" s="1"/>
  <c r="T693" i="2"/>
  <c r="C706" i="4" s="1"/>
  <c r="Q664" i="2"/>
  <c r="R664" i="2" s="1"/>
  <c r="T801" i="2"/>
  <c r="C814" i="4" s="1"/>
  <c r="Q772" i="2"/>
  <c r="R772" i="2" s="1"/>
  <c r="T885" i="2"/>
  <c r="C898" i="4" s="1"/>
  <c r="Q856" i="2"/>
  <c r="R856" i="2" s="1"/>
  <c r="T993" i="2"/>
  <c r="C1006" i="4" s="1"/>
  <c r="Q964" i="2"/>
  <c r="R964" i="2" s="1"/>
  <c r="Q556" i="2"/>
  <c r="R556" i="2" s="1"/>
  <c r="T166" i="2"/>
  <c r="C179" i="4" s="1"/>
  <c r="T178" i="2"/>
  <c r="C191" i="4" s="1"/>
  <c r="Q149" i="2"/>
  <c r="R149" i="2" s="1"/>
  <c r="T226" i="2"/>
  <c r="C239" i="4" s="1"/>
  <c r="T238" i="2"/>
  <c r="C251" i="4" s="1"/>
  <c r="Q209" i="2"/>
  <c r="R209" i="2" s="1"/>
  <c r="T250" i="2"/>
  <c r="C263" i="4" s="1"/>
  <c r="Q221" i="2"/>
  <c r="R221" i="2" s="1"/>
  <c r="T262" i="2"/>
  <c r="C275" i="4" s="1"/>
  <c r="Q233" i="2"/>
  <c r="R233" i="2" s="1"/>
  <c r="T274" i="2"/>
  <c r="C287" i="4" s="1"/>
  <c r="Q245" i="2"/>
  <c r="R245" i="2" s="1"/>
  <c r="T286" i="2"/>
  <c r="C299" i="4" s="1"/>
  <c r="Q257" i="2"/>
  <c r="R257" i="2" s="1"/>
  <c r="T298" i="2"/>
  <c r="C311" i="4" s="1"/>
  <c r="Q269" i="2"/>
  <c r="R269" i="2" s="1"/>
  <c r="T310" i="2"/>
  <c r="C323" i="4" s="1"/>
  <c r="Q281" i="2"/>
  <c r="R281" i="2" s="1"/>
  <c r="T322" i="2"/>
  <c r="C335" i="4" s="1"/>
  <c r="Q293" i="2"/>
  <c r="R293" i="2" s="1"/>
  <c r="T334" i="2"/>
  <c r="C347" i="4" s="1"/>
  <c r="Q305" i="2"/>
  <c r="R305" i="2" s="1"/>
  <c r="T346" i="2"/>
  <c r="C359" i="4" s="1"/>
  <c r="Q317" i="2"/>
  <c r="R317" i="2" s="1"/>
  <c r="T406" i="2"/>
  <c r="C419" i="4" s="1"/>
  <c r="T418" i="2"/>
  <c r="C431" i="4" s="1"/>
  <c r="Q389" i="2"/>
  <c r="R389" i="2" s="1"/>
  <c r="T526" i="2"/>
  <c r="C539" i="4" s="1"/>
  <c r="T550" i="2"/>
  <c r="C563" i="4" s="1"/>
  <c r="Q521" i="2"/>
  <c r="R521" i="2" s="1"/>
  <c r="T574" i="2"/>
  <c r="C587" i="4" s="1"/>
  <c r="Q545" i="2"/>
  <c r="R545" i="2" s="1"/>
  <c r="T598" i="2"/>
  <c r="C611" i="4" s="1"/>
  <c r="Q569" i="2"/>
  <c r="R569" i="2" s="1"/>
  <c r="T634" i="2"/>
  <c r="C647" i="4" s="1"/>
  <c r="Q605" i="2"/>
  <c r="R605" i="2" s="1"/>
  <c r="T670" i="2"/>
  <c r="C683" i="4" s="1"/>
  <c r="Q641" i="2"/>
  <c r="R641" i="2" s="1"/>
  <c r="T730" i="2"/>
  <c r="C743" i="4" s="1"/>
  <c r="T742" i="2"/>
  <c r="C755" i="4" s="1"/>
  <c r="Q713" i="2"/>
  <c r="R713" i="2" s="1"/>
  <c r="T754" i="2"/>
  <c r="C767" i="4" s="1"/>
  <c r="Q725" i="2"/>
  <c r="R725" i="2" s="1"/>
  <c r="T766" i="2"/>
  <c r="C779" i="4" s="1"/>
  <c r="Q737" i="2"/>
  <c r="R737" i="2" s="1"/>
  <c r="D67" i="1"/>
  <c r="T36" i="2"/>
  <c r="C49" i="4" s="1"/>
  <c r="Q7" i="2"/>
  <c r="R7" i="2" s="1"/>
  <c r="T48" i="2"/>
  <c r="C61" i="4" s="1"/>
  <c r="Q19" i="2"/>
  <c r="R19" i="2" s="1"/>
  <c r="T60" i="2"/>
  <c r="C73" i="4" s="1"/>
  <c r="T72" i="2"/>
  <c r="C85" i="4" s="1"/>
  <c r="Q43" i="2"/>
  <c r="R43" i="2" s="1"/>
  <c r="T84" i="2"/>
  <c r="C97" i="4" s="1"/>
  <c r="T96" i="2"/>
  <c r="C109" i="4" s="1"/>
  <c r="T108" i="2"/>
  <c r="C121" i="4" s="1"/>
  <c r="T120" i="2"/>
  <c r="C133" i="4" s="1"/>
  <c r="T132" i="2"/>
  <c r="C145" i="4" s="1"/>
  <c r="Q103" i="2"/>
  <c r="R103" i="2" s="1"/>
  <c r="T144" i="2"/>
  <c r="C157" i="4" s="1"/>
  <c r="Q115" i="2"/>
  <c r="R115" i="2" s="1"/>
  <c r="T156" i="2"/>
  <c r="C169" i="4" s="1"/>
  <c r="Q127" i="2"/>
  <c r="R127" i="2" s="1"/>
  <c r="T168" i="2"/>
  <c r="C181" i="4" s="1"/>
  <c r="Q139" i="2"/>
  <c r="R139" i="2" s="1"/>
  <c r="T180" i="2"/>
  <c r="C193" i="4" s="1"/>
  <c r="Q151" i="2"/>
  <c r="R151" i="2" s="1"/>
  <c r="T192" i="2"/>
  <c r="C205" i="4" s="1"/>
  <c r="Q163" i="2"/>
  <c r="R163" i="2" s="1"/>
  <c r="T204" i="2"/>
  <c r="C217" i="4" s="1"/>
  <c r="Q175" i="2"/>
  <c r="R175" i="2" s="1"/>
  <c r="T216" i="2"/>
  <c r="C229" i="4" s="1"/>
  <c r="Q187" i="2"/>
  <c r="R187" i="2" s="1"/>
  <c r="T228" i="2"/>
  <c r="C241" i="4" s="1"/>
  <c r="Q199" i="2"/>
  <c r="R199" i="2" s="1"/>
  <c r="T240" i="2"/>
  <c r="C253" i="4" s="1"/>
  <c r="T252" i="2"/>
  <c r="C265" i="4" s="1"/>
  <c r="T264" i="2"/>
  <c r="C277" i="4" s="1"/>
  <c r="Q235" i="2"/>
  <c r="R235" i="2" s="1"/>
  <c r="T276" i="2"/>
  <c r="C289" i="4" s="1"/>
  <c r="Q247" i="2"/>
  <c r="R247" i="2" s="1"/>
  <c r="T288" i="2"/>
  <c r="C301" i="4" s="1"/>
  <c r="Q259" i="2"/>
  <c r="R259" i="2" s="1"/>
  <c r="T300" i="2"/>
  <c r="C313" i="4" s="1"/>
  <c r="Q271" i="2"/>
  <c r="R271" i="2" s="1"/>
  <c r="T312" i="2"/>
  <c r="C325" i="4" s="1"/>
  <c r="Q283" i="2"/>
  <c r="R283" i="2" s="1"/>
  <c r="T324" i="2"/>
  <c r="C337" i="4" s="1"/>
  <c r="Q295" i="2"/>
  <c r="R295" i="2" s="1"/>
  <c r="T336" i="2"/>
  <c r="C349" i="4" s="1"/>
  <c r="Q307" i="2"/>
  <c r="R307" i="2" s="1"/>
  <c r="T348" i="2"/>
  <c r="C361" i="4" s="1"/>
  <c r="Q319" i="2"/>
  <c r="R319" i="2" s="1"/>
  <c r="T360" i="2"/>
  <c r="C373" i="4" s="1"/>
  <c r="Q331" i="2"/>
  <c r="R331" i="2" s="1"/>
  <c r="T372" i="2"/>
  <c r="C385" i="4" s="1"/>
  <c r="Q343" i="2"/>
  <c r="R343" i="2" s="1"/>
  <c r="T384" i="2"/>
  <c r="C397" i="4" s="1"/>
  <c r="Q355" i="2"/>
  <c r="R355" i="2" s="1"/>
  <c r="T396" i="2"/>
  <c r="C409" i="4" s="1"/>
  <c r="Q367" i="2"/>
  <c r="R367" i="2" s="1"/>
  <c r="T408" i="2"/>
  <c r="C421" i="4" s="1"/>
  <c r="Q379" i="2"/>
  <c r="R379" i="2" s="1"/>
  <c r="T420" i="2"/>
  <c r="C433" i="4" s="1"/>
  <c r="Q391" i="2"/>
  <c r="R391" i="2" s="1"/>
  <c r="T432" i="2"/>
  <c r="C445" i="4" s="1"/>
  <c r="Q403" i="2"/>
  <c r="R403" i="2" s="1"/>
  <c r="T444" i="2"/>
  <c r="C457" i="4" s="1"/>
  <c r="Q415" i="2"/>
  <c r="R415" i="2" s="1"/>
  <c r="T456" i="2"/>
  <c r="C469" i="4" s="1"/>
  <c r="Q427" i="2"/>
  <c r="R427" i="2" s="1"/>
  <c r="T468" i="2"/>
  <c r="C481" i="4" s="1"/>
  <c r="Q439" i="2"/>
  <c r="R439" i="2" s="1"/>
  <c r="T480" i="2"/>
  <c r="C493" i="4" s="1"/>
  <c r="Q451" i="2"/>
  <c r="R451" i="2" s="1"/>
  <c r="T492" i="2"/>
  <c r="C505" i="4" s="1"/>
  <c r="Q463" i="2"/>
  <c r="R463" i="2" s="1"/>
  <c r="T504" i="2"/>
  <c r="C517" i="4" s="1"/>
  <c r="Q475" i="2"/>
  <c r="R475" i="2" s="1"/>
  <c r="T516" i="2"/>
  <c r="C529" i="4" s="1"/>
  <c r="Q487" i="2"/>
  <c r="R487" i="2" s="1"/>
  <c r="T528" i="2"/>
  <c r="C541" i="4" s="1"/>
  <c r="Q499" i="2"/>
  <c r="R499" i="2" s="1"/>
  <c r="T540" i="2"/>
  <c r="C553" i="4" s="1"/>
  <c r="Q511" i="2"/>
  <c r="R511" i="2" s="1"/>
  <c r="T552" i="2"/>
  <c r="C565" i="4" s="1"/>
  <c r="Q523" i="2"/>
  <c r="R523" i="2" s="1"/>
  <c r="T564" i="2"/>
  <c r="C577" i="4" s="1"/>
  <c r="Q535" i="2"/>
  <c r="R535" i="2" s="1"/>
  <c r="T576" i="2"/>
  <c r="C589" i="4" s="1"/>
  <c r="Q547" i="2"/>
  <c r="R547" i="2" s="1"/>
  <c r="T588" i="2"/>
  <c r="C601" i="4" s="1"/>
  <c r="Q559" i="2"/>
  <c r="R559" i="2" s="1"/>
  <c r="T600" i="2"/>
  <c r="C613" i="4" s="1"/>
  <c r="Q571" i="2"/>
  <c r="R571" i="2" s="1"/>
  <c r="T612" i="2"/>
  <c r="C625" i="4" s="1"/>
  <c r="Q583" i="2"/>
  <c r="R583" i="2" s="1"/>
  <c r="T624" i="2"/>
  <c r="C637" i="4" s="1"/>
  <c r="Q595" i="2"/>
  <c r="R595" i="2" s="1"/>
  <c r="T636" i="2"/>
  <c r="C649" i="4" s="1"/>
  <c r="Q607" i="2"/>
  <c r="R607" i="2" s="1"/>
  <c r="T648" i="2"/>
  <c r="C661" i="4" s="1"/>
  <c r="Q619" i="2"/>
  <c r="R619" i="2" s="1"/>
  <c r="T660" i="2"/>
  <c r="C673" i="4" s="1"/>
  <c r="Q631" i="2"/>
  <c r="R631" i="2" s="1"/>
  <c r="T672" i="2"/>
  <c r="C685" i="4" s="1"/>
  <c r="Q643" i="2"/>
  <c r="R643" i="2" s="1"/>
  <c r="T684" i="2"/>
  <c r="C697" i="4" s="1"/>
  <c r="Q655" i="2"/>
  <c r="R655" i="2" s="1"/>
  <c r="T696" i="2"/>
  <c r="C709" i="4" s="1"/>
  <c r="Q667" i="2"/>
  <c r="R667" i="2" s="1"/>
  <c r="T708" i="2"/>
  <c r="C721" i="4" s="1"/>
  <c r="Q679" i="2"/>
  <c r="R679" i="2" s="1"/>
  <c r="T720" i="2"/>
  <c r="C733" i="4" s="1"/>
  <c r="Q691" i="2"/>
  <c r="R691" i="2" s="1"/>
  <c r="T732" i="2"/>
  <c r="C745" i="4" s="1"/>
  <c r="Q703" i="2"/>
  <c r="R703" i="2" s="1"/>
  <c r="T744" i="2"/>
  <c r="C757" i="4" s="1"/>
  <c r="Q715" i="2"/>
  <c r="R715" i="2" s="1"/>
  <c r="T756" i="2"/>
  <c r="C769" i="4" s="1"/>
  <c r="Q727" i="2"/>
  <c r="R727" i="2" s="1"/>
  <c r="T768" i="2"/>
  <c r="C781" i="4" s="1"/>
  <c r="Q739" i="2"/>
  <c r="R739" i="2" s="1"/>
  <c r="T780" i="2"/>
  <c r="C793" i="4" s="1"/>
  <c r="Q751" i="2"/>
  <c r="R751" i="2" s="1"/>
  <c r="T792" i="2"/>
  <c r="C805" i="4" s="1"/>
  <c r="Q763" i="2"/>
  <c r="R763" i="2" s="1"/>
  <c r="T804" i="2"/>
  <c r="C817" i="4" s="1"/>
  <c r="Q775" i="2"/>
  <c r="R775" i="2" s="1"/>
  <c r="T816" i="2"/>
  <c r="C829" i="4" s="1"/>
  <c r="Q787" i="2"/>
  <c r="R787" i="2" s="1"/>
  <c r="T828" i="2"/>
  <c r="C841" i="4" s="1"/>
  <c r="Q799" i="2"/>
  <c r="R799" i="2" s="1"/>
  <c r="T840" i="2"/>
  <c r="C853" i="4" s="1"/>
  <c r="Q811" i="2"/>
  <c r="R811" i="2" s="1"/>
  <c r="T852" i="2"/>
  <c r="C865" i="4" s="1"/>
  <c r="Q823" i="2"/>
  <c r="R823" i="2" s="1"/>
  <c r="T864" i="2"/>
  <c r="C877" i="4" s="1"/>
  <c r="Q835" i="2"/>
  <c r="R835" i="2" s="1"/>
  <c r="T876" i="2"/>
  <c r="C889" i="4" s="1"/>
  <c r="Q847" i="2"/>
  <c r="R847" i="2" s="1"/>
  <c r="T888" i="2"/>
  <c r="C901" i="4" s="1"/>
  <c r="Q859" i="2"/>
  <c r="R859" i="2" s="1"/>
  <c r="T900" i="2"/>
  <c r="C913" i="4" s="1"/>
  <c r="Q871" i="2"/>
  <c r="R871" i="2" s="1"/>
  <c r="T912" i="2"/>
  <c r="C925" i="4" s="1"/>
  <c r="Q883" i="2"/>
  <c r="R883" i="2" s="1"/>
  <c r="T924" i="2"/>
  <c r="C937" i="4" s="1"/>
  <c r="Q895" i="2"/>
  <c r="R895" i="2" s="1"/>
  <c r="T936" i="2"/>
  <c r="C949" i="4" s="1"/>
  <c r="Q907" i="2"/>
  <c r="R907" i="2" s="1"/>
  <c r="T948" i="2"/>
  <c r="C961" i="4" s="1"/>
  <c r="Q919" i="2"/>
  <c r="R919" i="2" s="1"/>
  <c r="T960" i="2"/>
  <c r="C973" i="4" s="1"/>
  <c r="Q931" i="2"/>
  <c r="R931" i="2" s="1"/>
  <c r="T972" i="2"/>
  <c r="C985" i="4" s="1"/>
  <c r="Q943" i="2"/>
  <c r="R943" i="2" s="1"/>
  <c r="T984" i="2"/>
  <c r="C997" i="4" s="1"/>
  <c r="Q955" i="2"/>
  <c r="R955" i="2" s="1"/>
  <c r="T996" i="2"/>
  <c r="C1009" i="4" s="1"/>
  <c r="Q967" i="2"/>
  <c r="R967" i="2" s="1"/>
  <c r="Q100" i="2"/>
  <c r="R100" i="2" s="1"/>
  <c r="Q160" i="2"/>
  <c r="R160" i="2" s="1"/>
  <c r="Q223" i="2"/>
  <c r="R223" i="2" s="1"/>
  <c r="T769" i="2"/>
  <c r="C782" i="4" s="1"/>
  <c r="Q740" i="2"/>
  <c r="R740" i="2" s="1"/>
  <c r="T781" i="2"/>
  <c r="C794" i="4" s="1"/>
  <c r="Q752" i="2"/>
  <c r="R752" i="2" s="1"/>
  <c r="T793" i="2"/>
  <c r="C806" i="4" s="1"/>
  <c r="Q764" i="2"/>
  <c r="R764" i="2" s="1"/>
  <c r="T805" i="2"/>
  <c r="C818" i="4" s="1"/>
  <c r="Q776" i="2"/>
  <c r="R776" i="2" s="1"/>
  <c r="T817" i="2"/>
  <c r="C830" i="4" s="1"/>
  <c r="Q788" i="2"/>
  <c r="R788" i="2" s="1"/>
  <c r="T829" i="2"/>
  <c r="C842" i="4" s="1"/>
  <c r="Q800" i="2"/>
  <c r="R800" i="2" s="1"/>
  <c r="T841" i="2"/>
  <c r="C854" i="4" s="1"/>
  <c r="Q812" i="2"/>
  <c r="R812" i="2" s="1"/>
  <c r="T853" i="2"/>
  <c r="C866" i="4" s="1"/>
  <c r="Q824" i="2"/>
  <c r="R824" i="2" s="1"/>
  <c r="T865" i="2"/>
  <c r="C878" i="4" s="1"/>
  <c r="Q836" i="2"/>
  <c r="R836" i="2" s="1"/>
  <c r="T877" i="2"/>
  <c r="C890" i="4" s="1"/>
  <c r="Q848" i="2"/>
  <c r="R848" i="2" s="1"/>
  <c r="T889" i="2"/>
  <c r="C902" i="4" s="1"/>
  <c r="Q860" i="2"/>
  <c r="R860" i="2" s="1"/>
  <c r="T901" i="2"/>
  <c r="C914" i="4" s="1"/>
  <c r="Q872" i="2"/>
  <c r="R872" i="2" s="1"/>
  <c r="T913" i="2"/>
  <c r="C926" i="4" s="1"/>
  <c r="Q884" i="2"/>
  <c r="R884" i="2" s="1"/>
  <c r="T925" i="2"/>
  <c r="C938" i="4" s="1"/>
  <c r="Q896" i="2"/>
  <c r="R896" i="2" s="1"/>
  <c r="T937" i="2"/>
  <c r="C950" i="4" s="1"/>
  <c r="Q908" i="2"/>
  <c r="R908" i="2" s="1"/>
  <c r="T949" i="2"/>
  <c r="C962" i="4" s="1"/>
  <c r="Q920" i="2"/>
  <c r="R920" i="2" s="1"/>
  <c r="T961" i="2"/>
  <c r="C974" i="4" s="1"/>
  <c r="Q932" i="2"/>
  <c r="R932" i="2" s="1"/>
  <c r="T973" i="2"/>
  <c r="C986" i="4" s="1"/>
  <c r="Q944" i="2"/>
  <c r="R944" i="2" s="1"/>
  <c r="T985" i="2"/>
  <c r="C998" i="4" s="1"/>
  <c r="Q956" i="2"/>
  <c r="R956" i="2" s="1"/>
  <c r="T997" i="2"/>
  <c r="C1010" i="4" s="1"/>
  <c r="Q968" i="2"/>
  <c r="R968" i="2" s="1"/>
  <c r="Q54" i="2"/>
  <c r="R54" i="2" s="1"/>
  <c r="Q161" i="2"/>
  <c r="R161" i="2" s="1"/>
  <c r="Q377" i="2"/>
  <c r="R377" i="2" s="1"/>
  <c r="Q701" i="2"/>
  <c r="R701" i="2" s="1"/>
  <c r="T249" i="2"/>
  <c r="C262" i="4" s="1"/>
  <c r="Q220" i="2"/>
  <c r="R220" i="2" s="1"/>
  <c r="T309" i="2"/>
  <c r="C322" i="4" s="1"/>
  <c r="Q280" i="2"/>
  <c r="R280" i="2" s="1"/>
  <c r="T357" i="2"/>
  <c r="C370" i="4" s="1"/>
  <c r="Q328" i="2"/>
  <c r="R328" i="2" s="1"/>
  <c r="T465" i="2"/>
  <c r="C478" i="4" s="1"/>
  <c r="Q436" i="2"/>
  <c r="R436" i="2" s="1"/>
  <c r="T561" i="2"/>
  <c r="C574" i="4" s="1"/>
  <c r="Q532" i="2"/>
  <c r="R532" i="2" s="1"/>
  <c r="T669" i="2"/>
  <c r="C682" i="4" s="1"/>
  <c r="Q640" i="2"/>
  <c r="R640" i="2" s="1"/>
  <c r="T741" i="2"/>
  <c r="C754" i="4" s="1"/>
  <c r="Q712" i="2"/>
  <c r="R712" i="2" s="1"/>
  <c r="T861" i="2"/>
  <c r="C874" i="4" s="1"/>
  <c r="Q832" i="2"/>
  <c r="R832" i="2" s="1"/>
  <c r="T969" i="2"/>
  <c r="C982" i="4" s="1"/>
  <c r="Q940" i="2"/>
  <c r="R940" i="2" s="1"/>
  <c r="T37" i="2"/>
  <c r="C50" i="4" s="1"/>
  <c r="T49" i="2"/>
  <c r="C62" i="4" s="1"/>
  <c r="Q20" i="2"/>
  <c r="R20" i="2" s="1"/>
  <c r="T217" i="2"/>
  <c r="C230" i="4" s="1"/>
  <c r="T685" i="2"/>
  <c r="C698" i="4" s="1"/>
  <c r="T697" i="2"/>
  <c r="C710" i="4" s="1"/>
  <c r="Q668" i="2"/>
  <c r="R668" i="2" s="1"/>
  <c r="T709" i="2"/>
  <c r="C722" i="4" s="1"/>
  <c r="Q680" i="2"/>
  <c r="R680" i="2" s="1"/>
  <c r="T721" i="2"/>
  <c r="C734" i="4" s="1"/>
  <c r="Q692" i="2"/>
  <c r="R692" i="2" s="1"/>
  <c r="T733" i="2"/>
  <c r="C746" i="4" s="1"/>
  <c r="Q704" i="2"/>
  <c r="R704" i="2" s="1"/>
  <c r="T745" i="2"/>
  <c r="C758" i="4" s="1"/>
  <c r="Q716" i="2"/>
  <c r="R716" i="2" s="1"/>
  <c r="D88" i="1"/>
  <c r="T38" i="2"/>
  <c r="C51" i="4" s="1"/>
  <c r="Q9" i="2"/>
  <c r="R9" i="2" s="1"/>
  <c r="T50" i="2"/>
  <c r="C63" i="4" s="1"/>
  <c r="T62" i="2"/>
  <c r="C75" i="4" s="1"/>
  <c r="Q33" i="2"/>
  <c r="R33" i="2" s="1"/>
  <c r="T74" i="2"/>
  <c r="C87" i="4" s="1"/>
  <c r="T86" i="2"/>
  <c r="C99" i="4" s="1"/>
  <c r="Q57" i="2"/>
  <c r="R57" i="2" s="1"/>
  <c r="T98" i="2"/>
  <c r="C111" i="4" s="1"/>
  <c r="Q69" i="2"/>
  <c r="R69" i="2" s="1"/>
  <c r="T110" i="2"/>
  <c r="C123" i="4" s="1"/>
  <c r="Q81" i="2"/>
  <c r="R81" i="2" s="1"/>
  <c r="T122" i="2"/>
  <c r="C135" i="4" s="1"/>
  <c r="T134" i="2"/>
  <c r="C147" i="4" s="1"/>
  <c r="Q105" i="2"/>
  <c r="R105" i="2" s="1"/>
  <c r="T146" i="2"/>
  <c r="C159" i="4" s="1"/>
  <c r="T158" i="2"/>
  <c r="C171" i="4" s="1"/>
  <c r="Q129" i="2"/>
  <c r="R129" i="2" s="1"/>
  <c r="T170" i="2"/>
  <c r="C183" i="4" s="1"/>
  <c r="Q141" i="2"/>
  <c r="R141" i="2" s="1"/>
  <c r="T182" i="2"/>
  <c r="C195" i="4" s="1"/>
  <c r="Q153" i="2"/>
  <c r="R153" i="2" s="1"/>
  <c r="T194" i="2"/>
  <c r="C207" i="4" s="1"/>
  <c r="Q165" i="2"/>
  <c r="R165" i="2" s="1"/>
  <c r="T206" i="2"/>
  <c r="C219" i="4" s="1"/>
  <c r="Q177" i="2"/>
  <c r="R177" i="2" s="1"/>
  <c r="T218" i="2"/>
  <c r="C231" i="4" s="1"/>
  <c r="Q189" i="2"/>
  <c r="R189" i="2" s="1"/>
  <c r="T230" i="2"/>
  <c r="C243" i="4" s="1"/>
  <c r="Q201" i="2"/>
  <c r="R201" i="2" s="1"/>
  <c r="T242" i="2"/>
  <c r="C255" i="4" s="1"/>
  <c r="Q213" i="2"/>
  <c r="R213" i="2" s="1"/>
  <c r="T254" i="2"/>
  <c r="C267" i="4" s="1"/>
  <c r="Q225" i="2"/>
  <c r="R225" i="2" s="1"/>
  <c r="T266" i="2"/>
  <c r="C279" i="4" s="1"/>
  <c r="Q237" i="2"/>
  <c r="R237" i="2" s="1"/>
  <c r="T278" i="2"/>
  <c r="C291" i="4" s="1"/>
  <c r="Q249" i="2"/>
  <c r="R249" i="2" s="1"/>
  <c r="T290" i="2"/>
  <c r="C303" i="4" s="1"/>
  <c r="Q261" i="2"/>
  <c r="R261" i="2" s="1"/>
  <c r="T302" i="2"/>
  <c r="C315" i="4" s="1"/>
  <c r="T314" i="2"/>
  <c r="C327" i="4" s="1"/>
  <c r="Q285" i="2"/>
  <c r="R285" i="2" s="1"/>
  <c r="T326" i="2"/>
  <c r="C339" i="4" s="1"/>
  <c r="T338" i="2"/>
  <c r="C351" i="4" s="1"/>
  <c r="Q309" i="2"/>
  <c r="R309" i="2" s="1"/>
  <c r="T350" i="2"/>
  <c r="C363" i="4" s="1"/>
  <c r="Q321" i="2"/>
  <c r="R321" i="2" s="1"/>
  <c r="T362" i="2"/>
  <c r="C375" i="4" s="1"/>
  <c r="Q333" i="2"/>
  <c r="R333" i="2" s="1"/>
  <c r="T374" i="2"/>
  <c r="C387" i="4" s="1"/>
  <c r="Q345" i="2"/>
  <c r="R345" i="2" s="1"/>
  <c r="T386" i="2"/>
  <c r="C399" i="4" s="1"/>
  <c r="Q357" i="2"/>
  <c r="R357" i="2" s="1"/>
  <c r="T398" i="2"/>
  <c r="C411" i="4" s="1"/>
  <c r="T410" i="2"/>
  <c r="C423" i="4" s="1"/>
  <c r="Q381" i="2"/>
  <c r="R381" i="2" s="1"/>
  <c r="T422" i="2"/>
  <c r="C435" i="4" s="1"/>
  <c r="Q393" i="2"/>
  <c r="R393" i="2" s="1"/>
  <c r="T434" i="2"/>
  <c r="C447" i="4" s="1"/>
  <c r="T446" i="2"/>
  <c r="C459" i="4" s="1"/>
  <c r="T458" i="2"/>
  <c r="C471" i="4" s="1"/>
  <c r="Q429" i="2"/>
  <c r="R429" i="2" s="1"/>
  <c r="T470" i="2"/>
  <c r="C483" i="4" s="1"/>
  <c r="Q441" i="2"/>
  <c r="R441" i="2" s="1"/>
  <c r="T482" i="2"/>
  <c r="C495" i="4" s="1"/>
  <c r="Q453" i="2"/>
  <c r="R453" i="2" s="1"/>
  <c r="T494" i="2"/>
  <c r="C507" i="4" s="1"/>
  <c r="Q465" i="2"/>
  <c r="R465" i="2" s="1"/>
  <c r="T506" i="2"/>
  <c r="C519" i="4" s="1"/>
  <c r="Q477" i="2"/>
  <c r="R477" i="2" s="1"/>
  <c r="T518" i="2"/>
  <c r="C531" i="4" s="1"/>
  <c r="Q489" i="2"/>
  <c r="R489" i="2" s="1"/>
  <c r="T530" i="2"/>
  <c r="C543" i="4" s="1"/>
  <c r="Q501" i="2"/>
  <c r="R501" i="2" s="1"/>
  <c r="T542" i="2"/>
  <c r="C555" i="4" s="1"/>
  <c r="Q513" i="2"/>
  <c r="R513" i="2" s="1"/>
  <c r="T554" i="2"/>
  <c r="C567" i="4" s="1"/>
  <c r="Q525" i="2"/>
  <c r="R525" i="2" s="1"/>
  <c r="T566" i="2"/>
  <c r="C579" i="4" s="1"/>
  <c r="Q537" i="2"/>
  <c r="R537" i="2" s="1"/>
  <c r="T578" i="2"/>
  <c r="C591" i="4" s="1"/>
  <c r="Q549" i="2"/>
  <c r="R549" i="2" s="1"/>
  <c r="T590" i="2"/>
  <c r="C603" i="4" s="1"/>
  <c r="Q561" i="2"/>
  <c r="R561" i="2" s="1"/>
  <c r="T602" i="2"/>
  <c r="C615" i="4" s="1"/>
  <c r="Q573" i="2"/>
  <c r="R573" i="2" s="1"/>
  <c r="T614" i="2"/>
  <c r="C627" i="4" s="1"/>
  <c r="Q585" i="2"/>
  <c r="R585" i="2" s="1"/>
  <c r="T626" i="2"/>
  <c r="C639" i="4" s="1"/>
  <c r="Q597" i="2"/>
  <c r="R597" i="2" s="1"/>
  <c r="T638" i="2"/>
  <c r="C651" i="4" s="1"/>
  <c r="Q609" i="2"/>
  <c r="R609" i="2" s="1"/>
  <c r="T650" i="2"/>
  <c r="C663" i="4" s="1"/>
  <c r="Q621" i="2"/>
  <c r="R621" i="2" s="1"/>
  <c r="T662" i="2"/>
  <c r="C675" i="4" s="1"/>
  <c r="Q633" i="2"/>
  <c r="R633" i="2" s="1"/>
  <c r="T674" i="2"/>
  <c r="C687" i="4" s="1"/>
  <c r="Q645" i="2"/>
  <c r="R645" i="2" s="1"/>
  <c r="T686" i="2"/>
  <c r="C699" i="4" s="1"/>
  <c r="Q657" i="2"/>
  <c r="R657" i="2" s="1"/>
  <c r="T698" i="2"/>
  <c r="C711" i="4" s="1"/>
  <c r="Q669" i="2"/>
  <c r="R669" i="2" s="1"/>
  <c r="T710" i="2"/>
  <c r="C723" i="4" s="1"/>
  <c r="Q681" i="2"/>
  <c r="R681" i="2" s="1"/>
  <c r="T722" i="2"/>
  <c r="C735" i="4" s="1"/>
  <c r="Q693" i="2"/>
  <c r="R693" i="2" s="1"/>
  <c r="T734" i="2"/>
  <c r="C747" i="4" s="1"/>
  <c r="Q705" i="2"/>
  <c r="R705" i="2" s="1"/>
  <c r="T746" i="2"/>
  <c r="C759" i="4" s="1"/>
  <c r="Q717" i="2"/>
  <c r="R717" i="2" s="1"/>
  <c r="T758" i="2"/>
  <c r="C771" i="4" s="1"/>
  <c r="T770" i="2"/>
  <c r="C783" i="4" s="1"/>
  <c r="Q741" i="2"/>
  <c r="R741" i="2" s="1"/>
  <c r="T782" i="2"/>
  <c r="C795" i="4" s="1"/>
  <c r="Q753" i="2"/>
  <c r="R753" i="2" s="1"/>
  <c r="T794" i="2"/>
  <c r="C807" i="4" s="1"/>
  <c r="Q765" i="2"/>
  <c r="R765" i="2" s="1"/>
  <c r="T806" i="2"/>
  <c r="C819" i="4" s="1"/>
  <c r="Q777" i="2"/>
  <c r="R777" i="2" s="1"/>
  <c r="T818" i="2"/>
  <c r="C831" i="4" s="1"/>
  <c r="Q789" i="2"/>
  <c r="R789" i="2" s="1"/>
  <c r="T830" i="2"/>
  <c r="C843" i="4" s="1"/>
  <c r="Q801" i="2"/>
  <c r="R801" i="2" s="1"/>
  <c r="T842" i="2"/>
  <c r="C855" i="4" s="1"/>
  <c r="Q813" i="2"/>
  <c r="R813" i="2" s="1"/>
  <c r="T854" i="2"/>
  <c r="C867" i="4" s="1"/>
  <c r="Q825" i="2"/>
  <c r="R825" i="2" s="1"/>
  <c r="T866" i="2"/>
  <c r="C879" i="4" s="1"/>
  <c r="Q837" i="2"/>
  <c r="R837" i="2" s="1"/>
  <c r="T878" i="2"/>
  <c r="C891" i="4" s="1"/>
  <c r="T890" i="2"/>
  <c r="C903" i="4" s="1"/>
  <c r="Q861" i="2"/>
  <c r="R861" i="2" s="1"/>
  <c r="T902" i="2"/>
  <c r="C915" i="4" s="1"/>
  <c r="Q873" i="2"/>
  <c r="R873" i="2" s="1"/>
  <c r="T914" i="2"/>
  <c r="C927" i="4" s="1"/>
  <c r="T926" i="2"/>
  <c r="C939" i="4" s="1"/>
  <c r="Q897" i="2"/>
  <c r="R897" i="2" s="1"/>
  <c r="T938" i="2"/>
  <c r="C951" i="4" s="1"/>
  <c r="Q909" i="2"/>
  <c r="R909" i="2" s="1"/>
  <c r="T950" i="2"/>
  <c r="C963" i="4" s="1"/>
  <c r="Q921" i="2"/>
  <c r="R921" i="2" s="1"/>
  <c r="T962" i="2"/>
  <c r="C975" i="4" s="1"/>
  <c r="Q933" i="2"/>
  <c r="R933" i="2" s="1"/>
  <c r="T974" i="2"/>
  <c r="C987" i="4" s="1"/>
  <c r="Q945" i="2"/>
  <c r="R945" i="2" s="1"/>
  <c r="T986" i="2"/>
  <c r="C999" i="4" s="1"/>
  <c r="Q957" i="2"/>
  <c r="R957" i="2" s="1"/>
  <c r="T998" i="2"/>
  <c r="C1011" i="4" s="1"/>
  <c r="Q113" i="2"/>
  <c r="R113" i="2" s="1"/>
  <c r="Q304" i="2"/>
  <c r="R304" i="2" s="1"/>
  <c r="Q604" i="2"/>
  <c r="R604" i="2" s="1"/>
  <c r="T489" i="2"/>
  <c r="C502" i="4" s="1"/>
  <c r="Q460" i="2"/>
  <c r="R460" i="2" s="1"/>
  <c r="T621" i="2"/>
  <c r="C634" i="4" s="1"/>
  <c r="Q592" i="2"/>
  <c r="R592" i="2" s="1"/>
  <c r="T765" i="2"/>
  <c r="C778" i="4" s="1"/>
  <c r="Q736" i="2"/>
  <c r="R736" i="2" s="1"/>
  <c r="T897" i="2"/>
  <c r="C910" i="4" s="1"/>
  <c r="Q868" i="2"/>
  <c r="R868" i="2" s="1"/>
  <c r="T61" i="2"/>
  <c r="C74" i="4" s="1"/>
  <c r="T253" i="2"/>
  <c r="C266" i="4" s="1"/>
  <c r="T265" i="2"/>
  <c r="C278" i="4" s="1"/>
  <c r="Q236" i="2"/>
  <c r="R236" i="2" s="1"/>
  <c r="T289" i="2"/>
  <c r="C302" i="4" s="1"/>
  <c r="Q260" i="2"/>
  <c r="R260" i="2" s="1"/>
  <c r="T325" i="2"/>
  <c r="C338" i="4" s="1"/>
  <c r="Q296" i="2"/>
  <c r="R296" i="2" s="1"/>
  <c r="T361" i="2"/>
  <c r="C374" i="4" s="1"/>
  <c r="Q332" i="2"/>
  <c r="R332" i="2" s="1"/>
  <c r="T385" i="2"/>
  <c r="C398" i="4" s="1"/>
  <c r="Q356" i="2"/>
  <c r="R356" i="2" s="1"/>
  <c r="T409" i="2"/>
  <c r="C422" i="4" s="1"/>
  <c r="Q380" i="2"/>
  <c r="R380" i="2" s="1"/>
  <c r="T433" i="2"/>
  <c r="C446" i="4" s="1"/>
  <c r="Q404" i="2"/>
  <c r="R404" i="2" s="1"/>
  <c r="T445" i="2"/>
  <c r="C458" i="4" s="1"/>
  <c r="Q416" i="2"/>
  <c r="R416" i="2" s="1"/>
  <c r="T469" i="2"/>
  <c r="C482" i="4" s="1"/>
  <c r="Q440" i="2"/>
  <c r="R440" i="2" s="1"/>
  <c r="T481" i="2"/>
  <c r="C494" i="4" s="1"/>
  <c r="Q452" i="2"/>
  <c r="R452" i="2" s="1"/>
  <c r="T505" i="2"/>
  <c r="C518" i="4" s="1"/>
  <c r="Q476" i="2"/>
  <c r="R476" i="2" s="1"/>
  <c r="T517" i="2"/>
  <c r="C530" i="4" s="1"/>
  <c r="Q488" i="2"/>
  <c r="R488" i="2" s="1"/>
  <c r="T529" i="2"/>
  <c r="C542" i="4" s="1"/>
  <c r="Q500" i="2"/>
  <c r="R500" i="2" s="1"/>
  <c r="T541" i="2"/>
  <c r="C554" i="4" s="1"/>
  <c r="Q512" i="2"/>
  <c r="R512" i="2" s="1"/>
  <c r="T553" i="2"/>
  <c r="C566" i="4" s="1"/>
  <c r="Q524" i="2"/>
  <c r="R524" i="2" s="1"/>
  <c r="T565" i="2"/>
  <c r="C578" i="4" s="1"/>
  <c r="Q536" i="2"/>
  <c r="R536" i="2" s="1"/>
  <c r="T577" i="2"/>
  <c r="C590" i="4" s="1"/>
  <c r="Q548" i="2"/>
  <c r="R548" i="2" s="1"/>
  <c r="T589" i="2"/>
  <c r="C602" i="4" s="1"/>
  <c r="Q560" i="2"/>
  <c r="R560" i="2" s="1"/>
  <c r="T601" i="2"/>
  <c r="C614" i="4" s="1"/>
  <c r="Q572" i="2"/>
  <c r="R572" i="2" s="1"/>
  <c r="T625" i="2"/>
  <c r="C638" i="4" s="1"/>
  <c r="Q596" i="2"/>
  <c r="R596" i="2" s="1"/>
  <c r="T661" i="2"/>
  <c r="C674" i="4" s="1"/>
  <c r="Q632" i="2"/>
  <c r="R632" i="2" s="1"/>
  <c r="T219" i="2"/>
  <c r="C232" i="4" s="1"/>
  <c r="T231" i="2"/>
  <c r="C244" i="4" s="1"/>
  <c r="Q202" i="2"/>
  <c r="R202" i="2" s="1"/>
  <c r="T243" i="2"/>
  <c r="C256" i="4" s="1"/>
  <c r="Q214" i="2"/>
  <c r="R214" i="2" s="1"/>
  <c r="T255" i="2"/>
  <c r="C268" i="4" s="1"/>
  <c r="Q226" i="2"/>
  <c r="R226" i="2" s="1"/>
  <c r="T267" i="2"/>
  <c r="C280" i="4" s="1"/>
  <c r="Q238" i="2"/>
  <c r="R238" i="2" s="1"/>
  <c r="T279" i="2"/>
  <c r="C292" i="4" s="1"/>
  <c r="Q250" i="2"/>
  <c r="R250" i="2" s="1"/>
  <c r="T291" i="2"/>
  <c r="C304" i="4" s="1"/>
  <c r="Q262" i="2"/>
  <c r="R262" i="2" s="1"/>
  <c r="T303" i="2"/>
  <c r="C316" i="4" s="1"/>
  <c r="Q274" i="2"/>
  <c r="R274" i="2" s="1"/>
  <c r="T315" i="2"/>
  <c r="C328" i="4" s="1"/>
  <c r="Q286" i="2"/>
  <c r="R286" i="2" s="1"/>
  <c r="T327" i="2"/>
  <c r="C340" i="4" s="1"/>
  <c r="Q298" i="2"/>
  <c r="R298" i="2" s="1"/>
  <c r="T807" i="2"/>
  <c r="C820" i="4" s="1"/>
  <c r="T879" i="2"/>
  <c r="C892" i="4" s="1"/>
  <c r="Q850" i="2"/>
  <c r="R850" i="2" s="1"/>
  <c r="T261" i="2"/>
  <c r="C274" i="4" s="1"/>
  <c r="Q232" i="2"/>
  <c r="R232" i="2" s="1"/>
  <c r="T321" i="2"/>
  <c r="C334" i="4" s="1"/>
  <c r="Q292" i="2"/>
  <c r="R292" i="2" s="1"/>
  <c r="T405" i="2"/>
  <c r="C418" i="4" s="1"/>
  <c r="Q376" i="2"/>
  <c r="R376" i="2" s="1"/>
  <c r="T453" i="2"/>
  <c r="C466" i="4" s="1"/>
  <c r="Q424" i="2"/>
  <c r="R424" i="2" s="1"/>
  <c r="T549" i="2"/>
  <c r="C562" i="4" s="1"/>
  <c r="Q520" i="2"/>
  <c r="R520" i="2" s="1"/>
  <c r="T657" i="2"/>
  <c r="C670" i="4" s="1"/>
  <c r="Q628" i="2"/>
  <c r="R628" i="2" s="1"/>
  <c r="T753" i="2"/>
  <c r="C766" i="4" s="1"/>
  <c r="Q724" i="2"/>
  <c r="R724" i="2" s="1"/>
  <c r="T873" i="2"/>
  <c r="C886" i="4" s="1"/>
  <c r="Q844" i="2"/>
  <c r="R844" i="2" s="1"/>
  <c r="T957" i="2"/>
  <c r="C970" i="4" s="1"/>
  <c r="Q928" i="2"/>
  <c r="R928" i="2" s="1"/>
  <c r="T73" i="2"/>
  <c r="C86" i="4" s="1"/>
  <c r="T85" i="2"/>
  <c r="C98" i="4" s="1"/>
  <c r="Q56" i="2"/>
  <c r="R56" i="2" s="1"/>
  <c r="T301" i="2"/>
  <c r="C314" i="4" s="1"/>
  <c r="T313" i="2"/>
  <c r="C326" i="4" s="1"/>
  <c r="Q284" i="2"/>
  <c r="R284" i="2" s="1"/>
  <c r="T349" i="2"/>
  <c r="C362" i="4" s="1"/>
  <c r="Q320" i="2"/>
  <c r="R320" i="2" s="1"/>
  <c r="T373" i="2"/>
  <c r="C386" i="4" s="1"/>
  <c r="Q344" i="2"/>
  <c r="R344" i="2" s="1"/>
  <c r="T397" i="2"/>
  <c r="C410" i="4" s="1"/>
  <c r="Q368" i="2"/>
  <c r="R368" i="2" s="1"/>
  <c r="T421" i="2"/>
  <c r="C434" i="4" s="1"/>
  <c r="Q392" i="2"/>
  <c r="R392" i="2" s="1"/>
  <c r="T457" i="2"/>
  <c r="C470" i="4" s="1"/>
  <c r="Q428" i="2"/>
  <c r="R428" i="2" s="1"/>
  <c r="T493" i="2"/>
  <c r="C506" i="4" s="1"/>
  <c r="Q464" i="2"/>
  <c r="R464" i="2" s="1"/>
  <c r="T613" i="2"/>
  <c r="C626" i="4" s="1"/>
  <c r="Q584" i="2"/>
  <c r="R584" i="2" s="1"/>
  <c r="T39" i="2"/>
  <c r="C52" i="4" s="1"/>
  <c r="Q10" i="2"/>
  <c r="R10" i="2" s="1"/>
  <c r="T75" i="2"/>
  <c r="C88" i="4" s="1"/>
  <c r="Q46" i="2"/>
  <c r="R46" i="2" s="1"/>
  <c r="T111" i="2"/>
  <c r="C124" i="4" s="1"/>
  <c r="Q82" i="2"/>
  <c r="R82" i="2" s="1"/>
  <c r="T123" i="2"/>
  <c r="C136" i="4" s="1"/>
  <c r="Q94" i="2"/>
  <c r="R94" i="2" s="1"/>
  <c r="T135" i="2"/>
  <c r="C148" i="4" s="1"/>
  <c r="Q106" i="2"/>
  <c r="R106" i="2" s="1"/>
  <c r="T159" i="2"/>
  <c r="C172" i="4" s="1"/>
  <c r="Q130" i="2"/>
  <c r="R130" i="2" s="1"/>
  <c r="T171" i="2"/>
  <c r="C184" i="4" s="1"/>
  <c r="Q142" i="2"/>
  <c r="R142" i="2" s="1"/>
  <c r="T183" i="2"/>
  <c r="C196" i="4" s="1"/>
  <c r="Q154" i="2"/>
  <c r="R154" i="2" s="1"/>
  <c r="T495" i="2"/>
  <c r="C508" i="4" s="1"/>
  <c r="T519" i="2"/>
  <c r="C532" i="4" s="1"/>
  <c r="Q490" i="2"/>
  <c r="R490" i="2" s="1"/>
  <c r="T531" i="2"/>
  <c r="C544" i="4" s="1"/>
  <c r="Q502" i="2"/>
  <c r="R502" i="2" s="1"/>
  <c r="T579" i="2"/>
  <c r="C592" i="4" s="1"/>
  <c r="Q550" i="2"/>
  <c r="R550" i="2" s="1"/>
  <c r="T711" i="2"/>
  <c r="C724" i="4" s="1"/>
  <c r="T735" i="2"/>
  <c r="C748" i="4" s="1"/>
  <c r="Q706" i="2"/>
  <c r="R706" i="2" s="1"/>
  <c r="T759" i="2"/>
  <c r="C772" i="4" s="1"/>
  <c r="Q730" i="2"/>
  <c r="R730" i="2" s="1"/>
  <c r="T783" i="2"/>
  <c r="C796" i="4" s="1"/>
  <c r="Q754" i="2"/>
  <c r="R754" i="2" s="1"/>
  <c r="T819" i="2"/>
  <c r="C832" i="4" s="1"/>
  <c r="Q790" i="2"/>
  <c r="R790" i="2" s="1"/>
  <c r="T855" i="2"/>
  <c r="C868" i="4" s="1"/>
  <c r="Q826" i="2"/>
  <c r="R826" i="2" s="1"/>
  <c r="T903" i="2"/>
  <c r="C916" i="4" s="1"/>
  <c r="Q874" i="2"/>
  <c r="R874" i="2" s="1"/>
  <c r="T951" i="2"/>
  <c r="C964" i="4" s="1"/>
  <c r="Q922" i="2"/>
  <c r="R922" i="2" s="1"/>
  <c r="T999" i="2"/>
  <c r="C1012" i="4" s="1"/>
  <c r="Q970" i="2"/>
  <c r="R970" i="2" s="1"/>
  <c r="D65" i="1"/>
  <c r="D77" i="1"/>
  <c r="D81" i="1"/>
  <c r="T40" i="2"/>
  <c r="C53" i="4" s="1"/>
  <c r="Q11" i="2"/>
  <c r="R11" i="2" s="1"/>
  <c r="T52" i="2"/>
  <c r="C65" i="4" s="1"/>
  <c r="Q23" i="2"/>
  <c r="R23" i="2" s="1"/>
  <c r="T64" i="2"/>
  <c r="C77" i="4" s="1"/>
  <c r="Q35" i="2"/>
  <c r="R35" i="2" s="1"/>
  <c r="E17" i="5" s="1"/>
  <c r="T76" i="2"/>
  <c r="C89" i="4" s="1"/>
  <c r="T88" i="2"/>
  <c r="C101" i="4" s="1"/>
  <c r="Q59" i="2"/>
  <c r="R59" i="2" s="1"/>
  <c r="T100" i="2"/>
  <c r="C113" i="4" s="1"/>
  <c r="Q71" i="2"/>
  <c r="R71" i="2" s="1"/>
  <c r="T112" i="2"/>
  <c r="C125" i="4" s="1"/>
  <c r="Q83" i="2"/>
  <c r="R83" i="2" s="1"/>
  <c r="T124" i="2"/>
  <c r="C137" i="4" s="1"/>
  <c r="Q95" i="2"/>
  <c r="R95" i="2" s="1"/>
  <c r="T136" i="2"/>
  <c r="C149" i="4" s="1"/>
  <c r="Q107" i="2"/>
  <c r="R107" i="2" s="1"/>
  <c r="T148" i="2"/>
  <c r="C161" i="4" s="1"/>
  <c r="Q119" i="2"/>
  <c r="R119" i="2" s="1"/>
  <c r="T160" i="2"/>
  <c r="C173" i="4" s="1"/>
  <c r="Q131" i="2"/>
  <c r="R131" i="2" s="1"/>
  <c r="T172" i="2"/>
  <c r="C185" i="4" s="1"/>
  <c r="Q143" i="2"/>
  <c r="R143" i="2" s="1"/>
  <c r="T184" i="2"/>
  <c r="C197" i="4" s="1"/>
  <c r="Q155" i="2"/>
  <c r="R155" i="2" s="1"/>
  <c r="T196" i="2"/>
  <c r="C209" i="4" s="1"/>
  <c r="T208" i="2"/>
  <c r="C221" i="4" s="1"/>
  <c r="Q179" i="2"/>
  <c r="R179" i="2" s="1"/>
  <c r="T220" i="2"/>
  <c r="C233" i="4" s="1"/>
  <c r="Q191" i="2"/>
  <c r="R191" i="2" s="1"/>
  <c r="T232" i="2"/>
  <c r="C245" i="4" s="1"/>
  <c r="Q203" i="2"/>
  <c r="R203" i="2" s="1"/>
  <c r="T244" i="2"/>
  <c r="C257" i="4" s="1"/>
  <c r="T256" i="2"/>
  <c r="C269" i="4" s="1"/>
  <c r="Q227" i="2"/>
  <c r="R227" i="2" s="1"/>
  <c r="T268" i="2"/>
  <c r="C281" i="4" s="1"/>
  <c r="T280" i="2"/>
  <c r="C293" i="4" s="1"/>
  <c r="Q251" i="2"/>
  <c r="R251" i="2" s="1"/>
  <c r="T292" i="2"/>
  <c r="C305" i="4" s="1"/>
  <c r="Q263" i="2"/>
  <c r="R263" i="2" s="1"/>
  <c r="T304" i="2"/>
  <c r="C317" i="4" s="1"/>
  <c r="Q275" i="2"/>
  <c r="R275" i="2" s="1"/>
  <c r="T316" i="2"/>
  <c r="C329" i="4" s="1"/>
  <c r="Q287" i="2"/>
  <c r="R287" i="2" s="1"/>
  <c r="T328" i="2"/>
  <c r="C341" i="4" s="1"/>
  <c r="T340" i="2"/>
  <c r="C353" i="4" s="1"/>
  <c r="Q311" i="2"/>
  <c r="R311" i="2" s="1"/>
  <c r="T352" i="2"/>
  <c r="C365" i="4" s="1"/>
  <c r="Q323" i="2"/>
  <c r="R323" i="2" s="1"/>
  <c r="T364" i="2"/>
  <c r="C377" i="4" s="1"/>
  <c r="T376" i="2"/>
  <c r="C389" i="4" s="1"/>
  <c r="Q347" i="2"/>
  <c r="R347" i="2" s="1"/>
  <c r="T388" i="2"/>
  <c r="C401" i="4" s="1"/>
  <c r="Q359" i="2"/>
  <c r="R359" i="2" s="1"/>
  <c r="T400" i="2"/>
  <c r="C413" i="4" s="1"/>
  <c r="Q371" i="2"/>
  <c r="R371" i="2" s="1"/>
  <c r="T412" i="2"/>
  <c r="C425" i="4" s="1"/>
  <c r="Q383" i="2"/>
  <c r="R383" i="2" s="1"/>
  <c r="T424" i="2"/>
  <c r="C437" i="4" s="1"/>
  <c r="Q395" i="2"/>
  <c r="R395" i="2" s="1"/>
  <c r="T436" i="2"/>
  <c r="C449" i="4" s="1"/>
  <c r="Q407" i="2"/>
  <c r="R407" i="2" s="1"/>
  <c r="T448" i="2"/>
  <c r="C461" i="4" s="1"/>
  <c r="Q419" i="2"/>
  <c r="R419" i="2" s="1"/>
  <c r="T460" i="2"/>
  <c r="C473" i="4" s="1"/>
  <c r="Q431" i="2"/>
  <c r="R431" i="2" s="1"/>
  <c r="T472" i="2"/>
  <c r="C485" i="4" s="1"/>
  <c r="Q443" i="2"/>
  <c r="R443" i="2" s="1"/>
  <c r="T484" i="2"/>
  <c r="C497" i="4" s="1"/>
  <c r="Q455" i="2"/>
  <c r="R455" i="2" s="1"/>
  <c r="T496" i="2"/>
  <c r="C509" i="4" s="1"/>
  <c r="Q467" i="2"/>
  <c r="R467" i="2" s="1"/>
  <c r="T508" i="2"/>
  <c r="C521" i="4" s="1"/>
  <c r="Q479" i="2"/>
  <c r="R479" i="2" s="1"/>
  <c r="T520" i="2"/>
  <c r="C533" i="4" s="1"/>
  <c r="Q491" i="2"/>
  <c r="R491" i="2" s="1"/>
  <c r="T532" i="2"/>
  <c r="C545" i="4" s="1"/>
  <c r="Q503" i="2"/>
  <c r="R503" i="2" s="1"/>
  <c r="T544" i="2"/>
  <c r="C557" i="4" s="1"/>
  <c r="Q515" i="2"/>
  <c r="R515" i="2" s="1"/>
  <c r="T556" i="2"/>
  <c r="C569" i="4" s="1"/>
  <c r="Q527" i="2"/>
  <c r="R527" i="2" s="1"/>
  <c r="T568" i="2"/>
  <c r="C581" i="4" s="1"/>
  <c r="Q539" i="2"/>
  <c r="R539" i="2" s="1"/>
  <c r="T580" i="2"/>
  <c r="C593" i="4" s="1"/>
  <c r="Q551" i="2"/>
  <c r="R551" i="2" s="1"/>
  <c r="T592" i="2"/>
  <c r="C605" i="4" s="1"/>
  <c r="Q563" i="2"/>
  <c r="R563" i="2" s="1"/>
  <c r="T604" i="2"/>
  <c r="C617" i="4" s="1"/>
  <c r="Q575" i="2"/>
  <c r="R575" i="2" s="1"/>
  <c r="T616" i="2"/>
  <c r="C629" i="4" s="1"/>
  <c r="Q587" i="2"/>
  <c r="R587" i="2" s="1"/>
  <c r="T628" i="2"/>
  <c r="C641" i="4" s="1"/>
  <c r="Q599" i="2"/>
  <c r="R599" i="2" s="1"/>
  <c r="T640" i="2"/>
  <c r="C653" i="4" s="1"/>
  <c r="Q611" i="2"/>
  <c r="R611" i="2" s="1"/>
  <c r="T652" i="2"/>
  <c r="C665" i="4" s="1"/>
  <c r="Q623" i="2"/>
  <c r="R623" i="2" s="1"/>
  <c r="T664" i="2"/>
  <c r="C677" i="4" s="1"/>
  <c r="T676" i="2"/>
  <c r="C689" i="4" s="1"/>
  <c r="Q647" i="2"/>
  <c r="R647" i="2" s="1"/>
  <c r="T688" i="2"/>
  <c r="C701" i="4" s="1"/>
  <c r="Q659" i="2"/>
  <c r="R659" i="2" s="1"/>
  <c r="T700" i="2"/>
  <c r="C713" i="4" s="1"/>
  <c r="Q671" i="2"/>
  <c r="R671" i="2" s="1"/>
  <c r="T712" i="2"/>
  <c r="C725" i="4" s="1"/>
  <c r="T724" i="2"/>
  <c r="C737" i="4" s="1"/>
  <c r="Q695" i="2"/>
  <c r="R695" i="2" s="1"/>
  <c r="T736" i="2"/>
  <c r="C749" i="4" s="1"/>
  <c r="Q707" i="2"/>
  <c r="R707" i="2" s="1"/>
  <c r="T748" i="2"/>
  <c r="C761" i="4" s="1"/>
  <c r="Q719" i="2"/>
  <c r="R719" i="2" s="1"/>
  <c r="T760" i="2"/>
  <c r="C773" i="4" s="1"/>
  <c r="Q731" i="2"/>
  <c r="R731" i="2" s="1"/>
  <c r="T772" i="2"/>
  <c r="C785" i="4" s="1"/>
  <c r="Q743" i="2"/>
  <c r="R743" i="2" s="1"/>
  <c r="T784" i="2"/>
  <c r="C797" i="4" s="1"/>
  <c r="Q755" i="2"/>
  <c r="R755" i="2" s="1"/>
  <c r="T796" i="2"/>
  <c r="C809" i="4" s="1"/>
  <c r="Q767" i="2"/>
  <c r="R767" i="2" s="1"/>
  <c r="T808" i="2"/>
  <c r="C821" i="4" s="1"/>
  <c r="T820" i="2"/>
  <c r="C833" i="4" s="1"/>
  <c r="Q791" i="2"/>
  <c r="R791" i="2" s="1"/>
  <c r="T832" i="2"/>
  <c r="C845" i="4" s="1"/>
  <c r="Q803" i="2"/>
  <c r="R803" i="2" s="1"/>
  <c r="T844" i="2"/>
  <c r="C857" i="4" s="1"/>
  <c r="Q815" i="2"/>
  <c r="R815" i="2" s="1"/>
  <c r="T856" i="2"/>
  <c r="C869" i="4" s="1"/>
  <c r="Q827" i="2"/>
  <c r="R827" i="2" s="1"/>
  <c r="T868" i="2"/>
  <c r="C881" i="4" s="1"/>
  <c r="Q839" i="2"/>
  <c r="R839" i="2" s="1"/>
  <c r="T880" i="2"/>
  <c r="C893" i="4" s="1"/>
  <c r="Q851" i="2"/>
  <c r="R851" i="2" s="1"/>
  <c r="T892" i="2"/>
  <c r="C905" i="4" s="1"/>
  <c r="Q863" i="2"/>
  <c r="R863" i="2" s="1"/>
  <c r="T904" i="2"/>
  <c r="C917" i="4" s="1"/>
  <c r="Q875" i="2"/>
  <c r="R875" i="2" s="1"/>
  <c r="T916" i="2"/>
  <c r="C929" i="4" s="1"/>
  <c r="Q887" i="2"/>
  <c r="R887" i="2" s="1"/>
  <c r="T928" i="2"/>
  <c r="C941" i="4" s="1"/>
  <c r="Q899" i="2"/>
  <c r="R899" i="2" s="1"/>
  <c r="T940" i="2"/>
  <c r="C953" i="4" s="1"/>
  <c r="Q911" i="2"/>
  <c r="R911" i="2" s="1"/>
  <c r="T952" i="2"/>
  <c r="C965" i="4" s="1"/>
  <c r="Q923" i="2"/>
  <c r="R923" i="2" s="1"/>
  <c r="T964" i="2"/>
  <c r="C977" i="4" s="1"/>
  <c r="Q935" i="2"/>
  <c r="R935" i="2" s="1"/>
  <c r="T976" i="2"/>
  <c r="C989" i="4" s="1"/>
  <c r="Q947" i="2"/>
  <c r="R947" i="2" s="1"/>
  <c r="T988" i="2"/>
  <c r="C1001" i="4" s="1"/>
  <c r="Q959" i="2"/>
  <c r="R959" i="2" s="1"/>
  <c r="T1000" i="2"/>
  <c r="C1013" i="4" s="1"/>
  <c r="Q971" i="2"/>
  <c r="R971" i="2" s="1"/>
  <c r="Q184" i="2"/>
  <c r="R184" i="2" s="1"/>
  <c r="Q244" i="2"/>
  <c r="R244" i="2" s="1"/>
  <c r="Q401" i="2"/>
  <c r="R401" i="2" s="1"/>
  <c r="Q510" i="2"/>
  <c r="R510" i="2" s="1"/>
  <c r="T717" i="2"/>
  <c r="C730" i="4" s="1"/>
  <c r="Q688" i="2"/>
  <c r="R688" i="2" s="1"/>
  <c r="T825" i="2"/>
  <c r="C838" i="4" s="1"/>
  <c r="Q796" i="2"/>
  <c r="R796" i="2" s="1"/>
  <c r="T909" i="2"/>
  <c r="C922" i="4" s="1"/>
  <c r="Q880" i="2"/>
  <c r="R880" i="2" s="1"/>
  <c r="T981" i="2"/>
  <c r="C994" i="4" s="1"/>
  <c r="Q952" i="2"/>
  <c r="R952" i="2" s="1"/>
  <c r="T97" i="2"/>
  <c r="C110" i="4" s="1"/>
  <c r="T109" i="2"/>
  <c r="C122" i="4" s="1"/>
  <c r="Q80" i="2"/>
  <c r="R80" i="2" s="1"/>
  <c r="T637" i="2"/>
  <c r="C650" i="4" s="1"/>
  <c r="T649" i="2"/>
  <c r="C662" i="4" s="1"/>
  <c r="Q620" i="2"/>
  <c r="R620" i="2" s="1"/>
  <c r="T673" i="2"/>
  <c r="C686" i="4" s="1"/>
  <c r="Q644" i="2"/>
  <c r="R644" i="2" s="1"/>
  <c r="D72" i="1"/>
  <c r="T99" i="2"/>
  <c r="C112" i="4" s="1"/>
  <c r="T195" i="2"/>
  <c r="C208" i="4" s="1"/>
  <c r="Q166" i="2"/>
  <c r="R166" i="2" s="1"/>
  <c r="T591" i="2"/>
  <c r="C604" i="4" s="1"/>
  <c r="T615" i="2"/>
  <c r="C628" i="4" s="1"/>
  <c r="Q586" i="2"/>
  <c r="R586" i="2" s="1"/>
  <c r="T627" i="2"/>
  <c r="C640" i="4" s="1"/>
  <c r="Q598" i="2"/>
  <c r="R598" i="2" s="1"/>
  <c r="T651" i="2"/>
  <c r="C664" i="4" s="1"/>
  <c r="Q622" i="2"/>
  <c r="R622" i="2" s="1"/>
  <c r="T975" i="2"/>
  <c r="C988" i="4" s="1"/>
  <c r="Q117" i="2"/>
  <c r="R117" i="2" s="1"/>
  <c r="T41" i="2"/>
  <c r="C54" i="4" s="1"/>
  <c r="T53" i="2"/>
  <c r="C66" i="4" s="1"/>
  <c r="Q24" i="2"/>
  <c r="R24" i="2" s="1"/>
  <c r="T65" i="2"/>
  <c r="C78" i="4" s="1"/>
  <c r="Q36" i="2"/>
  <c r="R36" i="2" s="1"/>
  <c r="T77" i="2"/>
  <c r="C90" i="4" s="1"/>
  <c r="Q48" i="2"/>
  <c r="R48" i="2" s="1"/>
  <c r="T89" i="2"/>
  <c r="C102" i="4" s="1"/>
  <c r="Q60" i="2"/>
  <c r="R60" i="2" s="1"/>
  <c r="T101" i="2"/>
  <c r="C114" i="4" s="1"/>
  <c r="Q72" i="2"/>
  <c r="R72" i="2" s="1"/>
  <c r="T113" i="2"/>
  <c r="C126" i="4" s="1"/>
  <c r="Q84" i="2"/>
  <c r="R84" i="2" s="1"/>
  <c r="T125" i="2"/>
  <c r="C138" i="4" s="1"/>
  <c r="Q96" i="2"/>
  <c r="R96" i="2" s="1"/>
  <c r="T137" i="2"/>
  <c r="C150" i="4" s="1"/>
  <c r="Q108" i="2"/>
  <c r="R108" i="2" s="1"/>
  <c r="T149" i="2"/>
  <c r="C162" i="4" s="1"/>
  <c r="T161" i="2"/>
  <c r="C174" i="4" s="1"/>
  <c r="Q132" i="2"/>
  <c r="R132" i="2" s="1"/>
  <c r="T173" i="2"/>
  <c r="C186" i="4" s="1"/>
  <c r="T185" i="2"/>
  <c r="C198" i="4" s="1"/>
  <c r="Q156" i="2"/>
  <c r="R156" i="2" s="1"/>
  <c r="T197" i="2"/>
  <c r="C210" i="4" s="1"/>
  <c r="Q168" i="2"/>
  <c r="R168" i="2" s="1"/>
  <c r="T209" i="2"/>
  <c r="C222" i="4" s="1"/>
  <c r="Q180" i="2"/>
  <c r="R180" i="2" s="1"/>
  <c r="T221" i="2"/>
  <c r="C234" i="4" s="1"/>
  <c r="Q192" i="2"/>
  <c r="R192" i="2" s="1"/>
  <c r="T233" i="2"/>
  <c r="C246" i="4" s="1"/>
  <c r="Q204" i="2"/>
  <c r="R204" i="2" s="1"/>
  <c r="T245" i="2"/>
  <c r="C258" i="4" s="1"/>
  <c r="Q216" i="2"/>
  <c r="R216" i="2" s="1"/>
  <c r="T257" i="2"/>
  <c r="C270" i="4" s="1"/>
  <c r="Q228" i="2"/>
  <c r="R228" i="2" s="1"/>
  <c r="T269" i="2"/>
  <c r="C282" i="4" s="1"/>
  <c r="T281" i="2"/>
  <c r="C294" i="4" s="1"/>
  <c r="T293" i="2"/>
  <c r="C306" i="4" s="1"/>
  <c r="Q264" i="2"/>
  <c r="R264" i="2" s="1"/>
  <c r="T305" i="2"/>
  <c r="C318" i="4" s="1"/>
  <c r="Q276" i="2"/>
  <c r="R276" i="2" s="1"/>
  <c r="T317" i="2"/>
  <c r="C330" i="4" s="1"/>
  <c r="Q288" i="2"/>
  <c r="R288" i="2" s="1"/>
  <c r="T329" i="2"/>
  <c r="C342" i="4" s="1"/>
  <c r="Q300" i="2"/>
  <c r="R300" i="2" s="1"/>
  <c r="T341" i="2"/>
  <c r="C354" i="4" s="1"/>
  <c r="T353" i="2"/>
  <c r="C366" i="4" s="1"/>
  <c r="Q324" i="2"/>
  <c r="R324" i="2" s="1"/>
  <c r="T365" i="2"/>
  <c r="C378" i="4" s="1"/>
  <c r="Q336" i="2"/>
  <c r="R336" i="2" s="1"/>
  <c r="T377" i="2"/>
  <c r="C390" i="4" s="1"/>
  <c r="T389" i="2"/>
  <c r="C402" i="4" s="1"/>
  <c r="Q360" i="2"/>
  <c r="R360" i="2" s="1"/>
  <c r="T401" i="2"/>
  <c r="C414" i="4" s="1"/>
  <c r="Q372" i="2"/>
  <c r="R372" i="2" s="1"/>
  <c r="T413" i="2"/>
  <c r="C426" i="4" s="1"/>
  <c r="Q384" i="2"/>
  <c r="R384" i="2" s="1"/>
  <c r="T425" i="2"/>
  <c r="C438" i="4" s="1"/>
  <c r="Q396" i="2"/>
  <c r="R396" i="2" s="1"/>
  <c r="T437" i="2"/>
  <c r="C450" i="4" s="1"/>
  <c r="Q408" i="2"/>
  <c r="R408" i="2" s="1"/>
  <c r="T449" i="2"/>
  <c r="C462" i="4" s="1"/>
  <c r="T461" i="2"/>
  <c r="C474" i="4" s="1"/>
  <c r="Q432" i="2"/>
  <c r="R432" i="2" s="1"/>
  <c r="T473" i="2"/>
  <c r="C486" i="4" s="1"/>
  <c r="Q444" i="2"/>
  <c r="R444" i="2" s="1"/>
  <c r="T485" i="2"/>
  <c r="C498" i="4" s="1"/>
  <c r="Q456" i="2"/>
  <c r="R456" i="2" s="1"/>
  <c r="T497" i="2"/>
  <c r="C510" i="4" s="1"/>
  <c r="Q468" i="2"/>
  <c r="R468" i="2" s="1"/>
  <c r="T509" i="2"/>
  <c r="C522" i="4" s="1"/>
  <c r="Q480" i="2"/>
  <c r="R480" i="2" s="1"/>
  <c r="T521" i="2"/>
  <c r="C534" i="4" s="1"/>
  <c r="T533" i="2"/>
  <c r="C546" i="4" s="1"/>
  <c r="Q504" i="2"/>
  <c r="R504" i="2" s="1"/>
  <c r="T545" i="2"/>
  <c r="C558" i="4" s="1"/>
  <c r="Q516" i="2"/>
  <c r="R516" i="2" s="1"/>
  <c r="T557" i="2"/>
  <c r="C570" i="4" s="1"/>
  <c r="Q528" i="2"/>
  <c r="R528" i="2" s="1"/>
  <c r="T569" i="2"/>
  <c r="C582" i="4" s="1"/>
  <c r="T581" i="2"/>
  <c r="C594" i="4" s="1"/>
  <c r="Q552" i="2"/>
  <c r="R552" i="2" s="1"/>
  <c r="T593" i="2"/>
  <c r="C606" i="4" s="1"/>
  <c r="Q564" i="2"/>
  <c r="R564" i="2" s="1"/>
  <c r="T605" i="2"/>
  <c r="C618" i="4" s="1"/>
  <c r="Q576" i="2"/>
  <c r="R576" i="2" s="1"/>
  <c r="T617" i="2"/>
  <c r="C630" i="4" s="1"/>
  <c r="T629" i="2"/>
  <c r="C642" i="4" s="1"/>
  <c r="Q600" i="2"/>
  <c r="R600" i="2" s="1"/>
  <c r="T641" i="2"/>
  <c r="C654" i="4" s="1"/>
  <c r="Q612" i="2"/>
  <c r="R612" i="2" s="1"/>
  <c r="T653" i="2"/>
  <c r="C666" i="4" s="1"/>
  <c r="Q624" i="2"/>
  <c r="R624" i="2" s="1"/>
  <c r="T665" i="2"/>
  <c r="C678" i="4" s="1"/>
  <c r="Q636" i="2"/>
  <c r="R636" i="2" s="1"/>
  <c r="T677" i="2"/>
  <c r="C690" i="4" s="1"/>
  <c r="Q648" i="2"/>
  <c r="R648" i="2" s="1"/>
  <c r="T689" i="2"/>
  <c r="C702" i="4" s="1"/>
  <c r="Q660" i="2"/>
  <c r="R660" i="2" s="1"/>
  <c r="T701" i="2"/>
  <c r="C714" i="4" s="1"/>
  <c r="Q672" i="2"/>
  <c r="R672" i="2" s="1"/>
  <c r="T713" i="2"/>
  <c r="C726" i="4" s="1"/>
  <c r="Q684" i="2"/>
  <c r="R684" i="2" s="1"/>
  <c r="T725" i="2"/>
  <c r="C738" i="4" s="1"/>
  <c r="Q696" i="2"/>
  <c r="R696" i="2" s="1"/>
  <c r="T737" i="2"/>
  <c r="C750" i="4" s="1"/>
  <c r="Q708" i="2"/>
  <c r="R708" i="2" s="1"/>
  <c r="T749" i="2"/>
  <c r="C762" i="4" s="1"/>
  <c r="Q720" i="2"/>
  <c r="R720" i="2" s="1"/>
  <c r="T761" i="2"/>
  <c r="C774" i="4" s="1"/>
  <c r="Q732" i="2"/>
  <c r="R732" i="2" s="1"/>
  <c r="T773" i="2"/>
  <c r="C786" i="4" s="1"/>
  <c r="Q744" i="2"/>
  <c r="R744" i="2" s="1"/>
  <c r="T785" i="2"/>
  <c r="C798" i="4" s="1"/>
  <c r="Q756" i="2"/>
  <c r="R756" i="2" s="1"/>
  <c r="T797" i="2"/>
  <c r="C810" i="4" s="1"/>
  <c r="Q768" i="2"/>
  <c r="R768" i="2" s="1"/>
  <c r="T809" i="2"/>
  <c r="C822" i="4" s="1"/>
  <c r="Q780" i="2"/>
  <c r="R780" i="2" s="1"/>
  <c r="T821" i="2"/>
  <c r="C834" i="4" s="1"/>
  <c r="Q792" i="2"/>
  <c r="R792" i="2" s="1"/>
  <c r="T833" i="2"/>
  <c r="C846" i="4" s="1"/>
  <c r="Q804" i="2"/>
  <c r="R804" i="2" s="1"/>
  <c r="T845" i="2"/>
  <c r="C858" i="4" s="1"/>
  <c r="Q816" i="2"/>
  <c r="R816" i="2" s="1"/>
  <c r="T857" i="2"/>
  <c r="C870" i="4" s="1"/>
  <c r="Q828" i="2"/>
  <c r="R828" i="2" s="1"/>
  <c r="T869" i="2"/>
  <c r="C882" i="4" s="1"/>
  <c r="Q840" i="2"/>
  <c r="R840" i="2" s="1"/>
  <c r="T881" i="2"/>
  <c r="C894" i="4" s="1"/>
  <c r="T893" i="2"/>
  <c r="C906" i="4" s="1"/>
  <c r="Q864" i="2"/>
  <c r="R864" i="2" s="1"/>
  <c r="T905" i="2"/>
  <c r="C918" i="4" s="1"/>
  <c r="Q876" i="2"/>
  <c r="R876" i="2" s="1"/>
  <c r="T917" i="2"/>
  <c r="C930" i="4" s="1"/>
  <c r="Q888" i="2"/>
  <c r="R888" i="2" s="1"/>
  <c r="T929" i="2"/>
  <c r="C942" i="4" s="1"/>
  <c r="Q900" i="2"/>
  <c r="R900" i="2" s="1"/>
  <c r="T941" i="2"/>
  <c r="C954" i="4" s="1"/>
  <c r="Q912" i="2"/>
  <c r="R912" i="2" s="1"/>
  <c r="T953" i="2"/>
  <c r="C966" i="4" s="1"/>
  <c r="Q924" i="2"/>
  <c r="R924" i="2" s="1"/>
  <c r="T965" i="2"/>
  <c r="C978" i="4" s="1"/>
  <c r="Q936" i="2"/>
  <c r="R936" i="2" s="1"/>
  <c r="T977" i="2"/>
  <c r="C990" i="4" s="1"/>
  <c r="Q948" i="2"/>
  <c r="R948" i="2" s="1"/>
  <c r="T989" i="2"/>
  <c r="C1002" i="4" s="1"/>
  <c r="Q960" i="2"/>
  <c r="R960" i="2" s="1"/>
  <c r="T1001" i="2"/>
  <c r="C1014" i="4" s="1"/>
  <c r="Q972" i="2"/>
  <c r="R972" i="2" s="1"/>
  <c r="Q984" i="2"/>
  <c r="R984" i="2" s="1"/>
  <c r="Q996" i="2"/>
  <c r="R996" i="2" s="1"/>
  <c r="Q21" i="2"/>
  <c r="R21" i="2" s="1"/>
  <c r="Q70" i="2"/>
  <c r="R70" i="2" s="1"/>
  <c r="Q188" i="2"/>
  <c r="R188" i="2" s="1"/>
  <c r="Q252" i="2"/>
  <c r="R252" i="2" s="1"/>
  <c r="Q329" i="2"/>
  <c r="R329" i="2" s="1"/>
  <c r="Q405" i="2"/>
  <c r="R405" i="2" s="1"/>
  <c r="Q635" i="2"/>
  <c r="R635" i="2" s="1"/>
  <c r="Q882" i="2"/>
  <c r="R882" i="2" s="1"/>
  <c r="T45" i="2"/>
  <c r="C58" i="4" s="1"/>
  <c r="Q16" i="2"/>
  <c r="R16" i="2" s="1"/>
  <c r="T69" i="2"/>
  <c r="C82" i="4" s="1"/>
  <c r="Q40" i="2"/>
  <c r="R40" i="2" s="1"/>
  <c r="T81" i="2"/>
  <c r="C94" i="4" s="1"/>
  <c r="Q52" i="2"/>
  <c r="R52" i="2" s="1"/>
  <c r="T93" i="2"/>
  <c r="C106" i="4" s="1"/>
  <c r="Q64" i="2"/>
  <c r="R64" i="2" s="1"/>
  <c r="T117" i="2"/>
  <c r="C130" i="4" s="1"/>
  <c r="Q88" i="2"/>
  <c r="R88" i="2" s="1"/>
  <c r="T153" i="2"/>
  <c r="C166" i="4" s="1"/>
  <c r="Q124" i="2"/>
  <c r="R124" i="2" s="1"/>
  <c r="T63" i="2"/>
  <c r="C76" i="4" s="1"/>
  <c r="Q34" i="2"/>
  <c r="R34" i="2" s="1"/>
  <c r="T411" i="2"/>
  <c r="C424" i="4" s="1"/>
  <c r="T435" i="2"/>
  <c r="C448" i="4" s="1"/>
  <c r="Q406" i="2"/>
  <c r="R406" i="2" s="1"/>
  <c r="T459" i="2"/>
  <c r="C472" i="4" s="1"/>
  <c r="Q430" i="2"/>
  <c r="R430" i="2" s="1"/>
  <c r="T507" i="2"/>
  <c r="C520" i="4" s="1"/>
  <c r="Q478" i="2"/>
  <c r="R478" i="2" s="1"/>
  <c r="T663" i="2"/>
  <c r="C676" i="4" s="1"/>
  <c r="T675" i="2"/>
  <c r="C688" i="4" s="1"/>
  <c r="Q646" i="2"/>
  <c r="R646" i="2" s="1"/>
  <c r="T687" i="2"/>
  <c r="C700" i="4" s="1"/>
  <c r="Q658" i="2"/>
  <c r="R658" i="2" s="1"/>
  <c r="T699" i="2"/>
  <c r="C712" i="4" s="1"/>
  <c r="Q670" i="2"/>
  <c r="R670" i="2" s="1"/>
  <c r="T723" i="2"/>
  <c r="C736" i="4" s="1"/>
  <c r="Q694" i="2"/>
  <c r="R694" i="2" s="1"/>
  <c r="T747" i="2"/>
  <c r="C760" i="4" s="1"/>
  <c r="Q718" i="2"/>
  <c r="R718" i="2" s="1"/>
  <c r="T771" i="2"/>
  <c r="C784" i="4" s="1"/>
  <c r="Q742" i="2"/>
  <c r="R742" i="2" s="1"/>
  <c r="T795" i="2"/>
  <c r="C808" i="4" s="1"/>
  <c r="Q766" i="2"/>
  <c r="R766" i="2" s="1"/>
  <c r="T843" i="2"/>
  <c r="C856" i="4" s="1"/>
  <c r="Q814" i="2"/>
  <c r="R814" i="2" s="1"/>
  <c r="T891" i="2"/>
  <c r="C904" i="4" s="1"/>
  <c r="Q862" i="2"/>
  <c r="R862" i="2" s="1"/>
  <c r="T927" i="2"/>
  <c r="C940" i="4" s="1"/>
  <c r="Q898" i="2"/>
  <c r="R898" i="2" s="1"/>
  <c r="Q400" i="2"/>
  <c r="R400" i="2" s="1"/>
  <c r="Q608" i="2"/>
  <c r="R608" i="2" s="1"/>
  <c r="T42" i="2"/>
  <c r="C55" i="4" s="1"/>
  <c r="Q13" i="2"/>
  <c r="R13" i="2" s="1"/>
  <c r="T54" i="2"/>
  <c r="C67" i="4" s="1"/>
  <c r="T66" i="2"/>
  <c r="C79" i="4" s="1"/>
  <c r="Q37" i="2"/>
  <c r="R37" i="2" s="1"/>
  <c r="T78" i="2"/>
  <c r="C91" i="4" s="1"/>
  <c r="Q49" i="2"/>
  <c r="R49" i="2" s="1"/>
  <c r="T90" i="2"/>
  <c r="C103" i="4" s="1"/>
  <c r="Q61" i="2"/>
  <c r="R61" i="2" s="1"/>
  <c r="T102" i="2"/>
  <c r="C115" i="4" s="1"/>
  <c r="Q73" i="2"/>
  <c r="R73" i="2" s="1"/>
  <c r="T114" i="2"/>
  <c r="C127" i="4" s="1"/>
  <c r="Q85" i="2"/>
  <c r="R85" i="2" s="1"/>
  <c r="T126" i="2"/>
  <c r="C139" i="4" s="1"/>
  <c r="T138" i="2"/>
  <c r="C151" i="4" s="1"/>
  <c r="Q109" i="2"/>
  <c r="R109" i="2" s="1"/>
  <c r="T150" i="2"/>
  <c r="C163" i="4" s="1"/>
  <c r="Q121" i="2"/>
  <c r="R121" i="2" s="1"/>
  <c r="T162" i="2"/>
  <c r="C175" i="4" s="1"/>
  <c r="T174" i="2"/>
  <c r="C187" i="4" s="1"/>
  <c r="T186" i="2"/>
  <c r="C199" i="4" s="1"/>
  <c r="Q157" i="2"/>
  <c r="R157" i="2" s="1"/>
  <c r="T198" i="2"/>
  <c r="C211" i="4" s="1"/>
  <c r="Q169" i="2"/>
  <c r="R169" i="2" s="1"/>
  <c r="T210" i="2"/>
  <c r="C223" i="4" s="1"/>
  <c r="Q181" i="2"/>
  <c r="R181" i="2" s="1"/>
  <c r="T222" i="2"/>
  <c r="C235" i="4" s="1"/>
  <c r="Q193" i="2"/>
  <c r="R193" i="2" s="1"/>
  <c r="T234" i="2"/>
  <c r="C247" i="4" s="1"/>
  <c r="Q205" i="2"/>
  <c r="R205" i="2" s="1"/>
  <c r="T246" i="2"/>
  <c r="C259" i="4" s="1"/>
  <c r="Q217" i="2"/>
  <c r="R217" i="2" s="1"/>
  <c r="T258" i="2"/>
  <c r="C271" i="4" s="1"/>
  <c r="Q229" i="2"/>
  <c r="R229" i="2" s="1"/>
  <c r="T270" i="2"/>
  <c r="C283" i="4" s="1"/>
  <c r="Q241" i="2"/>
  <c r="R241" i="2" s="1"/>
  <c r="T282" i="2"/>
  <c r="C295" i="4" s="1"/>
  <c r="T294" i="2"/>
  <c r="C307" i="4" s="1"/>
  <c r="Q265" i="2"/>
  <c r="R265" i="2" s="1"/>
  <c r="T306" i="2"/>
  <c r="C319" i="4" s="1"/>
  <c r="Q277" i="2"/>
  <c r="R277" i="2" s="1"/>
  <c r="T318" i="2"/>
  <c r="C331" i="4" s="1"/>
  <c r="Q289" i="2"/>
  <c r="R289" i="2" s="1"/>
  <c r="T330" i="2"/>
  <c r="C343" i="4" s="1"/>
  <c r="Q301" i="2"/>
  <c r="R301" i="2" s="1"/>
  <c r="T342" i="2"/>
  <c r="C355" i="4" s="1"/>
  <c r="Q313" i="2"/>
  <c r="R313" i="2" s="1"/>
  <c r="T354" i="2"/>
  <c r="C367" i="4" s="1"/>
  <c r="Q325" i="2"/>
  <c r="R325" i="2" s="1"/>
  <c r="T366" i="2"/>
  <c r="C379" i="4" s="1"/>
  <c r="Q337" i="2"/>
  <c r="R337" i="2" s="1"/>
  <c r="T378" i="2"/>
  <c r="C391" i="4" s="1"/>
  <c r="Q349" i="2"/>
  <c r="R349" i="2" s="1"/>
  <c r="T390" i="2"/>
  <c r="C403" i="4" s="1"/>
  <c r="Q361" i="2"/>
  <c r="R361" i="2" s="1"/>
  <c r="T402" i="2"/>
  <c r="C415" i="4" s="1"/>
  <c r="Q373" i="2"/>
  <c r="R373" i="2" s="1"/>
  <c r="T414" i="2"/>
  <c r="C427" i="4" s="1"/>
  <c r="Q385" i="2"/>
  <c r="R385" i="2" s="1"/>
  <c r="T426" i="2"/>
  <c r="C439" i="4" s="1"/>
  <c r="Q397" i="2"/>
  <c r="R397" i="2" s="1"/>
  <c r="T438" i="2"/>
  <c r="C451" i="4" s="1"/>
  <c r="Q409" i="2"/>
  <c r="R409" i="2" s="1"/>
  <c r="T450" i="2"/>
  <c r="C463" i="4" s="1"/>
  <c r="Q421" i="2"/>
  <c r="R421" i="2" s="1"/>
  <c r="T462" i="2"/>
  <c r="C475" i="4" s="1"/>
  <c r="Q433" i="2"/>
  <c r="R433" i="2" s="1"/>
  <c r="T474" i="2"/>
  <c r="C487" i="4" s="1"/>
  <c r="Q445" i="2"/>
  <c r="R445" i="2" s="1"/>
  <c r="T486" i="2"/>
  <c r="C499" i="4" s="1"/>
  <c r="Q457" i="2"/>
  <c r="R457" i="2" s="1"/>
  <c r="T498" i="2"/>
  <c r="C511" i="4" s="1"/>
  <c r="Q469" i="2"/>
  <c r="R469" i="2" s="1"/>
  <c r="T510" i="2"/>
  <c r="C523" i="4" s="1"/>
  <c r="Q481" i="2"/>
  <c r="R481" i="2" s="1"/>
  <c r="T522" i="2"/>
  <c r="C535" i="4" s="1"/>
  <c r="T534" i="2"/>
  <c r="C547" i="4" s="1"/>
  <c r="Q505" i="2"/>
  <c r="R505" i="2" s="1"/>
  <c r="T546" i="2"/>
  <c r="C559" i="4" s="1"/>
  <c r="Q517" i="2"/>
  <c r="R517" i="2" s="1"/>
  <c r="T558" i="2"/>
  <c r="C571" i="4" s="1"/>
  <c r="Q529" i="2"/>
  <c r="R529" i="2" s="1"/>
  <c r="T570" i="2"/>
  <c r="C583" i="4" s="1"/>
  <c r="T582" i="2"/>
  <c r="C595" i="4" s="1"/>
  <c r="Q553" i="2"/>
  <c r="R553" i="2" s="1"/>
  <c r="T594" i="2"/>
  <c r="C607" i="4" s="1"/>
  <c r="Q565" i="2"/>
  <c r="R565" i="2" s="1"/>
  <c r="T606" i="2"/>
  <c r="C619" i="4" s="1"/>
  <c r="Q577" i="2"/>
  <c r="R577" i="2" s="1"/>
  <c r="T618" i="2"/>
  <c r="C631" i="4" s="1"/>
  <c r="T630" i="2"/>
  <c r="C643" i="4" s="1"/>
  <c r="Q601" i="2"/>
  <c r="R601" i="2" s="1"/>
  <c r="T642" i="2"/>
  <c r="C655" i="4" s="1"/>
  <c r="Q613" i="2"/>
  <c r="R613" i="2" s="1"/>
  <c r="T654" i="2"/>
  <c r="C667" i="4" s="1"/>
  <c r="Q625" i="2"/>
  <c r="R625" i="2" s="1"/>
  <c r="T666" i="2"/>
  <c r="C679" i="4" s="1"/>
  <c r="T678" i="2"/>
  <c r="C691" i="4" s="1"/>
  <c r="Q649" i="2"/>
  <c r="R649" i="2" s="1"/>
  <c r="T690" i="2"/>
  <c r="C703" i="4" s="1"/>
  <c r="Q661" i="2"/>
  <c r="R661" i="2" s="1"/>
  <c r="T702" i="2"/>
  <c r="C715" i="4" s="1"/>
  <c r="Q673" i="2"/>
  <c r="R673" i="2" s="1"/>
  <c r="T714" i="2"/>
  <c r="C727" i="4" s="1"/>
  <c r="T726" i="2"/>
  <c r="C739" i="4" s="1"/>
  <c r="Q697" i="2"/>
  <c r="R697" i="2" s="1"/>
  <c r="T738" i="2"/>
  <c r="C751" i="4" s="1"/>
  <c r="Q709" i="2"/>
  <c r="R709" i="2" s="1"/>
  <c r="T750" i="2"/>
  <c r="C763" i="4" s="1"/>
  <c r="Q721" i="2"/>
  <c r="R721" i="2" s="1"/>
  <c r="T762" i="2"/>
  <c r="C775" i="4" s="1"/>
  <c r="T774" i="2"/>
  <c r="C787" i="4" s="1"/>
  <c r="Q745" i="2"/>
  <c r="R745" i="2" s="1"/>
  <c r="T786" i="2"/>
  <c r="C799" i="4" s="1"/>
  <c r="Q757" i="2"/>
  <c r="R757" i="2" s="1"/>
  <c r="T798" i="2"/>
  <c r="C811" i="4" s="1"/>
  <c r="Q769" i="2"/>
  <c r="R769" i="2" s="1"/>
  <c r="T810" i="2"/>
  <c r="C823" i="4" s="1"/>
  <c r="T822" i="2"/>
  <c r="C835" i="4" s="1"/>
  <c r="Q793" i="2"/>
  <c r="R793" i="2" s="1"/>
  <c r="T834" i="2"/>
  <c r="C847" i="4" s="1"/>
  <c r="Q805" i="2"/>
  <c r="R805" i="2" s="1"/>
  <c r="T846" i="2"/>
  <c r="C859" i="4" s="1"/>
  <c r="Q817" i="2"/>
  <c r="R817" i="2" s="1"/>
  <c r="T858" i="2"/>
  <c r="C871" i="4" s="1"/>
  <c r="Q829" i="2"/>
  <c r="R829" i="2" s="1"/>
  <c r="T870" i="2"/>
  <c r="C883" i="4" s="1"/>
  <c r="Q841" i="2"/>
  <c r="R841" i="2" s="1"/>
  <c r="T882" i="2"/>
  <c r="C895" i="4" s="1"/>
  <c r="Q853" i="2"/>
  <c r="R853" i="2" s="1"/>
  <c r="T894" i="2"/>
  <c r="C907" i="4" s="1"/>
  <c r="Q865" i="2"/>
  <c r="R865" i="2" s="1"/>
  <c r="T906" i="2"/>
  <c r="C919" i="4" s="1"/>
  <c r="Q877" i="2"/>
  <c r="R877" i="2" s="1"/>
  <c r="T918" i="2"/>
  <c r="C931" i="4" s="1"/>
  <c r="T930" i="2"/>
  <c r="C943" i="4" s="1"/>
  <c r="Q901" i="2"/>
  <c r="R901" i="2" s="1"/>
  <c r="T942" i="2"/>
  <c r="C955" i="4" s="1"/>
  <c r="Q913" i="2"/>
  <c r="R913" i="2" s="1"/>
  <c r="T954" i="2"/>
  <c r="C967" i="4" s="1"/>
  <c r="Q925" i="2"/>
  <c r="R925" i="2" s="1"/>
  <c r="T966" i="2"/>
  <c r="C979" i="4" s="1"/>
  <c r="Q937" i="2"/>
  <c r="R937" i="2" s="1"/>
  <c r="T978" i="2"/>
  <c r="C991" i="4" s="1"/>
  <c r="Q949" i="2"/>
  <c r="R949" i="2" s="1"/>
  <c r="T990" i="2"/>
  <c r="C1003" i="4" s="1"/>
  <c r="Q961" i="2"/>
  <c r="R961" i="2" s="1"/>
  <c r="Q973" i="2"/>
  <c r="R973" i="2" s="1"/>
  <c r="Q985" i="2"/>
  <c r="R985" i="2" s="1"/>
  <c r="Q997" i="2"/>
  <c r="R997" i="2" s="1"/>
  <c r="Q25" i="2"/>
  <c r="R25" i="2" s="1"/>
  <c r="Q78" i="2"/>
  <c r="R78" i="2" s="1"/>
  <c r="Q133" i="2"/>
  <c r="R133" i="2" s="1"/>
  <c r="Q190" i="2"/>
  <c r="R190" i="2" s="1"/>
  <c r="Q253" i="2"/>
  <c r="R253" i="2" s="1"/>
  <c r="Q330" i="2"/>
  <c r="R330" i="2" s="1"/>
  <c r="Q417" i="2"/>
  <c r="R417" i="2" s="1"/>
  <c r="Q540" i="2"/>
  <c r="R540" i="2" s="1"/>
  <c r="Q637" i="2"/>
  <c r="R637" i="2" s="1"/>
  <c r="Q749" i="2"/>
  <c r="R749" i="2" s="1"/>
  <c r="Q885" i="2"/>
  <c r="R885" i="2" s="1"/>
  <c r="T57" i="2"/>
  <c r="C70" i="4" s="1"/>
  <c r="Q28" i="2"/>
  <c r="R28" i="2" s="1"/>
  <c r="T141" i="2"/>
  <c r="C154" i="4" s="1"/>
  <c r="Q112" i="2"/>
  <c r="R112" i="2" s="1"/>
  <c r="T729" i="2"/>
  <c r="C742" i="4" s="1"/>
  <c r="Q700" i="2"/>
  <c r="R700" i="2" s="1"/>
  <c r="T849" i="2"/>
  <c r="C862" i="4" s="1"/>
  <c r="Q820" i="2"/>
  <c r="R820" i="2" s="1"/>
  <c r="T945" i="2"/>
  <c r="C958" i="4" s="1"/>
  <c r="Q916" i="2"/>
  <c r="R916" i="2" s="1"/>
  <c r="T241" i="2"/>
  <c r="C254" i="4" s="1"/>
  <c r="T277" i="2"/>
  <c r="C290" i="4" s="1"/>
  <c r="Q248" i="2"/>
  <c r="R248" i="2" s="1"/>
  <c r="T339" i="2"/>
  <c r="C352" i="4" s="1"/>
  <c r="T351" i="2"/>
  <c r="C364" i="4" s="1"/>
  <c r="Q322" i="2"/>
  <c r="R322" i="2" s="1"/>
  <c r="T363" i="2"/>
  <c r="C376" i="4" s="1"/>
  <c r="Q334" i="2"/>
  <c r="R334" i="2" s="1"/>
  <c r="T375" i="2"/>
  <c r="C388" i="4" s="1"/>
  <c r="Q346" i="2"/>
  <c r="R346" i="2" s="1"/>
  <c r="T387" i="2"/>
  <c r="C400" i="4" s="1"/>
  <c r="Q358" i="2"/>
  <c r="R358" i="2" s="1"/>
  <c r="T399" i="2"/>
  <c r="C412" i="4" s="1"/>
  <c r="Q370" i="2"/>
  <c r="R370" i="2" s="1"/>
  <c r="T423" i="2"/>
  <c r="C436" i="4" s="1"/>
  <c r="Q394" i="2"/>
  <c r="R394" i="2" s="1"/>
  <c r="T447" i="2"/>
  <c r="C460" i="4" s="1"/>
  <c r="Q418" i="2"/>
  <c r="R418" i="2" s="1"/>
  <c r="T471" i="2"/>
  <c r="C484" i="4" s="1"/>
  <c r="Q442" i="2"/>
  <c r="R442" i="2" s="1"/>
  <c r="T483" i="2"/>
  <c r="C496" i="4" s="1"/>
  <c r="Q454" i="2"/>
  <c r="R454" i="2" s="1"/>
  <c r="T555" i="2"/>
  <c r="C568" i="4" s="1"/>
  <c r="Q526" i="2"/>
  <c r="R526" i="2" s="1"/>
  <c r="T831" i="2"/>
  <c r="C844" i="4" s="1"/>
  <c r="T867" i="2"/>
  <c r="C880" i="4" s="1"/>
  <c r="Q838" i="2"/>
  <c r="R838" i="2" s="1"/>
  <c r="T915" i="2"/>
  <c r="C928" i="4" s="1"/>
  <c r="Q886" i="2"/>
  <c r="R886" i="2" s="1"/>
  <c r="T963" i="2"/>
  <c r="C976" i="4" s="1"/>
  <c r="Q934" i="2"/>
  <c r="R934" i="2" s="1"/>
  <c r="T29" i="2"/>
  <c r="C42" i="4" s="1"/>
  <c r="T17" i="2"/>
  <c r="C30" i="4" s="1"/>
  <c r="T5" i="2"/>
  <c r="C18" i="4" s="1"/>
  <c r="T28" i="2"/>
  <c r="C41" i="4" s="1"/>
  <c r="T16" i="2"/>
  <c r="C29" i="4" s="1"/>
  <c r="T4" i="2"/>
  <c r="C17" i="4" s="1"/>
  <c r="T27" i="2"/>
  <c r="C40" i="4" s="1"/>
  <c r="T15" i="2"/>
  <c r="C28" i="4" s="1"/>
  <c r="T3" i="2"/>
  <c r="C16" i="4" s="1"/>
  <c r="T26" i="2"/>
  <c r="C39" i="4" s="1"/>
  <c r="T14" i="2"/>
  <c r="C27" i="4" s="1"/>
  <c r="T2" i="2"/>
  <c r="C15" i="4" s="1"/>
  <c r="T25" i="2"/>
  <c r="C38" i="4" s="1"/>
  <c r="T13" i="2"/>
  <c r="C26" i="4" s="1"/>
  <c r="T24" i="2"/>
  <c r="C37" i="4" s="1"/>
  <c r="T12" i="2"/>
  <c r="C25" i="4" s="1"/>
  <c r="T23" i="2"/>
  <c r="C36" i="4" s="1"/>
  <c r="T11" i="2"/>
  <c r="C24" i="4" s="1"/>
  <c r="T22" i="2"/>
  <c r="C35" i="4" s="1"/>
  <c r="T10" i="2"/>
  <c r="C23" i="4" s="1"/>
  <c r="T21" i="2"/>
  <c r="C34" i="4" s="1"/>
  <c r="T9" i="2"/>
  <c r="C22" i="4" s="1"/>
  <c r="T31" i="2"/>
  <c r="C44" i="4" s="1"/>
  <c r="T19" i="2"/>
  <c r="C32" i="4" s="1"/>
  <c r="T7" i="2"/>
  <c r="C20" i="4" s="1"/>
  <c r="T30" i="2"/>
  <c r="C43" i="4" s="1"/>
  <c r="T18" i="2"/>
  <c r="C31" i="4" s="1"/>
  <c r="T6" i="2"/>
  <c r="C19" i="4" s="1"/>
  <c r="T20" i="2"/>
  <c r="C33" i="4" s="1"/>
  <c r="T8" i="2"/>
  <c r="C21" i="4" s="1"/>
  <c r="T43" i="2"/>
  <c r="C56" i="4" s="1"/>
  <c r="Q14" i="2"/>
  <c r="R14" i="2" s="1"/>
  <c r="T55" i="2"/>
  <c r="C68" i="4" s="1"/>
  <c r="T67" i="2"/>
  <c r="C80" i="4" s="1"/>
  <c r="Q38" i="2"/>
  <c r="R38" i="2" s="1"/>
  <c r="T79" i="2"/>
  <c r="C92" i="4" s="1"/>
  <c r="Q50" i="2"/>
  <c r="R50" i="2" s="1"/>
  <c r="T91" i="2"/>
  <c r="C104" i="4" s="1"/>
  <c r="Q62" i="2"/>
  <c r="R62" i="2" s="1"/>
  <c r="T103" i="2"/>
  <c r="C116" i="4" s="1"/>
  <c r="Q74" i="2"/>
  <c r="R74" i="2" s="1"/>
  <c r="T115" i="2"/>
  <c r="C128" i="4" s="1"/>
  <c r="Q86" i="2"/>
  <c r="R86" i="2" s="1"/>
  <c r="T127" i="2"/>
  <c r="C140" i="4" s="1"/>
  <c r="Q98" i="2"/>
  <c r="R98" i="2" s="1"/>
  <c r="T139" i="2"/>
  <c r="C152" i="4" s="1"/>
  <c r="T151" i="2"/>
  <c r="C164" i="4" s="1"/>
  <c r="T163" i="2"/>
  <c r="C176" i="4" s="1"/>
  <c r="Q134" i="2"/>
  <c r="R134" i="2" s="1"/>
  <c r="T175" i="2"/>
  <c r="C188" i="4" s="1"/>
  <c r="Q146" i="2"/>
  <c r="R146" i="2" s="1"/>
  <c r="T187" i="2"/>
  <c r="C200" i="4" s="1"/>
  <c r="T199" i="2"/>
  <c r="C212" i="4" s="1"/>
  <c r="Q170" i="2"/>
  <c r="R170" i="2" s="1"/>
  <c r="T211" i="2"/>
  <c r="C224" i="4" s="1"/>
  <c r="Q182" i="2"/>
  <c r="R182" i="2" s="1"/>
  <c r="T223" i="2"/>
  <c r="C236" i="4" s="1"/>
  <c r="Q194" i="2"/>
  <c r="R194" i="2" s="1"/>
  <c r="T235" i="2"/>
  <c r="C248" i="4" s="1"/>
  <c r="Q206" i="2"/>
  <c r="R206" i="2" s="1"/>
  <c r="T247" i="2"/>
  <c r="C260" i="4" s="1"/>
  <c r="Q218" i="2"/>
  <c r="R218" i="2" s="1"/>
  <c r="T259" i="2"/>
  <c r="C272" i="4" s="1"/>
  <c r="Q230" i="2"/>
  <c r="R230" i="2" s="1"/>
  <c r="T271" i="2"/>
  <c r="C284" i="4" s="1"/>
  <c r="Q242" i="2"/>
  <c r="R242" i="2" s="1"/>
  <c r="T283" i="2"/>
  <c r="C296" i="4" s="1"/>
  <c r="Q254" i="2"/>
  <c r="R254" i="2" s="1"/>
  <c r="T295" i="2"/>
  <c r="C308" i="4" s="1"/>
  <c r="Q266" i="2"/>
  <c r="R266" i="2" s="1"/>
  <c r="T307" i="2"/>
  <c r="C320" i="4" s="1"/>
  <c r="T319" i="2"/>
  <c r="C332" i="4" s="1"/>
  <c r="Q290" i="2"/>
  <c r="R290" i="2" s="1"/>
  <c r="T331" i="2"/>
  <c r="C344" i="4" s="1"/>
  <c r="Q302" i="2"/>
  <c r="R302" i="2" s="1"/>
  <c r="T343" i="2"/>
  <c r="C356" i="4" s="1"/>
  <c r="Q314" i="2"/>
  <c r="R314" i="2" s="1"/>
  <c r="T355" i="2"/>
  <c r="C368" i="4" s="1"/>
  <c r="Q326" i="2"/>
  <c r="R326" i="2" s="1"/>
  <c r="T367" i="2"/>
  <c r="C380" i="4" s="1"/>
  <c r="Q338" i="2"/>
  <c r="R338" i="2" s="1"/>
  <c r="T379" i="2"/>
  <c r="C392" i="4" s="1"/>
  <c r="Q350" i="2"/>
  <c r="R350" i="2" s="1"/>
  <c r="T391" i="2"/>
  <c r="C404" i="4" s="1"/>
  <c r="Q362" i="2"/>
  <c r="R362" i="2" s="1"/>
  <c r="T403" i="2"/>
  <c r="C416" i="4" s="1"/>
  <c r="Q374" i="2"/>
  <c r="R374" i="2" s="1"/>
  <c r="T415" i="2"/>
  <c r="C428" i="4" s="1"/>
  <c r="Q386" i="2"/>
  <c r="R386" i="2" s="1"/>
  <c r="T427" i="2"/>
  <c r="C440" i="4" s="1"/>
  <c r="Q398" i="2"/>
  <c r="R398" i="2" s="1"/>
  <c r="T439" i="2"/>
  <c r="C452" i="4" s="1"/>
  <c r="Q410" i="2"/>
  <c r="R410" i="2" s="1"/>
  <c r="T451" i="2"/>
  <c r="C464" i="4" s="1"/>
  <c r="Q422" i="2"/>
  <c r="R422" i="2" s="1"/>
  <c r="T463" i="2"/>
  <c r="C476" i="4" s="1"/>
  <c r="Q434" i="2"/>
  <c r="R434" i="2" s="1"/>
  <c r="T475" i="2"/>
  <c r="C488" i="4" s="1"/>
  <c r="T487" i="2"/>
  <c r="C500" i="4" s="1"/>
  <c r="Q458" i="2"/>
  <c r="R458" i="2" s="1"/>
  <c r="T499" i="2"/>
  <c r="C512" i="4" s="1"/>
  <c r="Q470" i="2"/>
  <c r="R470" i="2" s="1"/>
  <c r="T511" i="2"/>
  <c r="C524" i="4" s="1"/>
  <c r="Q482" i="2"/>
  <c r="R482" i="2" s="1"/>
  <c r="T523" i="2"/>
  <c r="C536" i="4" s="1"/>
  <c r="Q494" i="2"/>
  <c r="R494" i="2" s="1"/>
  <c r="T535" i="2"/>
  <c r="C548" i="4" s="1"/>
  <c r="Q506" i="2"/>
  <c r="R506" i="2" s="1"/>
  <c r="T547" i="2"/>
  <c r="C560" i="4" s="1"/>
  <c r="Q518" i="2"/>
  <c r="R518" i="2" s="1"/>
  <c r="T559" i="2"/>
  <c r="C572" i="4" s="1"/>
  <c r="Q530" i="2"/>
  <c r="R530" i="2" s="1"/>
  <c r="T571" i="2"/>
  <c r="C584" i="4" s="1"/>
  <c r="Q542" i="2"/>
  <c r="R542" i="2" s="1"/>
  <c r="T583" i="2"/>
  <c r="C596" i="4" s="1"/>
  <c r="Q554" i="2"/>
  <c r="R554" i="2" s="1"/>
  <c r="T595" i="2"/>
  <c r="C608" i="4" s="1"/>
  <c r="Q566" i="2"/>
  <c r="R566" i="2" s="1"/>
  <c r="T607" i="2"/>
  <c r="C620" i="4" s="1"/>
  <c r="Q578" i="2"/>
  <c r="R578" i="2" s="1"/>
  <c r="T619" i="2"/>
  <c r="C632" i="4" s="1"/>
  <c r="Q590" i="2"/>
  <c r="R590" i="2" s="1"/>
  <c r="T631" i="2"/>
  <c r="C644" i="4" s="1"/>
  <c r="Q602" i="2"/>
  <c r="R602" i="2" s="1"/>
  <c r="T643" i="2"/>
  <c r="C656" i="4" s="1"/>
  <c r="Q614" i="2"/>
  <c r="R614" i="2" s="1"/>
  <c r="T655" i="2"/>
  <c r="C668" i="4" s="1"/>
  <c r="Q626" i="2"/>
  <c r="R626" i="2" s="1"/>
  <c r="T667" i="2"/>
  <c r="C680" i="4" s="1"/>
  <c r="Q638" i="2"/>
  <c r="R638" i="2" s="1"/>
  <c r="T679" i="2"/>
  <c r="C692" i="4" s="1"/>
  <c r="T691" i="2"/>
  <c r="C704" i="4" s="1"/>
  <c r="Q662" i="2"/>
  <c r="R662" i="2" s="1"/>
  <c r="T703" i="2"/>
  <c r="C716" i="4" s="1"/>
  <c r="Q674" i="2"/>
  <c r="R674" i="2" s="1"/>
  <c r="T715" i="2"/>
  <c r="C728" i="4" s="1"/>
  <c r="Q686" i="2"/>
  <c r="R686" i="2" s="1"/>
  <c r="T727" i="2"/>
  <c r="C740" i="4" s="1"/>
  <c r="T739" i="2"/>
  <c r="C752" i="4" s="1"/>
  <c r="Q710" i="2"/>
  <c r="R710" i="2" s="1"/>
  <c r="T751" i="2"/>
  <c r="C764" i="4" s="1"/>
  <c r="Q722" i="2"/>
  <c r="R722" i="2" s="1"/>
  <c r="T763" i="2"/>
  <c r="C776" i="4" s="1"/>
  <c r="Q734" i="2"/>
  <c r="R734" i="2" s="1"/>
  <c r="T775" i="2"/>
  <c r="C788" i="4" s="1"/>
  <c r="T787" i="2"/>
  <c r="C800" i="4" s="1"/>
  <c r="Q758" i="2"/>
  <c r="R758" i="2" s="1"/>
  <c r="T799" i="2"/>
  <c r="C812" i="4" s="1"/>
  <c r="Q770" i="2"/>
  <c r="R770" i="2" s="1"/>
  <c r="T811" i="2"/>
  <c r="C824" i="4" s="1"/>
  <c r="Q782" i="2"/>
  <c r="R782" i="2" s="1"/>
  <c r="T823" i="2"/>
  <c r="C836" i="4" s="1"/>
  <c r="Q794" i="2"/>
  <c r="R794" i="2" s="1"/>
  <c r="T835" i="2"/>
  <c r="C848" i="4" s="1"/>
  <c r="Q806" i="2"/>
  <c r="R806" i="2" s="1"/>
  <c r="T847" i="2"/>
  <c r="C860" i="4" s="1"/>
  <c r="Q818" i="2"/>
  <c r="R818" i="2" s="1"/>
  <c r="T859" i="2"/>
  <c r="C872" i="4" s="1"/>
  <c r="T871" i="2"/>
  <c r="C884" i="4" s="1"/>
  <c r="Q842" i="2"/>
  <c r="R842" i="2" s="1"/>
  <c r="T883" i="2"/>
  <c r="C896" i="4" s="1"/>
  <c r="Q854" i="2"/>
  <c r="R854" i="2" s="1"/>
  <c r="T895" i="2"/>
  <c r="C908" i="4" s="1"/>
  <c r="Q866" i="2"/>
  <c r="R866" i="2" s="1"/>
  <c r="T907" i="2"/>
  <c r="C920" i="4" s="1"/>
  <c r="Q878" i="2"/>
  <c r="R878" i="2" s="1"/>
  <c r="T919" i="2"/>
  <c r="C932" i="4" s="1"/>
  <c r="Q890" i="2"/>
  <c r="R890" i="2" s="1"/>
  <c r="T931" i="2"/>
  <c r="C944" i="4" s="1"/>
  <c r="Q902" i="2"/>
  <c r="R902" i="2" s="1"/>
  <c r="T943" i="2"/>
  <c r="C956" i="4" s="1"/>
  <c r="Q914" i="2"/>
  <c r="R914" i="2" s="1"/>
  <c r="T955" i="2"/>
  <c r="C968" i="4" s="1"/>
  <c r="Q926" i="2"/>
  <c r="R926" i="2" s="1"/>
  <c r="T967" i="2"/>
  <c r="C980" i="4" s="1"/>
  <c r="Q938" i="2"/>
  <c r="R938" i="2" s="1"/>
  <c r="T979" i="2"/>
  <c r="C992" i="4" s="1"/>
  <c r="Q950" i="2"/>
  <c r="R950" i="2" s="1"/>
  <c r="T991" i="2"/>
  <c r="C1004" i="4" s="1"/>
  <c r="Q962" i="2"/>
  <c r="R962" i="2" s="1"/>
  <c r="Q986" i="2"/>
  <c r="R986" i="2" s="1"/>
  <c r="Q998" i="2"/>
  <c r="R998" i="2" s="1"/>
  <c r="Q26" i="2"/>
  <c r="R26" i="2" s="1"/>
  <c r="Q79" i="2"/>
  <c r="R79" i="2" s="1"/>
  <c r="Q136" i="2"/>
  <c r="R136" i="2" s="1"/>
  <c r="Q196" i="2"/>
  <c r="R196" i="2" s="1"/>
  <c r="Q270" i="2"/>
  <c r="R270" i="2" s="1"/>
  <c r="Q335" i="2"/>
  <c r="R335" i="2" s="1"/>
  <c r="Q420" i="2"/>
  <c r="R420" i="2" s="1"/>
  <c r="Q541" i="2"/>
  <c r="R541" i="2" s="1"/>
  <c r="Q650" i="2"/>
  <c r="R650" i="2" s="1"/>
  <c r="Q778" i="2"/>
  <c r="R778" i="2" s="1"/>
  <c r="Q889" i="2"/>
  <c r="R889" i="2" s="1"/>
  <c r="T369" i="2"/>
  <c r="C382" i="4" s="1"/>
  <c r="Q340" i="2"/>
  <c r="R340" i="2" s="1"/>
  <c r="T477" i="2"/>
  <c r="C490" i="4" s="1"/>
  <c r="Q448" i="2"/>
  <c r="R448" i="2" s="1"/>
  <c r="T609" i="2"/>
  <c r="C622" i="4" s="1"/>
  <c r="Q580" i="2"/>
  <c r="R580" i="2" s="1"/>
  <c r="T789" i="2"/>
  <c r="C802" i="4" s="1"/>
  <c r="Q760" i="2"/>
  <c r="R760" i="2" s="1"/>
  <c r="T121" i="2"/>
  <c r="C134" i="4" s="1"/>
  <c r="T133" i="2"/>
  <c r="C146" i="4" s="1"/>
  <c r="Q104" i="2"/>
  <c r="R104" i="2" s="1"/>
  <c r="T145" i="2"/>
  <c r="C158" i="4" s="1"/>
  <c r="Q116" i="2"/>
  <c r="R116" i="2" s="1"/>
  <c r="T157" i="2"/>
  <c r="C170" i="4" s="1"/>
  <c r="Q128" i="2"/>
  <c r="R128" i="2" s="1"/>
  <c r="T169" i="2"/>
  <c r="C182" i="4" s="1"/>
  <c r="Q140" i="2"/>
  <c r="R140" i="2" s="1"/>
  <c r="T181" i="2"/>
  <c r="C194" i="4" s="1"/>
  <c r="Q152" i="2"/>
  <c r="R152" i="2" s="1"/>
  <c r="T193" i="2"/>
  <c r="C206" i="4" s="1"/>
  <c r="Q164" i="2"/>
  <c r="R164" i="2" s="1"/>
  <c r="T205" i="2"/>
  <c r="C218" i="4" s="1"/>
  <c r="Q176" i="2"/>
  <c r="R176" i="2" s="1"/>
  <c r="T229" i="2"/>
  <c r="C242" i="4" s="1"/>
  <c r="Q200" i="2"/>
  <c r="R200" i="2" s="1"/>
  <c r="T337" i="2"/>
  <c r="C350" i="4" s="1"/>
  <c r="Q308" i="2"/>
  <c r="R308" i="2" s="1"/>
  <c r="T51" i="2"/>
  <c r="C64" i="4" s="1"/>
  <c r="Q22" i="2"/>
  <c r="R22" i="2" s="1"/>
  <c r="T87" i="2"/>
  <c r="C100" i="4" s="1"/>
  <c r="Q58" i="2"/>
  <c r="R58" i="2" s="1"/>
  <c r="T147" i="2"/>
  <c r="C160" i="4" s="1"/>
  <c r="Q118" i="2"/>
  <c r="R118" i="2" s="1"/>
  <c r="T207" i="2"/>
  <c r="C220" i="4" s="1"/>
  <c r="Q178" i="2"/>
  <c r="R178" i="2" s="1"/>
  <c r="T543" i="2"/>
  <c r="C556" i="4" s="1"/>
  <c r="T567" i="2"/>
  <c r="C580" i="4" s="1"/>
  <c r="Q538" i="2"/>
  <c r="R538" i="2" s="1"/>
  <c r="T603" i="2"/>
  <c r="C616" i="4" s="1"/>
  <c r="Q574" i="2"/>
  <c r="R574" i="2" s="1"/>
  <c r="T639" i="2"/>
  <c r="C652" i="4" s="1"/>
  <c r="Q610" i="2"/>
  <c r="R610" i="2" s="1"/>
  <c r="T939" i="2"/>
  <c r="C952" i="4" s="1"/>
  <c r="T987" i="2"/>
  <c r="C1000" i="4" s="1"/>
  <c r="Q958" i="2"/>
  <c r="R958" i="2" s="1"/>
  <c r="Q8" i="2"/>
  <c r="R8" i="2" s="1"/>
  <c r="J16" i="1"/>
  <c r="D58" i="1"/>
  <c r="D78" i="1"/>
  <c r="D86" i="1"/>
  <c r="T32" i="2"/>
  <c r="C45" i="4" s="1"/>
  <c r="Q3" i="2"/>
  <c r="R3" i="2" s="1"/>
  <c r="T44" i="2"/>
  <c r="C57" i="4" s="1"/>
  <c r="Q15" i="2"/>
  <c r="R15" i="2" s="1"/>
  <c r="T56" i="2"/>
  <c r="C69" i="4" s="1"/>
  <c r="Q27" i="2"/>
  <c r="R27" i="2" s="1"/>
  <c r="T68" i="2"/>
  <c r="C81" i="4" s="1"/>
  <c r="Q39" i="2"/>
  <c r="R39" i="2" s="1"/>
  <c r="T80" i="2"/>
  <c r="C93" i="4" s="1"/>
  <c r="Q51" i="2"/>
  <c r="R51" i="2" s="1"/>
  <c r="T92" i="2"/>
  <c r="C105" i="4" s="1"/>
  <c r="Q63" i="2"/>
  <c r="R63" i="2" s="1"/>
  <c r="T104" i="2"/>
  <c r="C117" i="4" s="1"/>
  <c r="Q75" i="2"/>
  <c r="R75" i="2" s="1"/>
  <c r="T116" i="2"/>
  <c r="C129" i="4" s="1"/>
  <c r="Q87" i="2"/>
  <c r="R87" i="2" s="1"/>
  <c r="T128" i="2"/>
  <c r="C141" i="4" s="1"/>
  <c r="Q99" i="2"/>
  <c r="R99" i="2" s="1"/>
  <c r="T140" i="2"/>
  <c r="C153" i="4" s="1"/>
  <c r="Q111" i="2"/>
  <c r="R111" i="2" s="1"/>
  <c r="T152" i="2"/>
  <c r="C165" i="4" s="1"/>
  <c r="Q123" i="2"/>
  <c r="R123" i="2" s="1"/>
  <c r="T164" i="2"/>
  <c r="C177" i="4" s="1"/>
  <c r="Q135" i="2"/>
  <c r="R135" i="2" s="1"/>
  <c r="T176" i="2"/>
  <c r="C189" i="4" s="1"/>
  <c r="Q147" i="2"/>
  <c r="R147" i="2" s="1"/>
  <c r="T188" i="2"/>
  <c r="C201" i="4" s="1"/>
  <c r="Q159" i="2"/>
  <c r="R159" i="2" s="1"/>
  <c r="T200" i="2"/>
  <c r="C213" i="4" s="1"/>
  <c r="Q171" i="2"/>
  <c r="R171" i="2" s="1"/>
  <c r="T212" i="2"/>
  <c r="C225" i="4" s="1"/>
  <c r="Q183" i="2"/>
  <c r="R183" i="2" s="1"/>
  <c r="T224" i="2"/>
  <c r="C237" i="4" s="1"/>
  <c r="Q195" i="2"/>
  <c r="R195" i="2" s="1"/>
  <c r="T236" i="2"/>
  <c r="C249" i="4" s="1"/>
  <c r="Q207" i="2"/>
  <c r="R207" i="2" s="1"/>
  <c r="T248" i="2"/>
  <c r="C261" i="4" s="1"/>
  <c r="Q219" i="2"/>
  <c r="R219" i="2" s="1"/>
  <c r="T260" i="2"/>
  <c r="C273" i="4" s="1"/>
  <c r="Q231" i="2"/>
  <c r="R231" i="2" s="1"/>
  <c r="T272" i="2"/>
  <c r="C285" i="4" s="1"/>
  <c r="Q243" i="2"/>
  <c r="R243" i="2" s="1"/>
  <c r="T284" i="2"/>
  <c r="C297" i="4" s="1"/>
  <c r="Q255" i="2"/>
  <c r="R255" i="2" s="1"/>
  <c r="T296" i="2"/>
  <c r="C309" i="4" s="1"/>
  <c r="Q267" i="2"/>
  <c r="R267" i="2" s="1"/>
  <c r="T308" i="2"/>
  <c r="C321" i="4" s="1"/>
  <c r="Q279" i="2"/>
  <c r="R279" i="2" s="1"/>
  <c r="T320" i="2"/>
  <c r="C333" i="4" s="1"/>
  <c r="Q291" i="2"/>
  <c r="R291" i="2" s="1"/>
  <c r="T332" i="2"/>
  <c r="C345" i="4" s="1"/>
  <c r="Q303" i="2"/>
  <c r="R303" i="2" s="1"/>
  <c r="T344" i="2"/>
  <c r="C357" i="4" s="1"/>
  <c r="Q315" i="2"/>
  <c r="R315" i="2" s="1"/>
  <c r="T356" i="2"/>
  <c r="C369" i="4" s="1"/>
  <c r="Q327" i="2"/>
  <c r="R327" i="2" s="1"/>
  <c r="T368" i="2"/>
  <c r="C381" i="4" s="1"/>
  <c r="Q339" i="2"/>
  <c r="R339" i="2" s="1"/>
  <c r="T380" i="2"/>
  <c r="C393" i="4" s="1"/>
  <c r="Q351" i="2"/>
  <c r="R351" i="2" s="1"/>
  <c r="T392" i="2"/>
  <c r="C405" i="4" s="1"/>
  <c r="Q363" i="2"/>
  <c r="R363" i="2" s="1"/>
  <c r="T404" i="2"/>
  <c r="C417" i="4" s="1"/>
  <c r="Q375" i="2"/>
  <c r="R375" i="2" s="1"/>
  <c r="T416" i="2"/>
  <c r="C429" i="4" s="1"/>
  <c r="Q387" i="2"/>
  <c r="R387" i="2" s="1"/>
  <c r="T428" i="2"/>
  <c r="C441" i="4" s="1"/>
  <c r="Q399" i="2"/>
  <c r="R399" i="2" s="1"/>
  <c r="T440" i="2"/>
  <c r="C453" i="4" s="1"/>
  <c r="Q411" i="2"/>
  <c r="R411" i="2" s="1"/>
  <c r="T452" i="2"/>
  <c r="C465" i="4" s="1"/>
  <c r="Q423" i="2"/>
  <c r="R423" i="2" s="1"/>
  <c r="T464" i="2"/>
  <c r="C477" i="4" s="1"/>
  <c r="Q435" i="2"/>
  <c r="R435" i="2" s="1"/>
  <c r="T476" i="2"/>
  <c r="C489" i="4" s="1"/>
  <c r="T488" i="2"/>
  <c r="C501" i="4" s="1"/>
  <c r="Q459" i="2"/>
  <c r="R459" i="2" s="1"/>
  <c r="T500" i="2"/>
  <c r="C513" i="4" s="1"/>
  <c r="Q471" i="2"/>
  <c r="R471" i="2" s="1"/>
  <c r="T512" i="2"/>
  <c r="C525" i="4" s="1"/>
  <c r="Q483" i="2"/>
  <c r="R483" i="2" s="1"/>
  <c r="T524" i="2"/>
  <c r="C537" i="4" s="1"/>
  <c r="Q495" i="2"/>
  <c r="R495" i="2" s="1"/>
  <c r="T536" i="2"/>
  <c r="C549" i="4" s="1"/>
  <c r="Q507" i="2"/>
  <c r="R507" i="2" s="1"/>
  <c r="T548" i="2"/>
  <c r="C561" i="4" s="1"/>
  <c r="Q519" i="2"/>
  <c r="R519" i="2" s="1"/>
  <c r="T560" i="2"/>
  <c r="C573" i="4" s="1"/>
  <c r="Q531" i="2"/>
  <c r="R531" i="2" s="1"/>
  <c r="T572" i="2"/>
  <c r="C585" i="4" s="1"/>
  <c r="T584" i="2"/>
  <c r="C597" i="4" s="1"/>
  <c r="Q555" i="2"/>
  <c r="R555" i="2" s="1"/>
  <c r="T596" i="2"/>
  <c r="C609" i="4" s="1"/>
  <c r="Q567" i="2"/>
  <c r="R567" i="2" s="1"/>
  <c r="T608" i="2"/>
  <c r="C621" i="4" s="1"/>
  <c r="Q579" i="2"/>
  <c r="R579" i="2" s="1"/>
  <c r="T620" i="2"/>
  <c r="C633" i="4" s="1"/>
  <c r="T632" i="2"/>
  <c r="C645" i="4" s="1"/>
  <c r="Q603" i="2"/>
  <c r="R603" i="2" s="1"/>
  <c r="T644" i="2"/>
  <c r="C657" i="4" s="1"/>
  <c r="Q615" i="2"/>
  <c r="R615" i="2" s="1"/>
  <c r="T656" i="2"/>
  <c r="C669" i="4" s="1"/>
  <c r="Q627" i="2"/>
  <c r="R627" i="2" s="1"/>
  <c r="T668" i="2"/>
  <c r="C681" i="4" s="1"/>
  <c r="Q639" i="2"/>
  <c r="R639" i="2" s="1"/>
  <c r="T680" i="2"/>
  <c r="C693" i="4" s="1"/>
  <c r="Q651" i="2"/>
  <c r="R651" i="2" s="1"/>
  <c r="T692" i="2"/>
  <c r="C705" i="4" s="1"/>
  <c r="Q663" i="2"/>
  <c r="R663" i="2" s="1"/>
  <c r="T704" i="2"/>
  <c r="C717" i="4" s="1"/>
  <c r="Q675" i="2"/>
  <c r="R675" i="2" s="1"/>
  <c r="T716" i="2"/>
  <c r="C729" i="4" s="1"/>
  <c r="Q687" i="2"/>
  <c r="R687" i="2" s="1"/>
  <c r="T728" i="2"/>
  <c r="C741" i="4" s="1"/>
  <c r="Q699" i="2"/>
  <c r="R699" i="2" s="1"/>
  <c r="T740" i="2"/>
  <c r="C753" i="4" s="1"/>
  <c r="Q711" i="2"/>
  <c r="R711" i="2" s="1"/>
  <c r="T752" i="2"/>
  <c r="C765" i="4" s="1"/>
  <c r="Q723" i="2"/>
  <c r="R723" i="2" s="1"/>
  <c r="T764" i="2"/>
  <c r="C777" i="4" s="1"/>
  <c r="Q735" i="2"/>
  <c r="R735" i="2" s="1"/>
  <c r="T776" i="2"/>
  <c r="C789" i="4" s="1"/>
  <c r="Q747" i="2"/>
  <c r="R747" i="2" s="1"/>
  <c r="T788" i="2"/>
  <c r="C801" i="4" s="1"/>
  <c r="Q759" i="2"/>
  <c r="R759" i="2" s="1"/>
  <c r="T800" i="2"/>
  <c r="C813" i="4" s="1"/>
  <c r="Q771" i="2"/>
  <c r="R771" i="2" s="1"/>
  <c r="T812" i="2"/>
  <c r="C825" i="4" s="1"/>
  <c r="Q783" i="2"/>
  <c r="R783" i="2" s="1"/>
  <c r="T824" i="2"/>
  <c r="C837" i="4" s="1"/>
  <c r="T836" i="2"/>
  <c r="C849" i="4" s="1"/>
  <c r="Q807" i="2"/>
  <c r="R807" i="2" s="1"/>
  <c r="T848" i="2"/>
  <c r="C861" i="4" s="1"/>
  <c r="Q819" i="2"/>
  <c r="R819" i="2" s="1"/>
  <c r="T860" i="2"/>
  <c r="C873" i="4" s="1"/>
  <c r="T872" i="2"/>
  <c r="C885" i="4" s="1"/>
  <c r="Q843" i="2"/>
  <c r="R843" i="2" s="1"/>
  <c r="T884" i="2"/>
  <c r="C897" i="4" s="1"/>
  <c r="Q855" i="2"/>
  <c r="R855" i="2" s="1"/>
  <c r="T896" i="2"/>
  <c r="C909" i="4" s="1"/>
  <c r="Q867" i="2"/>
  <c r="R867" i="2" s="1"/>
  <c r="T908" i="2"/>
  <c r="C921" i="4" s="1"/>
  <c r="Q879" i="2"/>
  <c r="R879" i="2" s="1"/>
  <c r="T920" i="2"/>
  <c r="C933" i="4" s="1"/>
  <c r="Q891" i="2"/>
  <c r="R891" i="2" s="1"/>
  <c r="T932" i="2"/>
  <c r="C945" i="4" s="1"/>
  <c r="Q903" i="2"/>
  <c r="R903" i="2" s="1"/>
  <c r="T944" i="2"/>
  <c r="C957" i="4" s="1"/>
  <c r="Q915" i="2"/>
  <c r="R915" i="2" s="1"/>
  <c r="T956" i="2"/>
  <c r="C969" i="4" s="1"/>
  <c r="Q927" i="2"/>
  <c r="R927" i="2" s="1"/>
  <c r="T968" i="2"/>
  <c r="C981" i="4" s="1"/>
  <c r="Q939" i="2"/>
  <c r="R939" i="2" s="1"/>
  <c r="T980" i="2"/>
  <c r="C993" i="4" s="1"/>
  <c r="T992" i="2"/>
  <c r="C1005" i="4" s="1"/>
  <c r="Q963" i="2"/>
  <c r="R963" i="2" s="1"/>
  <c r="Q975" i="2"/>
  <c r="R975" i="2" s="1"/>
  <c r="Q987" i="2"/>
  <c r="R987" i="2" s="1"/>
  <c r="Q999" i="2"/>
  <c r="R999" i="2" s="1"/>
  <c r="Q31" i="2"/>
  <c r="R31" i="2" s="1"/>
  <c r="Q91" i="2"/>
  <c r="R91" i="2" s="1"/>
  <c r="Q137" i="2"/>
  <c r="R137" i="2" s="1"/>
  <c r="Q197" i="2"/>
  <c r="R197" i="2" s="1"/>
  <c r="Q272" i="2"/>
  <c r="R272" i="2" s="1"/>
  <c r="Q342" i="2"/>
  <c r="R342" i="2" s="1"/>
  <c r="Q446" i="2"/>
  <c r="R446" i="2" s="1"/>
  <c r="Q543" i="2"/>
  <c r="R543" i="2" s="1"/>
  <c r="Q656" i="2"/>
  <c r="R656" i="2" s="1"/>
  <c r="Q779" i="2"/>
  <c r="R779" i="2" s="1"/>
  <c r="Q904" i="2"/>
  <c r="R904" i="2" s="1"/>
  <c r="D73" i="1"/>
  <c r="D84" i="1"/>
  <c r="D69" i="1"/>
  <c r="D70" i="1"/>
  <c r="D63" i="1"/>
  <c r="J15" i="1"/>
  <c r="D80" i="1"/>
  <c r="D56" i="1"/>
  <c r="D85" i="1"/>
  <c r="D82" i="1"/>
  <c r="D76" i="1"/>
  <c r="D60" i="1"/>
  <c r="D87" i="1"/>
  <c r="F15" i="1"/>
  <c r="E16" i="1"/>
  <c r="J9" i="1"/>
  <c r="E55" i="1"/>
  <c r="E67" i="1"/>
  <c r="E58" i="1"/>
  <c r="E78" i="1"/>
  <c r="E17" i="1"/>
  <c r="E71" i="1"/>
  <c r="E15" i="1"/>
  <c r="E56" i="1"/>
  <c r="E60" i="1"/>
  <c r="E69" i="1"/>
  <c r="E73" i="1"/>
  <c r="E86" i="1"/>
  <c r="E62" i="1"/>
  <c r="E64" i="1"/>
  <c r="E66" i="1"/>
  <c r="E72" i="1"/>
  <c r="E81" i="1"/>
  <c r="E59" i="1"/>
  <c r="E74" i="1"/>
  <c r="F17" i="1"/>
  <c r="E65" i="1"/>
  <c r="E75" i="1"/>
  <c r="E57" i="1"/>
  <c r="E61" i="1"/>
  <c r="E87" i="1"/>
  <c r="E68" i="1"/>
  <c r="F16" i="1"/>
  <c r="E63" i="1"/>
  <c r="E76" i="1"/>
  <c r="E80" i="1"/>
  <c r="E82" i="1"/>
  <c r="E84" i="1"/>
  <c r="E77" i="1"/>
  <c r="E88" i="1"/>
  <c r="E79" i="1"/>
  <c r="E70" i="1"/>
  <c r="E83" i="1"/>
  <c r="E85" i="1"/>
  <c r="E44" i="5" l="1"/>
  <c r="E45" i="5"/>
  <c r="E48" i="5"/>
  <c r="E42" i="5"/>
  <c r="E27" i="5"/>
  <c r="E38" i="5"/>
  <c r="E36" i="5"/>
  <c r="E21" i="5"/>
  <c r="E19" i="5"/>
  <c r="E30" i="5"/>
  <c r="E33" i="5"/>
  <c r="E43" i="5"/>
  <c r="E31" i="5"/>
  <c r="E39" i="5"/>
  <c r="G13" i="6"/>
  <c r="K13" i="6" s="1"/>
  <c r="E28" i="5"/>
  <c r="E25" i="5"/>
  <c r="E20" i="5"/>
  <c r="E37" i="5"/>
  <c r="G11" i="6"/>
  <c r="K11" i="6" s="1"/>
  <c r="E46" i="5"/>
  <c r="E32" i="5"/>
  <c r="E26" i="5"/>
  <c r="E24" i="5"/>
  <c r="E16" i="5"/>
  <c r="E18" i="5"/>
  <c r="E29" i="5"/>
  <c r="E47" i="5"/>
  <c r="E22" i="5"/>
  <c r="R2" i="2"/>
  <c r="E15" i="5" s="1"/>
  <c r="D9" i="5"/>
  <c r="E40" i="5"/>
  <c r="E34" i="5"/>
  <c r="E35" i="5"/>
  <c r="K12" i="6"/>
  <c r="E23" i="5"/>
  <c r="E41" i="5"/>
  <c r="G15" i="1"/>
  <c r="K15" i="1" s="1"/>
  <c r="G16" i="1"/>
  <c r="K16" i="1" s="1"/>
  <c r="G17" i="1"/>
  <c r="K1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25AB8-9238-45A6-99F9-D46AC8737720}" keepAlive="1" name="Query - SALES_EDA" description="Connection to the 'SALES_EDA' query in the workbook." type="5" refreshedVersion="8" background="1" saveData="1">
    <dbPr connection="Provider=Microsoft.Mashup.OleDb.1;Data Source=$Workbook$;Location=SALES_EDA;Extended Properties=&quot;&quot;" command="SELECT * FROM [SALES_EDA]"/>
  </connection>
</connections>
</file>

<file path=xl/sharedStrings.xml><?xml version="1.0" encoding="utf-8"?>
<sst xmlns="http://schemas.openxmlformats.org/spreadsheetml/2006/main" count="3105" uniqueCount="103">
  <si>
    <t>Date</t>
  </si>
  <si>
    <t>Sales</t>
  </si>
  <si>
    <t>cost_of_sales</t>
  </si>
  <si>
    <t>quantity_sold</t>
  </si>
  <si>
    <t>year</t>
  </si>
  <si>
    <t>month_number</t>
  </si>
  <si>
    <t>month_name</t>
  </si>
  <si>
    <t>year_month</t>
  </si>
  <si>
    <t>day_of_month</t>
  </si>
  <si>
    <t>day_of_week</t>
  </si>
  <si>
    <t>day_name</t>
  </si>
  <si>
    <t>day_type</t>
  </si>
  <si>
    <t>price_per_unit</t>
  </si>
  <si>
    <t>cost_per_unit</t>
  </si>
  <si>
    <t>gross_profit</t>
  </si>
  <si>
    <t>gross_profit_percent</t>
  </si>
  <si>
    <t>gross_profit_per_unit</t>
  </si>
  <si>
    <t>gross_profit_per_unit_percent</t>
  </si>
  <si>
    <t>average_unit_sales_price</t>
  </si>
  <si>
    <t>rolling_average_price</t>
  </si>
  <si>
    <t>Dec</t>
  </si>
  <si>
    <t>Mon</t>
  </si>
  <si>
    <t>Weekday</t>
  </si>
  <si>
    <t>Tue</t>
  </si>
  <si>
    <t>Jan</t>
  </si>
  <si>
    <t>Wed</t>
  </si>
  <si>
    <t>Thu</t>
  </si>
  <si>
    <t>Fri</t>
  </si>
  <si>
    <t>Sat</t>
  </si>
  <si>
    <t>Sun</t>
  </si>
  <si>
    <t>Feb</t>
  </si>
  <si>
    <t>Mar</t>
  </si>
  <si>
    <t>Apr</t>
  </si>
  <si>
    <t>May</t>
  </si>
  <si>
    <t>Jun</t>
  </si>
  <si>
    <t>Jul</t>
  </si>
  <si>
    <t>Aug</t>
  </si>
  <si>
    <t>Sep</t>
  </si>
  <si>
    <t>Oct</t>
  </si>
  <si>
    <t>Nov</t>
  </si>
  <si>
    <t>Sales Price, Profit &amp; Promotion Elasticity Dashboard</t>
  </si>
  <si>
    <t>Daily unit-price, gross-profit, and demand-response metrics from 1,000 sales days: 2013-12-30 to 2016-09-24.</t>
  </si>
  <si>
    <t>Story in brief: The product shows very elastic demand during discount windows: every selected promotion has elasticity below -10, meaning volume rose far more than price fell. Gross margin recovered strongly by 2016 as selling price moved above cost per unit, but deep discounts still require careful margin monitoring. The dashboard separates price, sales, margin, and elasticity so promotion decisions can balance demand lift against profit quality.</t>
  </si>
  <si>
    <t>TOTAL SALES</t>
  </si>
  <si>
    <t>TOTAL UNITS</t>
  </si>
  <si>
    <t>AVG UNIT SALES PRICE</t>
  </si>
  <si>
    <t>TOTAL GROSS PROFIT %</t>
  </si>
  <si>
    <t>PROMOTION / SPECIAL PERIODS — ELASTICITY OF DEMAND</t>
  </si>
  <si>
    <t>Period</t>
  </si>
  <si>
    <t>Start</t>
  </si>
  <si>
    <t>End</t>
  </si>
  <si>
    <t>Days</t>
  </si>
  <si>
    <t>Promo Avg Price</t>
  </si>
  <si>
    <t>Baseline Avg Price</t>
  </si>
  <si>
    <t>Price Change %</t>
  </si>
  <si>
    <t>Promo Avg Units</t>
  </si>
  <si>
    <t>Baseline Avg Units</t>
  </si>
  <si>
    <t>Quantity Change %</t>
  </si>
  <si>
    <t>Elasticity</t>
  </si>
  <si>
    <t>Extended low-price special</t>
  </si>
  <si>
    <t>Autumn deep discount</t>
  </si>
  <si>
    <t>Early-2016 deep discount</t>
  </si>
  <si>
    <t>MONTHLY TREND DATA</t>
  </si>
  <si>
    <t>Month</t>
  </si>
  <si>
    <t>Units</t>
  </si>
  <si>
    <t>Avg Price</t>
  </si>
  <si>
    <t>Gross Profit %</t>
  </si>
  <si>
    <t>Sales Analytics Workbook</t>
  </si>
  <si>
    <t>Price, profitability, and promotion-elasticity dashboards based on all 1,000 daily observations.</t>
  </si>
  <si>
    <t>Sheet</t>
  </si>
  <si>
    <t>Purpose</t>
  </si>
  <si>
    <t>Dashboard</t>
  </si>
  <si>
    <t>Executive summary with KPIs, promotion elasticity, and monthly trend charts.</t>
  </si>
  <si>
    <t>Daily Metrics</t>
  </si>
  <si>
    <t>Daily sales price per unit, average unit sales price, and daily demand trend.</t>
  </si>
  <si>
    <t>Profitability</t>
  </si>
  <si>
    <t>Daily and monthly gross profit %, gross profit per unit %, and margin trend diagnostics.</t>
  </si>
  <si>
    <t>Promotion Analysis</t>
  </si>
  <si>
    <t>Three selected promotion/special periods with baseline comparisons and elasticity.</t>
  </si>
  <si>
    <t>SALES_EDA</t>
  </si>
  <si>
    <t>Source data and live calculated metric columns.</t>
  </si>
  <si>
    <t>Daily Price &amp; Demand Dashboard</t>
  </si>
  <si>
    <t>Answers: daily sales price per unit and weighted average unit sales price.</t>
  </si>
  <si>
    <t>Story in brief: Daily unit sales price is calculated as Sales divided by quantity sold for every transaction day. The workbook-level weighted average unit sales price is R35.27, which is lower than the simple average daily price because high-volume discount periods pull the weighted result down. This view helps compare daily price movement against volume response.</t>
  </si>
  <si>
    <t>WEIGHTED AVG UNIT PRICE</t>
  </si>
  <si>
    <t>SIMPLE AVG DAILY PRICE</t>
  </si>
  <si>
    <t>TOTAL UNITS SOLD</t>
  </si>
  <si>
    <t>DAILY PRICE SAMPLE &amp; CHART DATA</t>
  </si>
  <si>
    <t>Daily Sales Price / Unit</t>
  </si>
  <si>
    <t>Rolling Avg Price</t>
  </si>
  <si>
    <t>Quantity Sold</t>
  </si>
  <si>
    <t>Profitability Dashboard</t>
  </si>
  <si>
    <t>Answers: daily gross profit %, daily gross profit per unit %, and margin direction.</t>
  </si>
  <si>
    <t>Story in brief: Gross profit % is Sales less cost of sales divided by Sales. Gross profit per unit % measures the unit margin against the daily selling price. Margins start negative in early periods and improve materially by 2016 as sales price rises above cost per unit.</t>
  </si>
  <si>
    <t>AVG GROSS PROFIT / UNIT</t>
  </si>
  <si>
    <t>LATEST DAILY GP %</t>
  </si>
  <si>
    <t>MONTHLY PROFITABILITY DATA</t>
  </si>
  <si>
    <t>Gross Profit</t>
  </si>
  <si>
    <t>Gross Profit / Unit %</t>
  </si>
  <si>
    <t>Promotion / Special Period Elasticity Dashboard</t>
  </si>
  <si>
    <t>Answers: three selected periods and their price elasticity of demand.</t>
  </si>
  <si>
    <t>Story in brief: The selected promotion periods are sustained below-price windows identified from the source data. Elasticity is calculated as % change in average quantity divided by % change in average price, using the 14 days before and 14 days after each promotion as the baseline. All three periods show elastic demand, with volume responding sharply to discounted pricing.</t>
  </si>
  <si>
    <t>PROMOTION ELASTICITY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</si>
</sst>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yyyy\-mm\-dd"/>
    <numFmt numFmtId="165" formatCode="yyyy\-mm"/>
    <numFmt numFmtId="166" formatCode="&quot;R&quot;#,##0"/>
    <numFmt numFmtId="167" formatCode="&quot;R&quot;0.00"/>
    <numFmt numFmtId="168" formatCode="0.0%"/>
    <numFmt numFmtId="169" formatCode="0.0"/>
    <numFmt numFmtId="170" formatCode="mmm\ yyyy"/>
    <numFmt numFmtId="171" formatCode="\R#,##0"/>
    <numFmt numFmtId="172" formatCode="\R0.00"/>
  </numFmts>
  <fonts count="11" x14ac:knownFonts="1">
    <font>
      <sz val="11"/>
      <color theme="1"/>
      <name val="Aptos Narrow"/>
      <family val="2"/>
      <scheme val="minor"/>
    </font>
    <font>
      <b/>
      <sz val="18"/>
      <color rgb="FFFFFFFF"/>
      <name val="Aptos"/>
    </font>
    <font>
      <i/>
      <sz val="11"/>
      <color rgb="FF666666"/>
      <name val="Aptos"/>
    </font>
    <font>
      <sz val="11"/>
      <color theme="1"/>
      <name val="Aptos"/>
    </font>
    <font>
      <sz val="11"/>
      <color rgb="FF1F1F1F"/>
      <name val="Aptos"/>
    </font>
    <font>
      <b/>
      <sz val="10"/>
      <color rgb="FF17365D"/>
      <name val="Aptos"/>
    </font>
    <font>
      <b/>
      <sz val="20"/>
      <color theme="1"/>
      <name val="Aptos"/>
    </font>
    <font>
      <b/>
      <sz val="11"/>
      <color rgb="FFFFFFFF"/>
      <name val="Aptos"/>
    </font>
    <font>
      <b/>
      <sz val="20"/>
      <color rgb="FFFFFFFF"/>
      <name val="Aptos"/>
    </font>
    <font>
      <b/>
      <sz val="11"/>
      <color rgb="FF17365D"/>
      <name val="Aptos"/>
    </font>
    <font>
      <b/>
      <sz val="11"/>
      <color theme="1"/>
      <name val="Aptos"/>
    </font>
  </fonts>
  <fills count="7">
    <fill>
      <patternFill patternType="none"/>
    </fill>
    <fill>
      <patternFill patternType="gray125"/>
    </fill>
    <fill>
      <patternFill patternType="solid">
        <fgColor rgb="FF17365D"/>
        <bgColor indexed="64"/>
      </patternFill>
    </fill>
    <fill>
      <patternFill patternType="solid">
        <fgColor rgb="FFF2F6FA"/>
        <bgColor indexed="64"/>
      </patternFill>
    </fill>
    <fill>
      <patternFill patternType="solid">
        <fgColor rgb="FFD9EAF7"/>
        <bgColor indexed="64"/>
      </patternFill>
    </fill>
    <fill>
      <patternFill patternType="solid">
        <fgColor rgb="FF4472C4"/>
        <bgColor indexed="64"/>
      </patternFill>
    </fill>
    <fill>
      <patternFill patternType="solid">
        <fgColor rgb="FFE2F0D9"/>
        <bgColor indexed="64"/>
      </patternFill>
    </fill>
  </fills>
  <borders count="1">
    <border>
      <left/>
      <right/>
      <top/>
      <bottom/>
      <diagonal/>
    </border>
  </borders>
  <cellStyleXfs count="1">
    <xf numFmtId="0" fontId="0" fillId="0" borderId="0"/>
  </cellStyleXfs>
  <cellXfs count="37">
    <xf numFmtId="0" fontId="0" fillId="0" borderId="0" xfId="0"/>
    <xf numFmtId="0" fontId="3" fillId="0" borderId="0" xfId="0" applyFont="1"/>
    <xf numFmtId="0" fontId="7" fillId="5" borderId="0" xfId="0" applyFont="1" applyFill="1"/>
    <xf numFmtId="0" fontId="7" fillId="0" borderId="0" xfId="0" applyFont="1" applyAlignment="1">
      <alignment horizontal="center"/>
    </xf>
    <xf numFmtId="0" fontId="3" fillId="0" borderId="0" xfId="0" applyFont="1" applyAlignment="1">
      <alignment wrapText="1"/>
    </xf>
    <xf numFmtId="164" fontId="3" fillId="0" borderId="0" xfId="0" applyNumberFormat="1" applyFont="1"/>
    <xf numFmtId="3" fontId="3" fillId="0" borderId="0" xfId="0" applyNumberFormat="1" applyFont="1"/>
    <xf numFmtId="167" fontId="3" fillId="0" borderId="0" xfId="0" applyNumberFormat="1" applyFont="1"/>
    <xf numFmtId="168" fontId="3" fillId="0" borderId="0" xfId="0" applyNumberFormat="1" applyFont="1"/>
    <xf numFmtId="169" fontId="3" fillId="0" borderId="0" xfId="0" applyNumberFormat="1" applyFont="1"/>
    <xf numFmtId="170" fontId="3" fillId="0" borderId="0" xfId="0" applyNumberFormat="1" applyFont="1"/>
    <xf numFmtId="166" fontId="3" fillId="0" borderId="0" xfId="0" applyNumberFormat="1" applyFont="1"/>
    <xf numFmtId="165" fontId="3" fillId="0" borderId="0" xfId="0" applyNumberFormat="1" applyFont="1"/>
    <xf numFmtId="10" fontId="3" fillId="0" borderId="0" xfId="0" applyNumberFormat="1" applyFont="1"/>
    <xf numFmtId="171" fontId="3" fillId="0" borderId="0" xfId="0" applyNumberFormat="1" applyFont="1"/>
    <xf numFmtId="172" fontId="3" fillId="0" borderId="0" xfId="0" applyNumberFormat="1" applyFont="1"/>
    <xf numFmtId="0" fontId="9" fillId="0" borderId="0" xfId="0" applyFont="1"/>
    <xf numFmtId="0" fontId="1" fillId="2" borderId="0" xfId="0" applyFont="1" applyFill="1" applyAlignment="1">
      <alignment horizontal="center"/>
    </xf>
    <xf numFmtId="0" fontId="2" fillId="0" borderId="0" xfId="0" applyFont="1" applyAlignment="1">
      <alignment horizontal="center"/>
    </xf>
    <xf numFmtId="0" fontId="3" fillId="3" borderId="0" xfId="0" applyFont="1" applyFill="1" applyAlignment="1">
      <alignment wrapText="1"/>
    </xf>
    <xf numFmtId="0" fontId="7" fillId="5" borderId="0" xfId="0" applyFont="1" applyFill="1"/>
    <xf numFmtId="0" fontId="8" fillId="2" borderId="0" xfId="0" applyFont="1" applyFill="1" applyAlignment="1">
      <alignment horizontal="center"/>
    </xf>
    <xf numFmtId="166" fontId="6" fillId="4" borderId="0" xfId="0" applyNumberFormat="1" applyFont="1" applyFill="1" applyAlignment="1">
      <alignment horizontal="center" vertical="center"/>
    </xf>
    <xf numFmtId="0" fontId="6" fillId="4" borderId="0" xfId="0" applyFont="1" applyFill="1" applyAlignment="1">
      <alignment horizontal="center" vertical="center"/>
    </xf>
    <xf numFmtId="3" fontId="6" fillId="4" borderId="0" xfId="0" applyNumberFormat="1" applyFont="1" applyFill="1" applyAlignment="1">
      <alignment horizontal="center" vertical="center"/>
    </xf>
    <xf numFmtId="167" fontId="6" fillId="4" borderId="0" xfId="0" applyNumberFormat="1" applyFont="1" applyFill="1" applyAlignment="1">
      <alignment horizontal="center" vertical="center"/>
    </xf>
    <xf numFmtId="10" fontId="6" fillId="4" borderId="0" xfId="0" applyNumberFormat="1" applyFont="1" applyFill="1" applyAlignment="1">
      <alignment horizontal="center" vertical="center"/>
    </xf>
    <xf numFmtId="0" fontId="4" fillId="3" borderId="0" xfId="0" applyFont="1" applyFill="1" applyAlignment="1">
      <alignment wrapText="1"/>
    </xf>
    <xf numFmtId="0" fontId="5" fillId="4" borderId="0" xfId="0" applyFont="1" applyFill="1" applyAlignment="1">
      <alignment horizontal="center" vertical="center"/>
    </xf>
    <xf numFmtId="172" fontId="6" fillId="4" borderId="0" xfId="0" applyNumberFormat="1" applyFont="1" applyFill="1" applyAlignment="1">
      <alignment horizontal="center"/>
    </xf>
    <xf numFmtId="0" fontId="6" fillId="4" borderId="0" xfId="0" applyFont="1" applyFill="1" applyAlignment="1">
      <alignment horizontal="center"/>
    </xf>
    <xf numFmtId="3" fontId="6" fillId="4" borderId="0" xfId="0" applyNumberFormat="1" applyFont="1" applyFill="1" applyAlignment="1">
      <alignment horizontal="center"/>
    </xf>
    <xf numFmtId="0" fontId="10" fillId="4" borderId="0" xfId="0" applyFont="1" applyFill="1" applyAlignment="1">
      <alignment horizontal="center"/>
    </xf>
    <xf numFmtId="10" fontId="6" fillId="6" borderId="0" xfId="0" applyNumberFormat="1" applyFont="1" applyFill="1" applyAlignment="1">
      <alignment horizontal="center"/>
    </xf>
    <xf numFmtId="0" fontId="6" fillId="6" borderId="0" xfId="0" applyFont="1" applyFill="1" applyAlignment="1">
      <alignment horizontal="center"/>
    </xf>
    <xf numFmtId="172" fontId="6" fillId="6" borderId="0" xfId="0" applyNumberFormat="1" applyFont="1" applyFill="1" applyAlignment="1">
      <alignment horizontal="center"/>
    </xf>
    <xf numFmtId="0" fontId="10" fillId="6" borderId="0" xfId="0" applyFont="1" applyFill="1" applyAlignment="1">
      <alignment horizontal="center"/>
    </xf>
  </cellXfs>
  <cellStyles count="1">
    <cellStyle name="Normal" xfId="0" builtinId="0"/>
  </cellStyles>
  <dxfs count="70">
    <dxf>
      <font>
        <name val="Aptos"/>
      </font>
      <numFmt numFmtId="168" formatCode="0.0%"/>
    </dxf>
    <dxf>
      <font>
        <name val="Aptos"/>
      </font>
      <numFmt numFmtId="168" formatCode="0.0%"/>
    </dxf>
    <dxf>
      <font>
        <name val="Aptos"/>
      </font>
      <numFmt numFmtId="171" formatCode="\R#,##0"/>
    </dxf>
    <dxf>
      <font>
        <name val="Aptos"/>
      </font>
      <numFmt numFmtId="171" formatCode="\R#,##0"/>
    </dxf>
    <dxf>
      <font>
        <name val="Aptos"/>
      </font>
      <numFmt numFmtId="170" formatCode="mmm\ yyyy"/>
    </dxf>
    <dxf>
      <font>
        <name val="Aptos"/>
      </font>
    </dxf>
    <dxf>
      <font>
        <name val="Aptos"/>
      </font>
    </dxf>
    <dxf>
      <font>
        <name val="Aptos"/>
      </font>
      <numFmt numFmtId="171" formatCode="\R#,##0"/>
    </dxf>
    <dxf>
      <font>
        <name val="Aptos"/>
      </font>
      <numFmt numFmtId="3" formatCode="#,##0"/>
    </dxf>
    <dxf>
      <font>
        <name val="Aptos"/>
      </font>
      <numFmt numFmtId="172" formatCode="\R0.00"/>
    </dxf>
    <dxf>
      <font>
        <name val="Aptos"/>
      </font>
      <numFmt numFmtId="172" formatCode="\R0.00"/>
    </dxf>
    <dxf>
      <font>
        <name val="Aptos"/>
      </font>
      <numFmt numFmtId="164" formatCode="yyyy\-mm\-dd"/>
    </dxf>
    <dxf>
      <font>
        <name val="Aptos"/>
      </font>
    </dxf>
    <dxf>
      <font>
        <name val="Aptos"/>
      </font>
    </dxf>
    <dxf>
      <font>
        <name val="Aptos"/>
      </font>
      <numFmt numFmtId="3" formatCode="#,##0"/>
    </dxf>
    <dxf>
      <font>
        <name val="Aptos"/>
      </font>
      <numFmt numFmtId="168" formatCode="0.0%"/>
    </dxf>
    <dxf>
      <font>
        <name val="Aptos"/>
      </font>
      <numFmt numFmtId="167" formatCode="&quot;R&quot;0.00"/>
    </dxf>
    <dxf>
      <font>
        <name val="Aptos"/>
      </font>
      <numFmt numFmtId="3" formatCode="#,##0"/>
    </dxf>
    <dxf>
      <font>
        <name val="Aptos"/>
      </font>
      <numFmt numFmtId="166" formatCode="&quot;R&quot;#,##0"/>
    </dxf>
    <dxf>
      <font>
        <name val="Aptos"/>
      </font>
      <numFmt numFmtId="170" formatCode="mmm\ yyyy"/>
    </dxf>
    <dxf>
      <font>
        <name val="Aptos"/>
      </font>
    </dxf>
    <dxf>
      <font>
        <b/>
        <color rgb="FFFFFFFF"/>
        <name val="Aptos"/>
      </font>
      <alignment horizontal="center"/>
    </dxf>
    <dxf>
      <font>
        <name val="Aptos"/>
      </font>
      <numFmt numFmtId="169" formatCode="0.0"/>
    </dxf>
    <dxf>
      <font>
        <name val="Aptos"/>
      </font>
      <numFmt numFmtId="168" formatCode="0.0%"/>
    </dxf>
    <dxf>
      <font>
        <name val="Aptos"/>
      </font>
      <numFmt numFmtId="3" formatCode="#,##0"/>
    </dxf>
    <dxf>
      <font>
        <name val="Aptos"/>
      </font>
      <numFmt numFmtId="3" formatCode="#,##0"/>
    </dxf>
    <dxf>
      <font>
        <name val="Aptos"/>
      </font>
      <numFmt numFmtId="168" formatCode="0.0%"/>
    </dxf>
    <dxf>
      <font>
        <name val="Aptos"/>
      </font>
      <numFmt numFmtId="167" formatCode="&quot;R&quot;0.00"/>
    </dxf>
    <dxf>
      <font>
        <name val="Aptos"/>
      </font>
      <numFmt numFmtId="167" formatCode="&quot;R&quot;0.00"/>
    </dxf>
    <dxf>
      <font>
        <name val="Aptos"/>
      </font>
      <numFmt numFmtId="3" formatCode="#,##0"/>
    </dxf>
    <dxf>
      <font>
        <name val="Aptos"/>
      </font>
      <numFmt numFmtId="164" formatCode="yyyy\-mm\-dd"/>
    </dxf>
    <dxf>
      <font>
        <name val="Aptos"/>
      </font>
      <numFmt numFmtId="164" formatCode="yyyy\-mm\-dd"/>
    </dxf>
    <dxf>
      <font>
        <name val="Aptos"/>
      </font>
      <alignment wrapText="1"/>
    </dxf>
    <dxf>
      <font>
        <name val="Aptos"/>
      </font>
    </dxf>
    <dxf>
      <font>
        <b/>
        <color rgb="FFFFFFFF"/>
        <name val="Aptos"/>
      </font>
      <alignment horizontal="center"/>
    </dxf>
    <dxf>
      <font>
        <name val="Aptos"/>
      </font>
      <numFmt numFmtId="172" formatCode="\R0.00"/>
    </dxf>
    <dxf>
      <font>
        <name val="Aptos"/>
      </font>
      <numFmt numFmtId="172" formatCode="\R0.00"/>
    </dxf>
    <dxf>
      <font>
        <name val="Aptos"/>
      </font>
      <numFmt numFmtId="14" formatCode="0.00%"/>
    </dxf>
    <dxf>
      <font>
        <name val="Aptos"/>
      </font>
      <numFmt numFmtId="172" formatCode="\R0.00"/>
    </dxf>
    <dxf>
      <font>
        <name val="Aptos"/>
      </font>
      <numFmt numFmtId="14" formatCode="0.00%"/>
    </dxf>
    <dxf>
      <font>
        <name val="Aptos"/>
      </font>
      <numFmt numFmtId="171" formatCode="\R#,##0"/>
    </dxf>
    <dxf>
      <font>
        <name val="Aptos"/>
      </font>
      <numFmt numFmtId="172" formatCode="\R0.00"/>
    </dxf>
    <dxf>
      <font>
        <name val="Aptos"/>
      </font>
      <numFmt numFmtId="172" formatCode="\R0.00"/>
    </dxf>
    <dxf>
      <font>
        <name val="Aptos"/>
      </font>
      <numFmt numFmtId="0" formatCode="General"/>
    </dxf>
    <dxf>
      <font>
        <name val="Aptos"/>
      </font>
      <numFmt numFmtId="0" formatCode="General"/>
    </dxf>
    <dxf>
      <font>
        <name val="Aptos"/>
      </font>
    </dxf>
    <dxf>
      <font>
        <name val="Aptos"/>
      </font>
    </dxf>
    <dxf>
      <font>
        <name val="Aptos"/>
      </font>
      <numFmt numFmtId="165" formatCode="yyyy\-mm"/>
    </dxf>
    <dxf>
      <font>
        <name val="Aptos"/>
      </font>
      <numFmt numFmtId="0" formatCode="General"/>
    </dxf>
    <dxf>
      <font>
        <name val="Aptos"/>
      </font>
    </dxf>
    <dxf>
      <font>
        <name val="Aptos"/>
      </font>
    </dxf>
    <dxf>
      <font>
        <name val="Aptos"/>
      </font>
      <numFmt numFmtId="3" formatCode="#,##0"/>
    </dxf>
    <dxf>
      <font>
        <name val="Aptos"/>
      </font>
      <numFmt numFmtId="171" formatCode="\R#,##0"/>
    </dxf>
    <dxf>
      <font>
        <name val="Aptos"/>
      </font>
      <numFmt numFmtId="171" formatCode="\R#,##0"/>
    </dxf>
    <dxf>
      <font>
        <name val="Aptos"/>
      </font>
      <numFmt numFmtId="164" formatCode="yyyy\-mm\-dd"/>
    </dxf>
    <dxf>
      <font>
        <name val="Aptos"/>
      </font>
    </dxf>
    <dxf>
      <font>
        <name val="Aptos"/>
      </font>
    </dxf>
    <dxf>
      <font>
        <name val="Aptos"/>
      </font>
      <numFmt numFmtId="169" formatCode="0.0"/>
    </dxf>
    <dxf>
      <font>
        <name val="Aptos"/>
      </font>
      <numFmt numFmtId="168" formatCode="0.0%"/>
    </dxf>
    <dxf>
      <font>
        <name val="Aptos"/>
      </font>
      <numFmt numFmtId="3" formatCode="#,##0"/>
    </dxf>
    <dxf>
      <font>
        <name val="Aptos"/>
      </font>
      <numFmt numFmtId="3" formatCode="#,##0"/>
    </dxf>
    <dxf>
      <font>
        <name val="Aptos"/>
      </font>
      <numFmt numFmtId="168" formatCode="0.0%"/>
    </dxf>
    <dxf>
      <font>
        <name val="Aptos"/>
      </font>
      <numFmt numFmtId="172" formatCode="\R0.00"/>
    </dxf>
    <dxf>
      <font>
        <name val="Aptos"/>
      </font>
      <numFmt numFmtId="172" formatCode="\R0.00"/>
    </dxf>
    <dxf>
      <font>
        <name val="Aptos"/>
      </font>
      <numFmt numFmtId="3" formatCode="#,##0"/>
    </dxf>
    <dxf>
      <font>
        <name val="Aptos"/>
      </font>
      <numFmt numFmtId="164" formatCode="yyyy\-mm\-dd"/>
    </dxf>
    <dxf>
      <font>
        <name val="Aptos"/>
      </font>
      <numFmt numFmtId="164" formatCode="yyyy\-mm\-dd"/>
    </dxf>
    <dxf>
      <font>
        <name val="Aptos"/>
      </font>
    </dxf>
    <dxf>
      <font>
        <name val="Aptos"/>
      </font>
    </dxf>
    <dxf>
      <font>
        <name val="Aptos"/>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Elasticity of Demand by Promotion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7114038386301569E-2"/>
          <c:y val="8.2660590277777793E-2"/>
          <c:w val="0.89644225911703146"/>
          <c:h val="0.82332181621828526"/>
        </c:manualLayout>
      </c:layout>
      <c:barChart>
        <c:barDir val="bar"/>
        <c:grouping val="clustered"/>
        <c:varyColors val="0"/>
        <c:ser>
          <c:idx val="0"/>
          <c:order val="0"/>
          <c:tx>
            <c:strRef>
              <c:f>Dashboard!$K$14</c:f>
              <c:strCache>
                <c:ptCount val="1"/>
                <c:pt idx="0">
                  <c:v>Elasticity</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Dashboard!$A$15:$A$17</c:f>
              <c:strCache>
                <c:ptCount val="3"/>
                <c:pt idx="0">
                  <c:v>Extended low-price special</c:v>
                </c:pt>
                <c:pt idx="1">
                  <c:v>Autumn deep discount</c:v>
                </c:pt>
                <c:pt idx="2">
                  <c:v>Early-2016 deep discount</c:v>
                </c:pt>
              </c:strCache>
            </c:strRef>
          </c:cat>
          <c:val>
            <c:numRef>
              <c:f>Dashboard!$K$15:$K$17</c:f>
              <c:numCache>
                <c:formatCode>0.0</c:formatCode>
                <c:ptCount val="3"/>
                <c:pt idx="0">
                  <c:v>-14.964384920488358</c:v>
                </c:pt>
                <c:pt idx="1">
                  <c:v>-27.58640434255792</c:v>
                </c:pt>
                <c:pt idx="2">
                  <c:v>-10.55688418679012</c:v>
                </c:pt>
              </c:numCache>
            </c:numRef>
          </c:val>
          <c:extLst>
            <c:ext xmlns:c16="http://schemas.microsoft.com/office/drawing/2014/chart" uri="{C3380CC4-5D6E-409C-BE32-E72D297353CC}">
              <c16:uniqueId val="{00000000-1EC6-47A5-AFA5-8CFBF2BA2533}"/>
            </c:ext>
          </c:extLst>
        </c:ser>
        <c:dLbls>
          <c:showLegendKey val="0"/>
          <c:showVal val="0"/>
          <c:showCatName val="0"/>
          <c:showSerName val="0"/>
          <c:showPercent val="0"/>
          <c:showBubbleSize val="0"/>
        </c:dLbls>
        <c:gapWidth val="182"/>
        <c:axId val="1597579279"/>
        <c:axId val="358112207"/>
      </c:barChart>
      <c:catAx>
        <c:axId val="1597579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Promotion period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112207"/>
        <c:crosses val="autoZero"/>
        <c:auto val="1"/>
        <c:lblAlgn val="ctr"/>
        <c:lblOffset val="100"/>
        <c:noMultiLvlLbl val="0"/>
      </c:catAx>
      <c:valAx>
        <c:axId val="358112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Elasticity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57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Unit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Dashboard!$D$54</c:f>
              <c:strCache>
                <c:ptCount val="1"/>
                <c:pt idx="0">
                  <c:v>Avg Price</c:v>
                </c:pt>
              </c:strCache>
            </c:strRef>
          </c:tx>
          <c:spPr>
            <a:ln w="28575" cap="rnd">
              <a:solidFill>
                <a:schemeClr val="accent1"/>
              </a:solidFill>
              <a:round/>
            </a:ln>
            <a:effectLst/>
          </c:spPr>
          <c:marker>
            <c:symbol val="none"/>
          </c:marker>
          <c:cat>
            <c:numRef>
              <c:f>Dashboard!$A$55:$A$88</c:f>
              <c:numCache>
                <c:formatCode>mmm\ yyyy</c:formatCode>
                <c:ptCount val="34"/>
                <c:pt idx="0">
                  <c:v>41609</c:v>
                </c:pt>
                <c:pt idx="1">
                  <c:v>41640</c:v>
                </c:pt>
                <c:pt idx="2">
                  <c:v>41671</c:v>
                </c:pt>
                <c:pt idx="3">
                  <c:v>41699</c:v>
                </c:pt>
                <c:pt idx="4">
                  <c:v>41730</c:v>
                </c:pt>
                <c:pt idx="5">
                  <c:v>41760</c:v>
                </c:pt>
                <c:pt idx="6">
                  <c:v>41791</c:v>
                </c:pt>
                <c:pt idx="7">
                  <c:v>41821</c:v>
                </c:pt>
                <c:pt idx="8">
                  <c:v>41852</c:v>
                </c:pt>
                <c:pt idx="9">
                  <c:v>41883</c:v>
                </c:pt>
                <c:pt idx="10">
                  <c:v>41913</c:v>
                </c:pt>
                <c:pt idx="11">
                  <c:v>41944</c:v>
                </c:pt>
                <c:pt idx="12">
                  <c:v>41974</c:v>
                </c:pt>
                <c:pt idx="13">
                  <c:v>42005</c:v>
                </c:pt>
                <c:pt idx="14">
                  <c:v>42036</c:v>
                </c:pt>
                <c:pt idx="15">
                  <c:v>42064</c:v>
                </c:pt>
                <c:pt idx="16">
                  <c:v>42095</c:v>
                </c:pt>
                <c:pt idx="17">
                  <c:v>42125</c:v>
                </c:pt>
                <c:pt idx="18">
                  <c:v>42156</c:v>
                </c:pt>
                <c:pt idx="19">
                  <c:v>42186</c:v>
                </c:pt>
                <c:pt idx="20">
                  <c:v>42217</c:v>
                </c:pt>
                <c:pt idx="21">
                  <c:v>42248</c:v>
                </c:pt>
                <c:pt idx="22">
                  <c:v>42278</c:v>
                </c:pt>
                <c:pt idx="23">
                  <c:v>42309</c:v>
                </c:pt>
                <c:pt idx="24">
                  <c:v>42339</c:v>
                </c:pt>
                <c:pt idx="25">
                  <c:v>42370</c:v>
                </c:pt>
                <c:pt idx="26">
                  <c:v>42401</c:v>
                </c:pt>
                <c:pt idx="27">
                  <c:v>42430</c:v>
                </c:pt>
                <c:pt idx="28">
                  <c:v>42461</c:v>
                </c:pt>
                <c:pt idx="29">
                  <c:v>42491</c:v>
                </c:pt>
                <c:pt idx="30">
                  <c:v>42522</c:v>
                </c:pt>
                <c:pt idx="31">
                  <c:v>42552</c:v>
                </c:pt>
                <c:pt idx="32">
                  <c:v>42583</c:v>
                </c:pt>
                <c:pt idx="33">
                  <c:v>42614</c:v>
                </c:pt>
              </c:numCache>
            </c:numRef>
          </c:cat>
          <c:val>
            <c:numRef>
              <c:f>Dashboard!$D$55:$D$88</c:f>
              <c:numCache>
                <c:formatCode>"R"0.00</c:formatCode>
                <c:ptCount val="34"/>
                <c:pt idx="0">
                  <c:v>32.574305836204601</c:v>
                </c:pt>
                <c:pt idx="1">
                  <c:v>33.411249021299838</c:v>
                </c:pt>
                <c:pt idx="2">
                  <c:v>32.468262843379236</c:v>
                </c:pt>
                <c:pt idx="3">
                  <c:v>32.746591371989965</c:v>
                </c:pt>
                <c:pt idx="4">
                  <c:v>33.856117721804772</c:v>
                </c:pt>
                <c:pt idx="5">
                  <c:v>32.634158578467876</c:v>
                </c:pt>
                <c:pt idx="6">
                  <c:v>32.470285917198318</c:v>
                </c:pt>
                <c:pt idx="7">
                  <c:v>33.460456162532253</c:v>
                </c:pt>
                <c:pt idx="8">
                  <c:v>32.232069496792434</c:v>
                </c:pt>
                <c:pt idx="9">
                  <c:v>32.150199315476002</c:v>
                </c:pt>
                <c:pt idx="10">
                  <c:v>34.50420992005639</c:v>
                </c:pt>
                <c:pt idx="11">
                  <c:v>38.375262044256949</c:v>
                </c:pt>
                <c:pt idx="12">
                  <c:v>39.376905862225719</c:v>
                </c:pt>
                <c:pt idx="13">
                  <c:v>40.289857291352824</c:v>
                </c:pt>
                <c:pt idx="14">
                  <c:v>38.367043381602009</c:v>
                </c:pt>
                <c:pt idx="15">
                  <c:v>38.554455910768347</c:v>
                </c:pt>
                <c:pt idx="16">
                  <c:v>38.802318562952621</c:v>
                </c:pt>
                <c:pt idx="17">
                  <c:v>37.97697765214776</c:v>
                </c:pt>
                <c:pt idx="18">
                  <c:v>39.039898107083282</c:v>
                </c:pt>
                <c:pt idx="19">
                  <c:v>38.469585711884093</c:v>
                </c:pt>
                <c:pt idx="20">
                  <c:v>36.131354815590591</c:v>
                </c:pt>
                <c:pt idx="21">
                  <c:v>34.633667751556892</c:v>
                </c:pt>
                <c:pt idx="22">
                  <c:v>35.68348811407418</c:v>
                </c:pt>
                <c:pt idx="23">
                  <c:v>35.1763019095742</c:v>
                </c:pt>
                <c:pt idx="24">
                  <c:v>36.409440288934213</c:v>
                </c:pt>
                <c:pt idx="25">
                  <c:v>35.886388302798061</c:v>
                </c:pt>
                <c:pt idx="26">
                  <c:v>36.783835688066731</c:v>
                </c:pt>
                <c:pt idx="27">
                  <c:v>39.79046984913257</c:v>
                </c:pt>
                <c:pt idx="28">
                  <c:v>34.99293072339448</c:v>
                </c:pt>
                <c:pt idx="29">
                  <c:v>35.340413778044869</c:v>
                </c:pt>
                <c:pt idx="30">
                  <c:v>34.289609702151729</c:v>
                </c:pt>
                <c:pt idx="31">
                  <c:v>36.676397158571433</c:v>
                </c:pt>
                <c:pt idx="32">
                  <c:v>35.134236204370595</c:v>
                </c:pt>
                <c:pt idx="33">
                  <c:v>36.50068436293683</c:v>
                </c:pt>
              </c:numCache>
            </c:numRef>
          </c:val>
          <c:smooth val="0"/>
          <c:extLst>
            <c:ext xmlns:c16="http://schemas.microsoft.com/office/drawing/2014/chart" uri="{C3380CC4-5D6E-409C-BE32-E72D297353CC}">
              <c16:uniqueId val="{00000000-6513-4AA5-AB24-7325E0457A9D}"/>
            </c:ext>
          </c:extLst>
        </c:ser>
        <c:dLbls>
          <c:showLegendKey val="0"/>
          <c:showVal val="0"/>
          <c:showCatName val="0"/>
          <c:showSerName val="0"/>
          <c:showPercent val="0"/>
          <c:showBubbleSize val="0"/>
        </c:dLbls>
        <c:smooth val="0"/>
        <c:axId val="256890767"/>
        <c:axId val="357978287"/>
      </c:lineChart>
      <c:dateAx>
        <c:axId val="256890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 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78287"/>
        <c:crosses val="autoZero"/>
        <c:auto val="0"/>
        <c:lblOffset val="100"/>
        <c:baseTimeUnit val="months"/>
      </c:dateAx>
      <c:valAx>
        <c:axId val="357978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Avg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8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Dashboard!$B$54</c:f>
              <c:strCache>
                <c:ptCount val="1"/>
                <c:pt idx="0">
                  <c:v>Sales</c:v>
                </c:pt>
              </c:strCache>
            </c:strRef>
          </c:tx>
          <c:spPr>
            <a:solidFill>
              <a:schemeClr val="accent1"/>
            </a:solidFill>
            <a:ln>
              <a:noFill/>
            </a:ln>
            <a:effectLst/>
          </c:spPr>
          <c:invertIfNegative val="0"/>
          <c:cat>
            <c:numRef>
              <c:f>Dashboard!$A$55:$A$88</c:f>
              <c:numCache>
                <c:formatCode>mmm\ yyyy</c:formatCode>
                <c:ptCount val="34"/>
                <c:pt idx="0">
                  <c:v>41609</c:v>
                </c:pt>
                <c:pt idx="1">
                  <c:v>41640</c:v>
                </c:pt>
                <c:pt idx="2">
                  <c:v>41671</c:v>
                </c:pt>
                <c:pt idx="3">
                  <c:v>41699</c:v>
                </c:pt>
                <c:pt idx="4">
                  <c:v>41730</c:v>
                </c:pt>
                <c:pt idx="5">
                  <c:v>41760</c:v>
                </c:pt>
                <c:pt idx="6">
                  <c:v>41791</c:v>
                </c:pt>
                <c:pt idx="7">
                  <c:v>41821</c:v>
                </c:pt>
                <c:pt idx="8">
                  <c:v>41852</c:v>
                </c:pt>
                <c:pt idx="9">
                  <c:v>41883</c:v>
                </c:pt>
                <c:pt idx="10">
                  <c:v>41913</c:v>
                </c:pt>
                <c:pt idx="11">
                  <c:v>41944</c:v>
                </c:pt>
                <c:pt idx="12">
                  <c:v>41974</c:v>
                </c:pt>
                <c:pt idx="13">
                  <c:v>42005</c:v>
                </c:pt>
                <c:pt idx="14">
                  <c:v>42036</c:v>
                </c:pt>
                <c:pt idx="15">
                  <c:v>42064</c:v>
                </c:pt>
                <c:pt idx="16">
                  <c:v>42095</c:v>
                </c:pt>
                <c:pt idx="17">
                  <c:v>42125</c:v>
                </c:pt>
                <c:pt idx="18">
                  <c:v>42156</c:v>
                </c:pt>
                <c:pt idx="19">
                  <c:v>42186</c:v>
                </c:pt>
                <c:pt idx="20">
                  <c:v>42217</c:v>
                </c:pt>
                <c:pt idx="21">
                  <c:v>42248</c:v>
                </c:pt>
                <c:pt idx="22">
                  <c:v>42278</c:v>
                </c:pt>
                <c:pt idx="23">
                  <c:v>42309</c:v>
                </c:pt>
                <c:pt idx="24">
                  <c:v>42339</c:v>
                </c:pt>
                <c:pt idx="25">
                  <c:v>42370</c:v>
                </c:pt>
                <c:pt idx="26">
                  <c:v>42401</c:v>
                </c:pt>
                <c:pt idx="27">
                  <c:v>42430</c:v>
                </c:pt>
                <c:pt idx="28">
                  <c:v>42461</c:v>
                </c:pt>
                <c:pt idx="29">
                  <c:v>42491</c:v>
                </c:pt>
                <c:pt idx="30">
                  <c:v>42522</c:v>
                </c:pt>
                <c:pt idx="31">
                  <c:v>42552</c:v>
                </c:pt>
                <c:pt idx="32">
                  <c:v>42583</c:v>
                </c:pt>
                <c:pt idx="33">
                  <c:v>42614</c:v>
                </c:pt>
              </c:numCache>
            </c:numRef>
          </c:cat>
          <c:val>
            <c:numRef>
              <c:f>Dashboard!$B$55:$B$88</c:f>
              <c:numCache>
                <c:formatCode>"R"#\ ##0</c:formatCode>
                <c:ptCount val="34"/>
                <c:pt idx="0">
                  <c:v>524283.45243371301</c:v>
                </c:pt>
                <c:pt idx="1">
                  <c:v>4008180.4888402349</c:v>
                </c:pt>
                <c:pt idx="2">
                  <c:v>5780487.175321022</c:v>
                </c:pt>
                <c:pt idx="3">
                  <c:v>8279517.1761284554</c:v>
                </c:pt>
                <c:pt idx="4">
                  <c:v>6435743.2738555912</c:v>
                </c:pt>
                <c:pt idx="5">
                  <c:v>7694906.1536926758</c:v>
                </c:pt>
                <c:pt idx="6">
                  <c:v>6456943.6466363054</c:v>
                </c:pt>
                <c:pt idx="7">
                  <c:v>4933710.8007092187</c:v>
                </c:pt>
                <c:pt idx="8">
                  <c:v>10010378.28775782</c:v>
                </c:pt>
                <c:pt idx="9">
                  <c:v>7643452.6856598957</c:v>
                </c:pt>
                <c:pt idx="10">
                  <c:v>5924683.3811629629</c:v>
                </c:pt>
                <c:pt idx="11">
                  <c:v>2631353.343112655</c:v>
                </c:pt>
                <c:pt idx="12">
                  <c:v>5615619.2988237338</c:v>
                </c:pt>
                <c:pt idx="13">
                  <c:v>3696191.507908708</c:v>
                </c:pt>
                <c:pt idx="14">
                  <c:v>4901504.8931298014</c:v>
                </c:pt>
                <c:pt idx="15">
                  <c:v>5269353.1526924418</c:v>
                </c:pt>
                <c:pt idx="16">
                  <c:v>5963993.9677629443</c:v>
                </c:pt>
                <c:pt idx="17">
                  <c:v>8384367.2411529217</c:v>
                </c:pt>
                <c:pt idx="18">
                  <c:v>5332108.3233635416</c:v>
                </c:pt>
                <c:pt idx="19">
                  <c:v>3677692.394056119</c:v>
                </c:pt>
                <c:pt idx="20">
                  <c:v>3934668.4080629996</c:v>
                </c:pt>
                <c:pt idx="21">
                  <c:v>4669899.8586166771</c:v>
                </c:pt>
                <c:pt idx="22">
                  <c:v>4828975.0795014305</c:v>
                </c:pt>
                <c:pt idx="23">
                  <c:v>6538148.8833287368</c:v>
                </c:pt>
                <c:pt idx="24">
                  <c:v>6820689.6776469136</c:v>
                </c:pt>
                <c:pt idx="25">
                  <c:v>5403090.5092575783</c:v>
                </c:pt>
                <c:pt idx="26">
                  <c:v>4891882.3081559949</c:v>
                </c:pt>
                <c:pt idx="27">
                  <c:v>2951856.0057579</c:v>
                </c:pt>
                <c:pt idx="28">
                  <c:v>6656880.1761649484</c:v>
                </c:pt>
                <c:pt idx="29">
                  <c:v>5170231.8549004085</c:v>
                </c:pt>
                <c:pt idx="30">
                  <c:v>6771134.9382742001</c:v>
                </c:pt>
                <c:pt idx="31">
                  <c:v>3324825.4316159762</c:v>
                </c:pt>
                <c:pt idx="32">
                  <c:v>4343329.4138204977</c:v>
                </c:pt>
                <c:pt idx="33">
                  <c:v>2789053.7928563659</c:v>
                </c:pt>
              </c:numCache>
            </c:numRef>
          </c:val>
          <c:extLst>
            <c:ext xmlns:c16="http://schemas.microsoft.com/office/drawing/2014/chart" uri="{C3380CC4-5D6E-409C-BE32-E72D297353CC}">
              <c16:uniqueId val="{00000000-2C81-4F41-9AB9-80E83EADBF89}"/>
            </c:ext>
          </c:extLst>
        </c:ser>
        <c:dLbls>
          <c:showLegendKey val="0"/>
          <c:showVal val="0"/>
          <c:showCatName val="0"/>
          <c:showSerName val="0"/>
          <c:showPercent val="0"/>
          <c:showBubbleSize val="0"/>
        </c:dLbls>
        <c:gapWidth val="219"/>
        <c:overlap val="-27"/>
        <c:axId val="1600068047"/>
        <c:axId val="357997487"/>
      </c:barChart>
      <c:dateAx>
        <c:axId val="1600068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 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97487"/>
        <c:crosses val="autoZero"/>
        <c:auto val="0"/>
        <c:lblOffset val="100"/>
        <c:baseTimeUnit val="months"/>
      </c:dateAx>
      <c:valAx>
        <c:axId val="357997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06804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Gross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Dashboard!$E$54</c:f>
              <c:strCache>
                <c:ptCount val="1"/>
                <c:pt idx="0">
                  <c:v>Gross Profit %</c:v>
                </c:pt>
              </c:strCache>
            </c:strRef>
          </c:tx>
          <c:spPr>
            <a:ln w="28575" cap="rnd">
              <a:solidFill>
                <a:schemeClr val="accent1"/>
              </a:solidFill>
              <a:round/>
            </a:ln>
            <a:effectLst/>
          </c:spPr>
          <c:marker>
            <c:symbol val="none"/>
          </c:marker>
          <c:cat>
            <c:numRef>
              <c:f>Dashboard!$A$55:$A$88</c:f>
              <c:numCache>
                <c:formatCode>mmm\ yyyy</c:formatCode>
                <c:ptCount val="34"/>
                <c:pt idx="0">
                  <c:v>41609</c:v>
                </c:pt>
                <c:pt idx="1">
                  <c:v>41640</c:v>
                </c:pt>
                <c:pt idx="2">
                  <c:v>41671</c:v>
                </c:pt>
                <c:pt idx="3">
                  <c:v>41699</c:v>
                </c:pt>
                <c:pt idx="4">
                  <c:v>41730</c:v>
                </c:pt>
                <c:pt idx="5">
                  <c:v>41760</c:v>
                </c:pt>
                <c:pt idx="6">
                  <c:v>41791</c:v>
                </c:pt>
                <c:pt idx="7">
                  <c:v>41821</c:v>
                </c:pt>
                <c:pt idx="8">
                  <c:v>41852</c:v>
                </c:pt>
                <c:pt idx="9">
                  <c:v>41883</c:v>
                </c:pt>
                <c:pt idx="10">
                  <c:v>41913</c:v>
                </c:pt>
                <c:pt idx="11">
                  <c:v>41944</c:v>
                </c:pt>
                <c:pt idx="12">
                  <c:v>41974</c:v>
                </c:pt>
                <c:pt idx="13">
                  <c:v>42005</c:v>
                </c:pt>
                <c:pt idx="14">
                  <c:v>42036</c:v>
                </c:pt>
                <c:pt idx="15">
                  <c:v>42064</c:v>
                </c:pt>
                <c:pt idx="16">
                  <c:v>42095</c:v>
                </c:pt>
                <c:pt idx="17">
                  <c:v>42125</c:v>
                </c:pt>
                <c:pt idx="18">
                  <c:v>42156</c:v>
                </c:pt>
                <c:pt idx="19">
                  <c:v>42186</c:v>
                </c:pt>
                <c:pt idx="20">
                  <c:v>42217</c:v>
                </c:pt>
                <c:pt idx="21">
                  <c:v>42248</c:v>
                </c:pt>
                <c:pt idx="22">
                  <c:v>42278</c:v>
                </c:pt>
                <c:pt idx="23">
                  <c:v>42309</c:v>
                </c:pt>
                <c:pt idx="24">
                  <c:v>42339</c:v>
                </c:pt>
                <c:pt idx="25">
                  <c:v>42370</c:v>
                </c:pt>
                <c:pt idx="26">
                  <c:v>42401</c:v>
                </c:pt>
                <c:pt idx="27">
                  <c:v>42430</c:v>
                </c:pt>
                <c:pt idx="28">
                  <c:v>42461</c:v>
                </c:pt>
                <c:pt idx="29">
                  <c:v>42491</c:v>
                </c:pt>
                <c:pt idx="30">
                  <c:v>42522</c:v>
                </c:pt>
                <c:pt idx="31">
                  <c:v>42552</c:v>
                </c:pt>
                <c:pt idx="32">
                  <c:v>42583</c:v>
                </c:pt>
                <c:pt idx="33">
                  <c:v>42614</c:v>
                </c:pt>
              </c:numCache>
            </c:numRef>
          </c:cat>
          <c:val>
            <c:numRef>
              <c:f>Dashboard!$E$55:$E$88</c:f>
              <c:numCache>
                <c:formatCode>0.0%</c:formatCode>
                <c:ptCount val="34"/>
                <c:pt idx="0">
                  <c:v>-2.4380493039944131E-2</c:v>
                </c:pt>
                <c:pt idx="1">
                  <c:v>3.1088034678153518E-3</c:v>
                </c:pt>
                <c:pt idx="2">
                  <c:v>-2.3006951061081356E-2</c:v>
                </c:pt>
                <c:pt idx="3">
                  <c:v>-1.6442606539534853E-2</c:v>
                </c:pt>
                <c:pt idx="4">
                  <c:v>-6.8213335154871831E-3</c:v>
                </c:pt>
                <c:pt idx="5">
                  <c:v>-4.1889304062888814E-2</c:v>
                </c:pt>
                <c:pt idx="6">
                  <c:v>-2.925532894630942E-2</c:v>
                </c:pt>
                <c:pt idx="7">
                  <c:v>-1.4428105760186686E-2</c:v>
                </c:pt>
                <c:pt idx="8">
                  <c:v>-5.13521189898399E-2</c:v>
                </c:pt>
                <c:pt idx="9">
                  <c:v>-7.1971054986953525E-2</c:v>
                </c:pt>
                <c:pt idx="10">
                  <c:v>-1.9204053419722582E-2</c:v>
                </c:pt>
                <c:pt idx="11">
                  <c:v>4.3410554468196756E-2</c:v>
                </c:pt>
                <c:pt idx="12">
                  <c:v>-5.6837321667892335E-2</c:v>
                </c:pt>
                <c:pt idx="13">
                  <c:v>-4.1953713231710779E-2</c:v>
                </c:pt>
                <c:pt idx="14">
                  <c:v>-5.1056028753481517E-2</c:v>
                </c:pt>
                <c:pt idx="15">
                  <c:v>-6.2678958464622445E-2</c:v>
                </c:pt>
                <c:pt idx="16">
                  <c:v>-5.4104631625758029E-2</c:v>
                </c:pt>
                <c:pt idx="17">
                  <c:v>-7.0289699927546023E-2</c:v>
                </c:pt>
                <c:pt idx="18">
                  <c:v>-3.5411329654711138E-2</c:v>
                </c:pt>
                <c:pt idx="19">
                  <c:v>-4.1193268695093536E-2</c:v>
                </c:pt>
                <c:pt idx="20">
                  <c:v>-7.0211488791107515E-2</c:v>
                </c:pt>
                <c:pt idx="21">
                  <c:v>-7.5932000054241541E-2</c:v>
                </c:pt>
                <c:pt idx="22">
                  <c:v>-7.1758290791919949E-2</c:v>
                </c:pt>
                <c:pt idx="23">
                  <c:v>-9.1873798235030793E-2</c:v>
                </c:pt>
                <c:pt idx="24">
                  <c:v>-4.8914062753125542E-2</c:v>
                </c:pt>
                <c:pt idx="25">
                  <c:v>-4.7056810475161859E-2</c:v>
                </c:pt>
                <c:pt idx="26">
                  <c:v>5.2713133399933515E-4</c:v>
                </c:pt>
                <c:pt idx="27">
                  <c:v>1.1536644883618632E-2</c:v>
                </c:pt>
                <c:pt idx="28">
                  <c:v>-7.0731591467100452E-2</c:v>
                </c:pt>
                <c:pt idx="29">
                  <c:v>-3.2525190706358571E-2</c:v>
                </c:pt>
                <c:pt idx="30">
                  <c:v>-5.8662941523501454E-2</c:v>
                </c:pt>
                <c:pt idx="31">
                  <c:v>1.6971765946619817E-2</c:v>
                </c:pt>
                <c:pt idx="32">
                  <c:v>-3.1417888947279031E-2</c:v>
                </c:pt>
                <c:pt idx="33">
                  <c:v>7.1706048935060622E-3</c:v>
                </c:pt>
              </c:numCache>
            </c:numRef>
          </c:val>
          <c:smooth val="0"/>
          <c:extLst>
            <c:ext xmlns:c16="http://schemas.microsoft.com/office/drawing/2014/chart" uri="{C3380CC4-5D6E-409C-BE32-E72D297353CC}">
              <c16:uniqueId val="{00000000-4451-41B0-B227-6021D2160B98}"/>
            </c:ext>
          </c:extLst>
        </c:ser>
        <c:dLbls>
          <c:showLegendKey val="0"/>
          <c:showVal val="0"/>
          <c:showCatName val="0"/>
          <c:showSerName val="0"/>
          <c:showPercent val="0"/>
          <c:showBubbleSize val="0"/>
        </c:dLbls>
        <c:smooth val="0"/>
        <c:axId val="1600072223"/>
        <c:axId val="358011887"/>
      </c:lineChart>
      <c:dateAx>
        <c:axId val="1600072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 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011887"/>
        <c:crosses val="autoZero"/>
        <c:auto val="0"/>
        <c:lblOffset val="100"/>
        <c:baseTimeUnit val="months"/>
      </c:dateAx>
      <c:valAx>
        <c:axId val="358011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Gross 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07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Sales Price per Unit vs Rolling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Metrics'!$B$14</c:f>
              <c:strCache>
                <c:ptCount val="1"/>
                <c:pt idx="0">
                  <c:v>Daily Sales Price / Unit</c:v>
                </c:pt>
              </c:strCache>
            </c:strRef>
          </c:tx>
          <c:spPr>
            <a:ln w="28575" cap="rnd">
              <a:solidFill>
                <a:schemeClr val="accent1"/>
              </a:solidFill>
              <a:round/>
            </a:ln>
            <a:effectLst/>
          </c:spPr>
          <c:marker>
            <c:symbol val="none"/>
          </c:marker>
          <c:cat>
            <c:numRef>
              <c:f>'Daily Metrics'!$A$15:$A$1014</c:f>
              <c:numCache>
                <c:formatCode>yyyy\-mm\-dd</c:formatCode>
                <c:ptCount val="1000"/>
                <c:pt idx="0">
                  <c:v>41638.083333333336</c:v>
                </c:pt>
                <c:pt idx="1">
                  <c:v>41639.083333333336</c:v>
                </c:pt>
                <c:pt idx="2">
                  <c:v>41640.083333333336</c:v>
                </c:pt>
                <c:pt idx="3">
                  <c:v>41641.083333333336</c:v>
                </c:pt>
                <c:pt idx="4">
                  <c:v>41642.083333333336</c:v>
                </c:pt>
                <c:pt idx="5">
                  <c:v>41643.083333333336</c:v>
                </c:pt>
                <c:pt idx="6">
                  <c:v>41644.083333333336</c:v>
                </c:pt>
                <c:pt idx="7">
                  <c:v>41645.083333333336</c:v>
                </c:pt>
                <c:pt idx="8">
                  <c:v>41646.083333333336</c:v>
                </c:pt>
                <c:pt idx="9">
                  <c:v>41647.083333333336</c:v>
                </c:pt>
                <c:pt idx="10">
                  <c:v>41648.083333333336</c:v>
                </c:pt>
                <c:pt idx="11">
                  <c:v>41649.083333333336</c:v>
                </c:pt>
                <c:pt idx="12">
                  <c:v>41650.083333333336</c:v>
                </c:pt>
                <c:pt idx="13">
                  <c:v>41651.083333333336</c:v>
                </c:pt>
                <c:pt idx="14">
                  <c:v>41652.083333333336</c:v>
                </c:pt>
                <c:pt idx="15">
                  <c:v>41653.083333333336</c:v>
                </c:pt>
                <c:pt idx="16">
                  <c:v>41654.083333333336</c:v>
                </c:pt>
                <c:pt idx="17">
                  <c:v>41655.083333333336</c:v>
                </c:pt>
                <c:pt idx="18">
                  <c:v>41656.083333333336</c:v>
                </c:pt>
                <c:pt idx="19">
                  <c:v>41657.083333333336</c:v>
                </c:pt>
                <c:pt idx="20">
                  <c:v>41658.083333333336</c:v>
                </c:pt>
                <c:pt idx="21">
                  <c:v>41659.083333333336</c:v>
                </c:pt>
                <c:pt idx="22">
                  <c:v>41660.083333333336</c:v>
                </c:pt>
                <c:pt idx="23">
                  <c:v>41661.083333333336</c:v>
                </c:pt>
                <c:pt idx="24">
                  <c:v>41662.083333333336</c:v>
                </c:pt>
                <c:pt idx="25">
                  <c:v>41663.083333333336</c:v>
                </c:pt>
                <c:pt idx="26">
                  <c:v>41664.083333333336</c:v>
                </c:pt>
                <c:pt idx="27">
                  <c:v>41665.083333333336</c:v>
                </c:pt>
                <c:pt idx="28">
                  <c:v>41666.083333333336</c:v>
                </c:pt>
                <c:pt idx="29">
                  <c:v>41667.083333333336</c:v>
                </c:pt>
                <c:pt idx="30">
                  <c:v>41668.083333333336</c:v>
                </c:pt>
                <c:pt idx="31">
                  <c:v>41669.083333333336</c:v>
                </c:pt>
                <c:pt idx="32">
                  <c:v>41670.083333333336</c:v>
                </c:pt>
                <c:pt idx="33">
                  <c:v>41671.083333333336</c:v>
                </c:pt>
                <c:pt idx="34">
                  <c:v>41672.083333333336</c:v>
                </c:pt>
                <c:pt idx="35">
                  <c:v>41673.083333333336</c:v>
                </c:pt>
                <c:pt idx="36">
                  <c:v>41674.083333333336</c:v>
                </c:pt>
                <c:pt idx="37">
                  <c:v>41675.083333333336</c:v>
                </c:pt>
                <c:pt idx="38">
                  <c:v>41676.083333333336</c:v>
                </c:pt>
                <c:pt idx="39">
                  <c:v>41677.083333333336</c:v>
                </c:pt>
                <c:pt idx="40">
                  <c:v>41678.083333333336</c:v>
                </c:pt>
                <c:pt idx="41">
                  <c:v>41679.083333333336</c:v>
                </c:pt>
                <c:pt idx="42">
                  <c:v>41680.083333333336</c:v>
                </c:pt>
                <c:pt idx="43">
                  <c:v>41681.083333333336</c:v>
                </c:pt>
                <c:pt idx="44">
                  <c:v>41682.083333333336</c:v>
                </c:pt>
                <c:pt idx="45">
                  <c:v>41683.083333333336</c:v>
                </c:pt>
                <c:pt idx="46">
                  <c:v>41684.083333333336</c:v>
                </c:pt>
                <c:pt idx="47">
                  <c:v>41685.083333333336</c:v>
                </c:pt>
                <c:pt idx="48">
                  <c:v>41686.083333333336</c:v>
                </c:pt>
                <c:pt idx="49">
                  <c:v>41687.083333333336</c:v>
                </c:pt>
                <c:pt idx="50">
                  <c:v>41688.083333333336</c:v>
                </c:pt>
                <c:pt idx="51">
                  <c:v>41689.083333333336</c:v>
                </c:pt>
                <c:pt idx="52">
                  <c:v>41690.083333333336</c:v>
                </c:pt>
                <c:pt idx="53">
                  <c:v>41691.083333333336</c:v>
                </c:pt>
                <c:pt idx="54">
                  <c:v>41692.083333333336</c:v>
                </c:pt>
                <c:pt idx="55">
                  <c:v>41693.083333333336</c:v>
                </c:pt>
                <c:pt idx="56">
                  <c:v>41694.083333333336</c:v>
                </c:pt>
                <c:pt idx="57">
                  <c:v>41695.083333333336</c:v>
                </c:pt>
                <c:pt idx="58">
                  <c:v>41696.083333333336</c:v>
                </c:pt>
                <c:pt idx="59">
                  <c:v>41697.083333333336</c:v>
                </c:pt>
                <c:pt idx="60">
                  <c:v>41698.083333333336</c:v>
                </c:pt>
                <c:pt idx="61">
                  <c:v>41699.083333333336</c:v>
                </c:pt>
                <c:pt idx="62">
                  <c:v>41700.083333333336</c:v>
                </c:pt>
                <c:pt idx="63">
                  <c:v>41701.083333333336</c:v>
                </c:pt>
                <c:pt idx="64">
                  <c:v>41702.083333333336</c:v>
                </c:pt>
                <c:pt idx="65">
                  <c:v>41703.083333333336</c:v>
                </c:pt>
                <c:pt idx="66">
                  <c:v>41704.083333333336</c:v>
                </c:pt>
                <c:pt idx="67">
                  <c:v>41705.083333333336</c:v>
                </c:pt>
                <c:pt idx="68">
                  <c:v>41706.083333333336</c:v>
                </c:pt>
                <c:pt idx="69">
                  <c:v>41707.083333333336</c:v>
                </c:pt>
                <c:pt idx="70">
                  <c:v>41708.083333333336</c:v>
                </c:pt>
                <c:pt idx="71">
                  <c:v>41709.083333333336</c:v>
                </c:pt>
                <c:pt idx="72">
                  <c:v>41710.083333333336</c:v>
                </c:pt>
                <c:pt idx="73">
                  <c:v>41711.083333333336</c:v>
                </c:pt>
                <c:pt idx="74">
                  <c:v>41712.083333333336</c:v>
                </c:pt>
                <c:pt idx="75">
                  <c:v>41713.083333333336</c:v>
                </c:pt>
                <c:pt idx="76">
                  <c:v>41714.083333333336</c:v>
                </c:pt>
                <c:pt idx="77">
                  <c:v>41715.083333333336</c:v>
                </c:pt>
                <c:pt idx="78">
                  <c:v>41716.083333333336</c:v>
                </c:pt>
                <c:pt idx="79">
                  <c:v>41717.083333333336</c:v>
                </c:pt>
                <c:pt idx="80">
                  <c:v>41718.083333333336</c:v>
                </c:pt>
                <c:pt idx="81">
                  <c:v>41719.083333333336</c:v>
                </c:pt>
                <c:pt idx="82">
                  <c:v>41720.083333333336</c:v>
                </c:pt>
                <c:pt idx="83">
                  <c:v>41721.083333333336</c:v>
                </c:pt>
                <c:pt idx="84">
                  <c:v>41722.083333333336</c:v>
                </c:pt>
                <c:pt idx="85">
                  <c:v>41723.083333333336</c:v>
                </c:pt>
                <c:pt idx="86">
                  <c:v>41724.083333333336</c:v>
                </c:pt>
                <c:pt idx="87">
                  <c:v>41725.083333333336</c:v>
                </c:pt>
                <c:pt idx="88">
                  <c:v>41726.083333333336</c:v>
                </c:pt>
                <c:pt idx="89">
                  <c:v>41727.083333333336</c:v>
                </c:pt>
                <c:pt idx="90">
                  <c:v>41728.083333333336</c:v>
                </c:pt>
                <c:pt idx="91">
                  <c:v>41729.083333333336</c:v>
                </c:pt>
                <c:pt idx="92">
                  <c:v>41730.083333333336</c:v>
                </c:pt>
                <c:pt idx="93">
                  <c:v>41731.083333333336</c:v>
                </c:pt>
                <c:pt idx="94">
                  <c:v>41732.083333333336</c:v>
                </c:pt>
                <c:pt idx="95">
                  <c:v>41733.083333333336</c:v>
                </c:pt>
                <c:pt idx="96">
                  <c:v>41734.083333333336</c:v>
                </c:pt>
                <c:pt idx="97">
                  <c:v>41735.083333333336</c:v>
                </c:pt>
                <c:pt idx="98">
                  <c:v>41736.083333333336</c:v>
                </c:pt>
                <c:pt idx="99">
                  <c:v>41737.083333333336</c:v>
                </c:pt>
                <c:pt idx="100">
                  <c:v>41738.083333333336</c:v>
                </c:pt>
                <c:pt idx="101">
                  <c:v>41739.083333333336</c:v>
                </c:pt>
                <c:pt idx="102">
                  <c:v>41740.083333333336</c:v>
                </c:pt>
                <c:pt idx="103">
                  <c:v>41741.083333333336</c:v>
                </c:pt>
                <c:pt idx="104">
                  <c:v>41742.083333333336</c:v>
                </c:pt>
                <c:pt idx="105">
                  <c:v>41743.083333333336</c:v>
                </c:pt>
                <c:pt idx="106">
                  <c:v>41744.083333333336</c:v>
                </c:pt>
                <c:pt idx="107">
                  <c:v>41745.083333333336</c:v>
                </c:pt>
                <c:pt idx="108">
                  <c:v>41746.083333333336</c:v>
                </c:pt>
                <c:pt idx="109">
                  <c:v>41747.083333333336</c:v>
                </c:pt>
                <c:pt idx="110">
                  <c:v>41748.083333333336</c:v>
                </c:pt>
                <c:pt idx="111">
                  <c:v>41749.083333333336</c:v>
                </c:pt>
                <c:pt idx="112">
                  <c:v>41750.083333333336</c:v>
                </c:pt>
                <c:pt idx="113">
                  <c:v>41751.083333333336</c:v>
                </c:pt>
                <c:pt idx="114">
                  <c:v>41752.083333333336</c:v>
                </c:pt>
                <c:pt idx="115">
                  <c:v>41753.083333333336</c:v>
                </c:pt>
                <c:pt idx="116">
                  <c:v>41754.083333333336</c:v>
                </c:pt>
                <c:pt idx="117">
                  <c:v>41755.083333333336</c:v>
                </c:pt>
                <c:pt idx="118">
                  <c:v>41756.083333333336</c:v>
                </c:pt>
                <c:pt idx="119">
                  <c:v>41757.083333333336</c:v>
                </c:pt>
                <c:pt idx="120">
                  <c:v>41758.083333333336</c:v>
                </c:pt>
                <c:pt idx="121">
                  <c:v>41759.083333333336</c:v>
                </c:pt>
                <c:pt idx="122">
                  <c:v>41760.083333333336</c:v>
                </c:pt>
                <c:pt idx="123">
                  <c:v>41761.083333333336</c:v>
                </c:pt>
                <c:pt idx="124">
                  <c:v>41762.083333333336</c:v>
                </c:pt>
                <c:pt idx="125">
                  <c:v>41763.083333333336</c:v>
                </c:pt>
                <c:pt idx="126">
                  <c:v>41764.083333333336</c:v>
                </c:pt>
                <c:pt idx="127">
                  <c:v>41765.083333333336</c:v>
                </c:pt>
                <c:pt idx="128">
                  <c:v>41766.083333333336</c:v>
                </c:pt>
                <c:pt idx="129">
                  <c:v>41767.083333333336</c:v>
                </c:pt>
                <c:pt idx="130">
                  <c:v>41768.083333333336</c:v>
                </c:pt>
                <c:pt idx="131">
                  <c:v>41769.083333333336</c:v>
                </c:pt>
                <c:pt idx="132">
                  <c:v>41770.083333333336</c:v>
                </c:pt>
                <c:pt idx="133">
                  <c:v>41771.083333333336</c:v>
                </c:pt>
                <c:pt idx="134">
                  <c:v>41772.083333333336</c:v>
                </c:pt>
                <c:pt idx="135">
                  <c:v>41773.083333333336</c:v>
                </c:pt>
                <c:pt idx="136">
                  <c:v>41774.083333333336</c:v>
                </c:pt>
                <c:pt idx="137">
                  <c:v>41775.083333333336</c:v>
                </c:pt>
                <c:pt idx="138">
                  <c:v>41776.083333333336</c:v>
                </c:pt>
                <c:pt idx="139">
                  <c:v>41777.083333333336</c:v>
                </c:pt>
                <c:pt idx="140">
                  <c:v>41778.083333333336</c:v>
                </c:pt>
                <c:pt idx="141">
                  <c:v>41779.083333333336</c:v>
                </c:pt>
                <c:pt idx="142">
                  <c:v>41780.083333333336</c:v>
                </c:pt>
                <c:pt idx="143">
                  <c:v>41781.083333333336</c:v>
                </c:pt>
                <c:pt idx="144">
                  <c:v>41782.083333333336</c:v>
                </c:pt>
                <c:pt idx="145">
                  <c:v>41783.083333333336</c:v>
                </c:pt>
                <c:pt idx="146">
                  <c:v>41784.083333333336</c:v>
                </c:pt>
                <c:pt idx="147">
                  <c:v>41785.083333333336</c:v>
                </c:pt>
                <c:pt idx="148">
                  <c:v>41786.083333333336</c:v>
                </c:pt>
                <c:pt idx="149">
                  <c:v>41787.083333333336</c:v>
                </c:pt>
                <c:pt idx="150">
                  <c:v>41788.083333333336</c:v>
                </c:pt>
                <c:pt idx="151">
                  <c:v>41789.083333333336</c:v>
                </c:pt>
                <c:pt idx="152">
                  <c:v>41790.083333333336</c:v>
                </c:pt>
                <c:pt idx="153">
                  <c:v>41791.083333333336</c:v>
                </c:pt>
                <c:pt idx="154">
                  <c:v>41792.083333333336</c:v>
                </c:pt>
                <c:pt idx="155">
                  <c:v>41793.083333333336</c:v>
                </c:pt>
                <c:pt idx="156">
                  <c:v>41794.083333333336</c:v>
                </c:pt>
                <c:pt idx="157">
                  <c:v>41795.083333333336</c:v>
                </c:pt>
                <c:pt idx="158">
                  <c:v>41796.083333333336</c:v>
                </c:pt>
                <c:pt idx="159">
                  <c:v>41797.083333333336</c:v>
                </c:pt>
                <c:pt idx="160">
                  <c:v>41798.083333333336</c:v>
                </c:pt>
                <c:pt idx="161">
                  <c:v>41799.083333333336</c:v>
                </c:pt>
                <c:pt idx="162">
                  <c:v>41800.083333333336</c:v>
                </c:pt>
                <c:pt idx="163">
                  <c:v>41801.083333333336</c:v>
                </c:pt>
                <c:pt idx="164">
                  <c:v>41802.083333333336</c:v>
                </c:pt>
                <c:pt idx="165">
                  <c:v>41803.083333333336</c:v>
                </c:pt>
                <c:pt idx="166">
                  <c:v>41804.083333333336</c:v>
                </c:pt>
                <c:pt idx="167">
                  <c:v>41805.083333333336</c:v>
                </c:pt>
                <c:pt idx="168">
                  <c:v>41806.083333333336</c:v>
                </c:pt>
                <c:pt idx="169">
                  <c:v>41807.083333333336</c:v>
                </c:pt>
                <c:pt idx="170">
                  <c:v>41808.083333333336</c:v>
                </c:pt>
                <c:pt idx="171">
                  <c:v>41809.083333333336</c:v>
                </c:pt>
                <c:pt idx="172">
                  <c:v>41810.083333333336</c:v>
                </c:pt>
                <c:pt idx="173">
                  <c:v>41811.083333333336</c:v>
                </c:pt>
                <c:pt idx="174">
                  <c:v>41812.083333333336</c:v>
                </c:pt>
                <c:pt idx="175">
                  <c:v>41813.083333333336</c:v>
                </c:pt>
                <c:pt idx="176">
                  <c:v>41814.083333333336</c:v>
                </c:pt>
                <c:pt idx="177">
                  <c:v>41815.083333333336</c:v>
                </c:pt>
                <c:pt idx="178">
                  <c:v>41816.083333333336</c:v>
                </c:pt>
                <c:pt idx="179">
                  <c:v>41817.083333333336</c:v>
                </c:pt>
                <c:pt idx="180">
                  <c:v>41818.083333333336</c:v>
                </c:pt>
                <c:pt idx="181">
                  <c:v>41819.083333333336</c:v>
                </c:pt>
                <c:pt idx="182">
                  <c:v>41820.083333333336</c:v>
                </c:pt>
                <c:pt idx="183">
                  <c:v>41821.083333333336</c:v>
                </c:pt>
                <c:pt idx="184">
                  <c:v>41822.083333333336</c:v>
                </c:pt>
                <c:pt idx="185">
                  <c:v>41823.083333333336</c:v>
                </c:pt>
                <c:pt idx="186">
                  <c:v>41824.083333333336</c:v>
                </c:pt>
                <c:pt idx="187">
                  <c:v>41825.083333333336</c:v>
                </c:pt>
                <c:pt idx="188">
                  <c:v>41826.083333333336</c:v>
                </c:pt>
                <c:pt idx="189">
                  <c:v>41827.083333333336</c:v>
                </c:pt>
                <c:pt idx="190">
                  <c:v>41828.083333333336</c:v>
                </c:pt>
                <c:pt idx="191">
                  <c:v>41829.083333333336</c:v>
                </c:pt>
                <c:pt idx="192">
                  <c:v>41830.083333333336</c:v>
                </c:pt>
                <c:pt idx="193">
                  <c:v>41831.083333333336</c:v>
                </c:pt>
                <c:pt idx="194">
                  <c:v>41832.083333333336</c:v>
                </c:pt>
                <c:pt idx="195">
                  <c:v>41833.083333333336</c:v>
                </c:pt>
                <c:pt idx="196">
                  <c:v>41834.083333333336</c:v>
                </c:pt>
                <c:pt idx="197">
                  <c:v>41835.083333333336</c:v>
                </c:pt>
                <c:pt idx="198">
                  <c:v>41836.083333333336</c:v>
                </c:pt>
                <c:pt idx="199">
                  <c:v>41837.083333333336</c:v>
                </c:pt>
                <c:pt idx="200">
                  <c:v>41838.083333333336</c:v>
                </c:pt>
                <c:pt idx="201">
                  <c:v>41839.083333333336</c:v>
                </c:pt>
                <c:pt idx="202">
                  <c:v>41840.083333333336</c:v>
                </c:pt>
                <c:pt idx="203">
                  <c:v>41841.083333333336</c:v>
                </c:pt>
                <c:pt idx="204">
                  <c:v>41842.083333333336</c:v>
                </c:pt>
                <c:pt idx="205">
                  <c:v>41843.083333333336</c:v>
                </c:pt>
                <c:pt idx="206">
                  <c:v>41844.083333333336</c:v>
                </c:pt>
                <c:pt idx="207">
                  <c:v>41845.083333333336</c:v>
                </c:pt>
                <c:pt idx="208">
                  <c:v>41846.083333333336</c:v>
                </c:pt>
                <c:pt idx="209">
                  <c:v>41847.083333333336</c:v>
                </c:pt>
                <c:pt idx="210">
                  <c:v>41848.083333333336</c:v>
                </c:pt>
                <c:pt idx="211">
                  <c:v>41849.083333333336</c:v>
                </c:pt>
                <c:pt idx="212">
                  <c:v>41850.083333333336</c:v>
                </c:pt>
                <c:pt idx="213">
                  <c:v>41851.083333333336</c:v>
                </c:pt>
                <c:pt idx="214">
                  <c:v>41852.083333333336</c:v>
                </c:pt>
                <c:pt idx="215">
                  <c:v>41853.083333333336</c:v>
                </c:pt>
                <c:pt idx="216">
                  <c:v>41854.083333333336</c:v>
                </c:pt>
                <c:pt idx="217">
                  <c:v>41855.083333333336</c:v>
                </c:pt>
                <c:pt idx="218">
                  <c:v>41856.083333333336</c:v>
                </c:pt>
                <c:pt idx="219">
                  <c:v>41857.083333333336</c:v>
                </c:pt>
                <c:pt idx="220">
                  <c:v>41858.083333333336</c:v>
                </c:pt>
                <c:pt idx="221">
                  <c:v>41859.083333333336</c:v>
                </c:pt>
                <c:pt idx="222">
                  <c:v>41860.083333333336</c:v>
                </c:pt>
                <c:pt idx="223">
                  <c:v>41861.083333333336</c:v>
                </c:pt>
                <c:pt idx="224">
                  <c:v>41862.083333333336</c:v>
                </c:pt>
                <c:pt idx="225">
                  <c:v>41863.083333333336</c:v>
                </c:pt>
                <c:pt idx="226">
                  <c:v>41864.083333333336</c:v>
                </c:pt>
                <c:pt idx="227">
                  <c:v>41865.083333333336</c:v>
                </c:pt>
                <c:pt idx="228">
                  <c:v>41866.083333333336</c:v>
                </c:pt>
                <c:pt idx="229">
                  <c:v>41867.083333333336</c:v>
                </c:pt>
                <c:pt idx="230">
                  <c:v>41868.083333333336</c:v>
                </c:pt>
                <c:pt idx="231">
                  <c:v>41869.083333333336</c:v>
                </c:pt>
                <c:pt idx="232">
                  <c:v>41870.083333333336</c:v>
                </c:pt>
                <c:pt idx="233">
                  <c:v>41871.083333333336</c:v>
                </c:pt>
                <c:pt idx="234">
                  <c:v>41872.083333333336</c:v>
                </c:pt>
                <c:pt idx="235">
                  <c:v>41873.083333333336</c:v>
                </c:pt>
                <c:pt idx="236">
                  <c:v>41874.083333333336</c:v>
                </c:pt>
                <c:pt idx="237">
                  <c:v>41875.083333333336</c:v>
                </c:pt>
                <c:pt idx="238">
                  <c:v>41876.083333333336</c:v>
                </c:pt>
                <c:pt idx="239">
                  <c:v>41877.083333333336</c:v>
                </c:pt>
                <c:pt idx="240">
                  <c:v>41878.083333333336</c:v>
                </c:pt>
                <c:pt idx="241">
                  <c:v>41879.083333333336</c:v>
                </c:pt>
                <c:pt idx="242">
                  <c:v>41880.083333333336</c:v>
                </c:pt>
                <c:pt idx="243">
                  <c:v>41881.083333333336</c:v>
                </c:pt>
                <c:pt idx="244">
                  <c:v>41882.083333333336</c:v>
                </c:pt>
                <c:pt idx="245">
                  <c:v>41883.083333333336</c:v>
                </c:pt>
                <c:pt idx="246">
                  <c:v>41884.083333333336</c:v>
                </c:pt>
                <c:pt idx="247">
                  <c:v>41885.083333333336</c:v>
                </c:pt>
                <c:pt idx="248">
                  <c:v>41886.083333333336</c:v>
                </c:pt>
                <c:pt idx="249">
                  <c:v>41887.083333333336</c:v>
                </c:pt>
                <c:pt idx="250">
                  <c:v>41888.083333333336</c:v>
                </c:pt>
                <c:pt idx="251">
                  <c:v>41889.083333333336</c:v>
                </c:pt>
                <c:pt idx="252">
                  <c:v>41890.083333333336</c:v>
                </c:pt>
                <c:pt idx="253">
                  <c:v>41891.083333333336</c:v>
                </c:pt>
                <c:pt idx="254">
                  <c:v>41892.083333333336</c:v>
                </c:pt>
                <c:pt idx="255">
                  <c:v>41893.083333333336</c:v>
                </c:pt>
                <c:pt idx="256">
                  <c:v>41894.083333333336</c:v>
                </c:pt>
                <c:pt idx="257">
                  <c:v>41895.083333333336</c:v>
                </c:pt>
                <c:pt idx="258">
                  <c:v>41896.083333333336</c:v>
                </c:pt>
                <c:pt idx="259">
                  <c:v>41897.083333333336</c:v>
                </c:pt>
                <c:pt idx="260">
                  <c:v>41898.083333333336</c:v>
                </c:pt>
                <c:pt idx="261">
                  <c:v>41899.083333333336</c:v>
                </c:pt>
                <c:pt idx="262">
                  <c:v>41900.083333333336</c:v>
                </c:pt>
                <c:pt idx="263">
                  <c:v>41901.083333333336</c:v>
                </c:pt>
                <c:pt idx="264">
                  <c:v>41902.083333333336</c:v>
                </c:pt>
                <c:pt idx="265">
                  <c:v>41903.083333333336</c:v>
                </c:pt>
                <c:pt idx="266">
                  <c:v>41904.083333333336</c:v>
                </c:pt>
                <c:pt idx="267">
                  <c:v>41905.083333333336</c:v>
                </c:pt>
                <c:pt idx="268">
                  <c:v>41906.083333333336</c:v>
                </c:pt>
                <c:pt idx="269">
                  <c:v>41907.083333333336</c:v>
                </c:pt>
                <c:pt idx="270">
                  <c:v>41908.083333333336</c:v>
                </c:pt>
                <c:pt idx="271">
                  <c:v>41909.083333333336</c:v>
                </c:pt>
                <c:pt idx="272">
                  <c:v>41910.083333333336</c:v>
                </c:pt>
                <c:pt idx="273">
                  <c:v>41911.083333333336</c:v>
                </c:pt>
                <c:pt idx="274">
                  <c:v>41912.083333333336</c:v>
                </c:pt>
                <c:pt idx="275">
                  <c:v>41913.083333333336</c:v>
                </c:pt>
                <c:pt idx="276">
                  <c:v>41914.083333333336</c:v>
                </c:pt>
                <c:pt idx="277">
                  <c:v>41915.083333333336</c:v>
                </c:pt>
                <c:pt idx="278">
                  <c:v>41916.083333333336</c:v>
                </c:pt>
                <c:pt idx="279">
                  <c:v>41917.083333333336</c:v>
                </c:pt>
                <c:pt idx="280">
                  <c:v>41918.083333333336</c:v>
                </c:pt>
                <c:pt idx="281">
                  <c:v>41919.083333333336</c:v>
                </c:pt>
                <c:pt idx="282">
                  <c:v>41920.083333333336</c:v>
                </c:pt>
                <c:pt idx="283">
                  <c:v>41921.083333333336</c:v>
                </c:pt>
                <c:pt idx="284">
                  <c:v>41922.083333333336</c:v>
                </c:pt>
                <c:pt idx="285">
                  <c:v>41923.083333333336</c:v>
                </c:pt>
                <c:pt idx="286">
                  <c:v>41924.083333333336</c:v>
                </c:pt>
                <c:pt idx="287">
                  <c:v>41925.083333333336</c:v>
                </c:pt>
                <c:pt idx="288">
                  <c:v>41926.083333333336</c:v>
                </c:pt>
                <c:pt idx="289">
                  <c:v>41927.083333333336</c:v>
                </c:pt>
                <c:pt idx="290">
                  <c:v>41928.083333333336</c:v>
                </c:pt>
                <c:pt idx="291">
                  <c:v>41929.083333333336</c:v>
                </c:pt>
                <c:pt idx="292">
                  <c:v>41930.083333333336</c:v>
                </c:pt>
                <c:pt idx="293">
                  <c:v>41931.083333333336</c:v>
                </c:pt>
                <c:pt idx="294">
                  <c:v>41932.083333333336</c:v>
                </c:pt>
                <c:pt idx="295">
                  <c:v>41933.083333333336</c:v>
                </c:pt>
                <c:pt idx="296">
                  <c:v>41934.083333333336</c:v>
                </c:pt>
                <c:pt idx="297">
                  <c:v>41935.083333333336</c:v>
                </c:pt>
                <c:pt idx="298">
                  <c:v>41936.083333333336</c:v>
                </c:pt>
                <c:pt idx="299">
                  <c:v>41937.083333333336</c:v>
                </c:pt>
                <c:pt idx="300">
                  <c:v>41938.083333333336</c:v>
                </c:pt>
                <c:pt idx="301">
                  <c:v>41939.083333333336</c:v>
                </c:pt>
                <c:pt idx="302">
                  <c:v>41940.083333333336</c:v>
                </c:pt>
                <c:pt idx="303">
                  <c:v>41941.083333333336</c:v>
                </c:pt>
                <c:pt idx="304">
                  <c:v>41942.083333333336</c:v>
                </c:pt>
                <c:pt idx="305">
                  <c:v>41943.083333333336</c:v>
                </c:pt>
                <c:pt idx="306">
                  <c:v>41944.083333333336</c:v>
                </c:pt>
                <c:pt idx="307">
                  <c:v>41945.083333333336</c:v>
                </c:pt>
                <c:pt idx="308">
                  <c:v>41946.083333333336</c:v>
                </c:pt>
                <c:pt idx="309">
                  <c:v>41947.083333333336</c:v>
                </c:pt>
                <c:pt idx="310">
                  <c:v>41948.083333333336</c:v>
                </c:pt>
                <c:pt idx="311">
                  <c:v>41949.083333333336</c:v>
                </c:pt>
                <c:pt idx="312">
                  <c:v>41950.083333333336</c:v>
                </c:pt>
                <c:pt idx="313">
                  <c:v>41951.083333333336</c:v>
                </c:pt>
                <c:pt idx="314">
                  <c:v>41952.083333333336</c:v>
                </c:pt>
                <c:pt idx="315">
                  <c:v>41953.083333333336</c:v>
                </c:pt>
                <c:pt idx="316">
                  <c:v>41954.083333333336</c:v>
                </c:pt>
                <c:pt idx="317">
                  <c:v>41955.083333333336</c:v>
                </c:pt>
                <c:pt idx="318">
                  <c:v>41956.083333333336</c:v>
                </c:pt>
                <c:pt idx="319">
                  <c:v>41957.083333333336</c:v>
                </c:pt>
                <c:pt idx="320">
                  <c:v>41958.083333333336</c:v>
                </c:pt>
                <c:pt idx="321">
                  <c:v>41959.083333333336</c:v>
                </c:pt>
                <c:pt idx="322">
                  <c:v>41960.083333333336</c:v>
                </c:pt>
                <c:pt idx="323">
                  <c:v>41961.083333333336</c:v>
                </c:pt>
                <c:pt idx="324">
                  <c:v>41962.083333333336</c:v>
                </c:pt>
                <c:pt idx="325">
                  <c:v>41963.083333333336</c:v>
                </c:pt>
                <c:pt idx="326">
                  <c:v>41964.083333333336</c:v>
                </c:pt>
                <c:pt idx="327">
                  <c:v>41965.083333333336</c:v>
                </c:pt>
                <c:pt idx="328">
                  <c:v>41966.083333333336</c:v>
                </c:pt>
                <c:pt idx="329">
                  <c:v>41967.083333333336</c:v>
                </c:pt>
                <c:pt idx="330">
                  <c:v>41968.083333333336</c:v>
                </c:pt>
                <c:pt idx="331">
                  <c:v>41969.083333333336</c:v>
                </c:pt>
                <c:pt idx="332">
                  <c:v>41970.083333333336</c:v>
                </c:pt>
                <c:pt idx="333">
                  <c:v>41971.083333333336</c:v>
                </c:pt>
                <c:pt idx="334">
                  <c:v>41972.083333333336</c:v>
                </c:pt>
                <c:pt idx="335">
                  <c:v>41973.083333333336</c:v>
                </c:pt>
                <c:pt idx="336">
                  <c:v>41974.083333333336</c:v>
                </c:pt>
                <c:pt idx="337">
                  <c:v>41975.083333333336</c:v>
                </c:pt>
                <c:pt idx="338">
                  <c:v>41976.083333333336</c:v>
                </c:pt>
                <c:pt idx="339">
                  <c:v>41977.083333333336</c:v>
                </c:pt>
                <c:pt idx="340">
                  <c:v>41978.083333333336</c:v>
                </c:pt>
                <c:pt idx="341">
                  <c:v>41979.083333333336</c:v>
                </c:pt>
                <c:pt idx="342">
                  <c:v>41980.083333333336</c:v>
                </c:pt>
                <c:pt idx="343">
                  <c:v>41981.083333333336</c:v>
                </c:pt>
                <c:pt idx="344">
                  <c:v>41982.083333333336</c:v>
                </c:pt>
                <c:pt idx="345">
                  <c:v>41983.083333333336</c:v>
                </c:pt>
                <c:pt idx="346">
                  <c:v>41984.083333333336</c:v>
                </c:pt>
                <c:pt idx="347">
                  <c:v>41985.083333333336</c:v>
                </c:pt>
                <c:pt idx="348">
                  <c:v>41986.083333333336</c:v>
                </c:pt>
                <c:pt idx="349">
                  <c:v>41987.083333333336</c:v>
                </c:pt>
                <c:pt idx="350">
                  <c:v>41988.083333333336</c:v>
                </c:pt>
                <c:pt idx="351">
                  <c:v>41989.083333333336</c:v>
                </c:pt>
                <c:pt idx="352">
                  <c:v>41990.083333333336</c:v>
                </c:pt>
                <c:pt idx="353">
                  <c:v>41991.083333333336</c:v>
                </c:pt>
                <c:pt idx="354">
                  <c:v>41992.083333333336</c:v>
                </c:pt>
                <c:pt idx="355">
                  <c:v>41993.083333333336</c:v>
                </c:pt>
                <c:pt idx="356">
                  <c:v>41994.083333333336</c:v>
                </c:pt>
                <c:pt idx="357">
                  <c:v>41995.083333333336</c:v>
                </c:pt>
                <c:pt idx="358">
                  <c:v>41996.083333333336</c:v>
                </c:pt>
                <c:pt idx="359">
                  <c:v>41997.083333333336</c:v>
                </c:pt>
                <c:pt idx="360">
                  <c:v>41998.083333333336</c:v>
                </c:pt>
                <c:pt idx="361">
                  <c:v>41999.083333333336</c:v>
                </c:pt>
                <c:pt idx="362">
                  <c:v>42000.083333333336</c:v>
                </c:pt>
                <c:pt idx="363">
                  <c:v>42001.083333333336</c:v>
                </c:pt>
                <c:pt idx="364">
                  <c:v>42002.083333333336</c:v>
                </c:pt>
                <c:pt idx="365">
                  <c:v>42003.083333333336</c:v>
                </c:pt>
                <c:pt idx="366">
                  <c:v>42004.083333333336</c:v>
                </c:pt>
                <c:pt idx="367">
                  <c:v>42005.083333333336</c:v>
                </c:pt>
                <c:pt idx="368">
                  <c:v>42006.083333333336</c:v>
                </c:pt>
                <c:pt idx="369">
                  <c:v>42007.083333333336</c:v>
                </c:pt>
                <c:pt idx="370">
                  <c:v>42008.083333333336</c:v>
                </c:pt>
                <c:pt idx="371">
                  <c:v>42009.083333333336</c:v>
                </c:pt>
                <c:pt idx="372">
                  <c:v>42010.083333333336</c:v>
                </c:pt>
                <c:pt idx="373">
                  <c:v>42011.083333333336</c:v>
                </c:pt>
                <c:pt idx="374">
                  <c:v>42012.083333333336</c:v>
                </c:pt>
                <c:pt idx="375">
                  <c:v>42013.083333333336</c:v>
                </c:pt>
                <c:pt idx="376">
                  <c:v>42014.083333333336</c:v>
                </c:pt>
                <c:pt idx="377">
                  <c:v>42015.083333333336</c:v>
                </c:pt>
                <c:pt idx="378">
                  <c:v>42016.083333333336</c:v>
                </c:pt>
                <c:pt idx="379">
                  <c:v>42017.083333333336</c:v>
                </c:pt>
                <c:pt idx="380">
                  <c:v>42018.083333333336</c:v>
                </c:pt>
                <c:pt idx="381">
                  <c:v>42019.083333333336</c:v>
                </c:pt>
                <c:pt idx="382">
                  <c:v>42020.083333333336</c:v>
                </c:pt>
                <c:pt idx="383">
                  <c:v>42021.083333333336</c:v>
                </c:pt>
                <c:pt idx="384">
                  <c:v>42022.083333333336</c:v>
                </c:pt>
                <c:pt idx="385">
                  <c:v>42023.083333333336</c:v>
                </c:pt>
                <c:pt idx="386">
                  <c:v>42024.083333333336</c:v>
                </c:pt>
                <c:pt idx="387">
                  <c:v>42025.083333333336</c:v>
                </c:pt>
                <c:pt idx="388">
                  <c:v>42026.083333333336</c:v>
                </c:pt>
                <c:pt idx="389">
                  <c:v>42027.083333333336</c:v>
                </c:pt>
                <c:pt idx="390">
                  <c:v>42028.083333333336</c:v>
                </c:pt>
                <c:pt idx="391">
                  <c:v>42029.083333333336</c:v>
                </c:pt>
                <c:pt idx="392">
                  <c:v>42030.083333333336</c:v>
                </c:pt>
                <c:pt idx="393">
                  <c:v>42031.083333333336</c:v>
                </c:pt>
                <c:pt idx="394">
                  <c:v>42032.083333333336</c:v>
                </c:pt>
                <c:pt idx="395">
                  <c:v>42033.083333333336</c:v>
                </c:pt>
                <c:pt idx="396">
                  <c:v>42034.083333333336</c:v>
                </c:pt>
                <c:pt idx="397">
                  <c:v>42035.083333333336</c:v>
                </c:pt>
                <c:pt idx="398">
                  <c:v>42036.083333333336</c:v>
                </c:pt>
                <c:pt idx="399">
                  <c:v>42037.083333333336</c:v>
                </c:pt>
                <c:pt idx="400">
                  <c:v>42038.083333333336</c:v>
                </c:pt>
                <c:pt idx="401">
                  <c:v>42039.083333333336</c:v>
                </c:pt>
                <c:pt idx="402">
                  <c:v>42040.083333333336</c:v>
                </c:pt>
                <c:pt idx="403">
                  <c:v>42041.083333333336</c:v>
                </c:pt>
                <c:pt idx="404">
                  <c:v>42042.083333333336</c:v>
                </c:pt>
                <c:pt idx="405">
                  <c:v>42043.083333333336</c:v>
                </c:pt>
                <c:pt idx="406">
                  <c:v>42044.083333333336</c:v>
                </c:pt>
                <c:pt idx="407">
                  <c:v>42045.083333333336</c:v>
                </c:pt>
                <c:pt idx="408">
                  <c:v>42046.083333333336</c:v>
                </c:pt>
                <c:pt idx="409">
                  <c:v>42047.083333333336</c:v>
                </c:pt>
                <c:pt idx="410">
                  <c:v>42048.083333333336</c:v>
                </c:pt>
                <c:pt idx="411">
                  <c:v>42049.083333333336</c:v>
                </c:pt>
                <c:pt idx="412">
                  <c:v>42050.083333333336</c:v>
                </c:pt>
                <c:pt idx="413">
                  <c:v>42051.083333333336</c:v>
                </c:pt>
                <c:pt idx="414">
                  <c:v>42052.083333333336</c:v>
                </c:pt>
                <c:pt idx="415">
                  <c:v>42053.083333333336</c:v>
                </c:pt>
                <c:pt idx="416">
                  <c:v>42054.083333333336</c:v>
                </c:pt>
                <c:pt idx="417">
                  <c:v>42055.083333333336</c:v>
                </c:pt>
                <c:pt idx="418">
                  <c:v>42056.083333333336</c:v>
                </c:pt>
                <c:pt idx="419">
                  <c:v>42057.083333333336</c:v>
                </c:pt>
                <c:pt idx="420">
                  <c:v>42058.083333333336</c:v>
                </c:pt>
                <c:pt idx="421">
                  <c:v>42059.083333333336</c:v>
                </c:pt>
                <c:pt idx="422">
                  <c:v>42060.083333333336</c:v>
                </c:pt>
                <c:pt idx="423">
                  <c:v>42061.083333333336</c:v>
                </c:pt>
                <c:pt idx="424">
                  <c:v>42062.083333333336</c:v>
                </c:pt>
                <c:pt idx="425">
                  <c:v>42063.083333333336</c:v>
                </c:pt>
                <c:pt idx="426">
                  <c:v>42064.083333333336</c:v>
                </c:pt>
                <c:pt idx="427">
                  <c:v>42065.083333333336</c:v>
                </c:pt>
                <c:pt idx="428">
                  <c:v>42066.083333333336</c:v>
                </c:pt>
                <c:pt idx="429">
                  <c:v>42067.083333333336</c:v>
                </c:pt>
                <c:pt idx="430">
                  <c:v>42068.083333333336</c:v>
                </c:pt>
                <c:pt idx="431">
                  <c:v>42069.083333333336</c:v>
                </c:pt>
                <c:pt idx="432">
                  <c:v>42070.083333333336</c:v>
                </c:pt>
                <c:pt idx="433">
                  <c:v>42071.083333333336</c:v>
                </c:pt>
                <c:pt idx="434">
                  <c:v>42072.083333333336</c:v>
                </c:pt>
                <c:pt idx="435">
                  <c:v>42073.083333333336</c:v>
                </c:pt>
                <c:pt idx="436">
                  <c:v>42074.083333333336</c:v>
                </c:pt>
                <c:pt idx="437">
                  <c:v>42075.083333333336</c:v>
                </c:pt>
                <c:pt idx="438">
                  <c:v>42076.083333333336</c:v>
                </c:pt>
                <c:pt idx="439">
                  <c:v>42077.083333333336</c:v>
                </c:pt>
                <c:pt idx="440">
                  <c:v>42078.083333333336</c:v>
                </c:pt>
                <c:pt idx="441">
                  <c:v>42079.083333333336</c:v>
                </c:pt>
                <c:pt idx="442">
                  <c:v>42080.083333333336</c:v>
                </c:pt>
                <c:pt idx="443">
                  <c:v>42081.083333333336</c:v>
                </c:pt>
                <c:pt idx="444">
                  <c:v>42082.083333333336</c:v>
                </c:pt>
                <c:pt idx="445">
                  <c:v>42083.083333333336</c:v>
                </c:pt>
                <c:pt idx="446">
                  <c:v>42084.083333333336</c:v>
                </c:pt>
                <c:pt idx="447">
                  <c:v>42085.083333333336</c:v>
                </c:pt>
                <c:pt idx="448">
                  <c:v>42086.083333333336</c:v>
                </c:pt>
                <c:pt idx="449">
                  <c:v>42087.083333333336</c:v>
                </c:pt>
                <c:pt idx="450">
                  <c:v>42088.083333333336</c:v>
                </c:pt>
                <c:pt idx="451">
                  <c:v>42089.083333333336</c:v>
                </c:pt>
                <c:pt idx="452">
                  <c:v>42090.083333333336</c:v>
                </c:pt>
                <c:pt idx="453">
                  <c:v>42091.083333333336</c:v>
                </c:pt>
                <c:pt idx="454">
                  <c:v>42092.083333333336</c:v>
                </c:pt>
                <c:pt idx="455">
                  <c:v>42093.083333333336</c:v>
                </c:pt>
                <c:pt idx="456">
                  <c:v>42094.083333333336</c:v>
                </c:pt>
                <c:pt idx="457">
                  <c:v>42095.083333333336</c:v>
                </c:pt>
                <c:pt idx="458">
                  <c:v>42096.083333333336</c:v>
                </c:pt>
                <c:pt idx="459">
                  <c:v>42097.083333333336</c:v>
                </c:pt>
                <c:pt idx="460">
                  <c:v>42098.083333333336</c:v>
                </c:pt>
                <c:pt idx="461">
                  <c:v>42099.083333333336</c:v>
                </c:pt>
                <c:pt idx="462">
                  <c:v>42100.083333333336</c:v>
                </c:pt>
                <c:pt idx="463">
                  <c:v>42101.083333333336</c:v>
                </c:pt>
                <c:pt idx="464">
                  <c:v>42102.083333333336</c:v>
                </c:pt>
                <c:pt idx="465">
                  <c:v>42103.083333333336</c:v>
                </c:pt>
                <c:pt idx="466">
                  <c:v>42104.083333333336</c:v>
                </c:pt>
                <c:pt idx="467">
                  <c:v>42105.083333333336</c:v>
                </c:pt>
                <c:pt idx="468">
                  <c:v>42106.083333333336</c:v>
                </c:pt>
                <c:pt idx="469">
                  <c:v>42107.083333333336</c:v>
                </c:pt>
                <c:pt idx="470">
                  <c:v>42108.083333333336</c:v>
                </c:pt>
                <c:pt idx="471">
                  <c:v>42109.083333333336</c:v>
                </c:pt>
                <c:pt idx="472">
                  <c:v>42110.083333333336</c:v>
                </c:pt>
                <c:pt idx="473">
                  <c:v>42111.083333333336</c:v>
                </c:pt>
                <c:pt idx="474">
                  <c:v>42112.083333333336</c:v>
                </c:pt>
                <c:pt idx="475">
                  <c:v>42113.083333333336</c:v>
                </c:pt>
                <c:pt idx="476">
                  <c:v>42114.083333333336</c:v>
                </c:pt>
                <c:pt idx="477">
                  <c:v>42115.083333333336</c:v>
                </c:pt>
                <c:pt idx="478">
                  <c:v>42116.083333333336</c:v>
                </c:pt>
                <c:pt idx="479">
                  <c:v>42117.083333333336</c:v>
                </c:pt>
                <c:pt idx="480">
                  <c:v>42118.083333333336</c:v>
                </c:pt>
                <c:pt idx="481">
                  <c:v>42119.083333333336</c:v>
                </c:pt>
                <c:pt idx="482">
                  <c:v>42120.083333333336</c:v>
                </c:pt>
                <c:pt idx="483">
                  <c:v>42121.083333333336</c:v>
                </c:pt>
                <c:pt idx="484">
                  <c:v>42122.083333333336</c:v>
                </c:pt>
                <c:pt idx="485">
                  <c:v>42123.083333333336</c:v>
                </c:pt>
                <c:pt idx="486">
                  <c:v>42124.083333333336</c:v>
                </c:pt>
                <c:pt idx="487">
                  <c:v>42125.083333333336</c:v>
                </c:pt>
                <c:pt idx="488">
                  <c:v>42126.083333333336</c:v>
                </c:pt>
                <c:pt idx="489">
                  <c:v>42127.083333333336</c:v>
                </c:pt>
                <c:pt idx="490">
                  <c:v>42128.083333333336</c:v>
                </c:pt>
                <c:pt idx="491">
                  <c:v>42129.083333333336</c:v>
                </c:pt>
                <c:pt idx="492">
                  <c:v>42130.083333333336</c:v>
                </c:pt>
                <c:pt idx="493">
                  <c:v>42131.083333333336</c:v>
                </c:pt>
                <c:pt idx="494">
                  <c:v>42132.083333333336</c:v>
                </c:pt>
                <c:pt idx="495">
                  <c:v>42133.083333333336</c:v>
                </c:pt>
                <c:pt idx="496">
                  <c:v>42134.083333333336</c:v>
                </c:pt>
                <c:pt idx="497">
                  <c:v>42135.083333333336</c:v>
                </c:pt>
                <c:pt idx="498">
                  <c:v>42136.083333333336</c:v>
                </c:pt>
                <c:pt idx="499">
                  <c:v>42137.083333333336</c:v>
                </c:pt>
                <c:pt idx="500">
                  <c:v>42138.083333333336</c:v>
                </c:pt>
                <c:pt idx="501">
                  <c:v>42139.083333333336</c:v>
                </c:pt>
                <c:pt idx="502">
                  <c:v>42140.083333333336</c:v>
                </c:pt>
                <c:pt idx="503">
                  <c:v>42141.083333333336</c:v>
                </c:pt>
                <c:pt idx="504">
                  <c:v>42142.083333333336</c:v>
                </c:pt>
                <c:pt idx="505">
                  <c:v>42143.083333333336</c:v>
                </c:pt>
                <c:pt idx="506">
                  <c:v>42144.083333333336</c:v>
                </c:pt>
                <c:pt idx="507">
                  <c:v>42145.083333333336</c:v>
                </c:pt>
                <c:pt idx="508">
                  <c:v>42146.083333333336</c:v>
                </c:pt>
                <c:pt idx="509">
                  <c:v>42147.083333333336</c:v>
                </c:pt>
                <c:pt idx="510">
                  <c:v>42148.083333333336</c:v>
                </c:pt>
                <c:pt idx="511">
                  <c:v>42149.083333333336</c:v>
                </c:pt>
                <c:pt idx="512">
                  <c:v>42150.083333333336</c:v>
                </c:pt>
                <c:pt idx="513">
                  <c:v>42151.083333333336</c:v>
                </c:pt>
                <c:pt idx="514">
                  <c:v>42152.083333333336</c:v>
                </c:pt>
                <c:pt idx="515">
                  <c:v>42153.083333333336</c:v>
                </c:pt>
                <c:pt idx="516">
                  <c:v>42154.083333333336</c:v>
                </c:pt>
                <c:pt idx="517">
                  <c:v>42155.083333333336</c:v>
                </c:pt>
                <c:pt idx="518">
                  <c:v>42156.083333333336</c:v>
                </c:pt>
                <c:pt idx="519">
                  <c:v>42157.083333333336</c:v>
                </c:pt>
                <c:pt idx="520">
                  <c:v>42158.083333333336</c:v>
                </c:pt>
                <c:pt idx="521">
                  <c:v>42159.083333333336</c:v>
                </c:pt>
                <c:pt idx="522">
                  <c:v>42160.083333333336</c:v>
                </c:pt>
                <c:pt idx="523">
                  <c:v>42161.083333333336</c:v>
                </c:pt>
                <c:pt idx="524">
                  <c:v>42162.083333333336</c:v>
                </c:pt>
                <c:pt idx="525">
                  <c:v>42163.083333333336</c:v>
                </c:pt>
                <c:pt idx="526">
                  <c:v>42164.083333333336</c:v>
                </c:pt>
                <c:pt idx="527">
                  <c:v>42165.083333333336</c:v>
                </c:pt>
                <c:pt idx="528">
                  <c:v>42166.083333333336</c:v>
                </c:pt>
                <c:pt idx="529">
                  <c:v>42167.083333333336</c:v>
                </c:pt>
                <c:pt idx="530">
                  <c:v>42168.083333333336</c:v>
                </c:pt>
                <c:pt idx="531">
                  <c:v>42169.083333333336</c:v>
                </c:pt>
                <c:pt idx="532">
                  <c:v>42170.083333333336</c:v>
                </c:pt>
                <c:pt idx="533">
                  <c:v>42171.083333333336</c:v>
                </c:pt>
                <c:pt idx="534">
                  <c:v>42172.083333333336</c:v>
                </c:pt>
                <c:pt idx="535">
                  <c:v>42173.083333333336</c:v>
                </c:pt>
                <c:pt idx="536">
                  <c:v>42174.083333333336</c:v>
                </c:pt>
                <c:pt idx="537">
                  <c:v>42175.083333333336</c:v>
                </c:pt>
                <c:pt idx="538">
                  <c:v>42176.083333333336</c:v>
                </c:pt>
                <c:pt idx="539">
                  <c:v>42177.083333333336</c:v>
                </c:pt>
                <c:pt idx="540">
                  <c:v>42178.083333333336</c:v>
                </c:pt>
                <c:pt idx="541">
                  <c:v>42179.083333333336</c:v>
                </c:pt>
                <c:pt idx="542">
                  <c:v>42180.083333333336</c:v>
                </c:pt>
                <c:pt idx="543">
                  <c:v>42181.083333333336</c:v>
                </c:pt>
                <c:pt idx="544">
                  <c:v>42182.083333333336</c:v>
                </c:pt>
                <c:pt idx="545">
                  <c:v>42183.083333333336</c:v>
                </c:pt>
                <c:pt idx="546">
                  <c:v>42184.083333333336</c:v>
                </c:pt>
                <c:pt idx="547">
                  <c:v>42185.083333333336</c:v>
                </c:pt>
                <c:pt idx="548">
                  <c:v>42186.083333333336</c:v>
                </c:pt>
                <c:pt idx="549">
                  <c:v>42187.083333333336</c:v>
                </c:pt>
                <c:pt idx="550">
                  <c:v>42188.083333333336</c:v>
                </c:pt>
                <c:pt idx="551">
                  <c:v>42189.083333333336</c:v>
                </c:pt>
                <c:pt idx="552">
                  <c:v>42190.083333333336</c:v>
                </c:pt>
                <c:pt idx="553">
                  <c:v>42191.083333333336</c:v>
                </c:pt>
                <c:pt idx="554">
                  <c:v>42192.083333333336</c:v>
                </c:pt>
                <c:pt idx="555">
                  <c:v>42193.083333333336</c:v>
                </c:pt>
                <c:pt idx="556">
                  <c:v>42194.083333333336</c:v>
                </c:pt>
                <c:pt idx="557">
                  <c:v>42195.083333333336</c:v>
                </c:pt>
                <c:pt idx="558">
                  <c:v>42196.083333333336</c:v>
                </c:pt>
                <c:pt idx="559">
                  <c:v>42197.083333333336</c:v>
                </c:pt>
                <c:pt idx="560">
                  <c:v>42198.083333333336</c:v>
                </c:pt>
                <c:pt idx="561">
                  <c:v>42199.083333333336</c:v>
                </c:pt>
                <c:pt idx="562">
                  <c:v>42200.083333333336</c:v>
                </c:pt>
                <c:pt idx="563">
                  <c:v>42201.083333333336</c:v>
                </c:pt>
                <c:pt idx="564">
                  <c:v>42202.083333333336</c:v>
                </c:pt>
                <c:pt idx="565">
                  <c:v>42203.083333333336</c:v>
                </c:pt>
                <c:pt idx="566">
                  <c:v>42204.083333333336</c:v>
                </c:pt>
                <c:pt idx="567">
                  <c:v>42205.083333333336</c:v>
                </c:pt>
                <c:pt idx="568">
                  <c:v>42206.083333333336</c:v>
                </c:pt>
                <c:pt idx="569">
                  <c:v>42207.083333333336</c:v>
                </c:pt>
                <c:pt idx="570">
                  <c:v>42208.083333333336</c:v>
                </c:pt>
                <c:pt idx="571">
                  <c:v>42209.083333333336</c:v>
                </c:pt>
                <c:pt idx="572">
                  <c:v>42210.083333333336</c:v>
                </c:pt>
                <c:pt idx="573">
                  <c:v>42211.083333333336</c:v>
                </c:pt>
                <c:pt idx="574">
                  <c:v>42212.083333333336</c:v>
                </c:pt>
                <c:pt idx="575">
                  <c:v>42213.083333333336</c:v>
                </c:pt>
                <c:pt idx="576">
                  <c:v>42214.083333333336</c:v>
                </c:pt>
                <c:pt idx="577">
                  <c:v>42215.083333333336</c:v>
                </c:pt>
                <c:pt idx="578">
                  <c:v>42216.083333333336</c:v>
                </c:pt>
                <c:pt idx="579">
                  <c:v>42217.083333333336</c:v>
                </c:pt>
                <c:pt idx="580">
                  <c:v>42218.083333333336</c:v>
                </c:pt>
                <c:pt idx="581">
                  <c:v>42219.083333333336</c:v>
                </c:pt>
                <c:pt idx="582">
                  <c:v>42220.083333333336</c:v>
                </c:pt>
                <c:pt idx="583">
                  <c:v>42221.083333333336</c:v>
                </c:pt>
                <c:pt idx="584">
                  <c:v>42222.083333333336</c:v>
                </c:pt>
                <c:pt idx="585">
                  <c:v>42223.083333333336</c:v>
                </c:pt>
                <c:pt idx="586">
                  <c:v>42224.083333333336</c:v>
                </c:pt>
                <c:pt idx="587">
                  <c:v>42225.083333333336</c:v>
                </c:pt>
                <c:pt idx="588">
                  <c:v>42226.083333333336</c:v>
                </c:pt>
                <c:pt idx="589">
                  <c:v>42227.083333333336</c:v>
                </c:pt>
                <c:pt idx="590">
                  <c:v>42228.083333333336</c:v>
                </c:pt>
                <c:pt idx="591">
                  <c:v>42229.083333333336</c:v>
                </c:pt>
                <c:pt idx="592">
                  <c:v>42230.083333333336</c:v>
                </c:pt>
                <c:pt idx="593">
                  <c:v>42231.083333333336</c:v>
                </c:pt>
                <c:pt idx="594">
                  <c:v>42232.083333333336</c:v>
                </c:pt>
                <c:pt idx="595">
                  <c:v>42233.083333333336</c:v>
                </c:pt>
                <c:pt idx="596">
                  <c:v>42234.083333333336</c:v>
                </c:pt>
                <c:pt idx="597">
                  <c:v>42235.083333333336</c:v>
                </c:pt>
                <c:pt idx="598">
                  <c:v>42236.083333333336</c:v>
                </c:pt>
                <c:pt idx="599">
                  <c:v>42237.083333333336</c:v>
                </c:pt>
                <c:pt idx="600">
                  <c:v>42238.083333333336</c:v>
                </c:pt>
                <c:pt idx="601">
                  <c:v>42239.083333333336</c:v>
                </c:pt>
                <c:pt idx="602">
                  <c:v>42240.083333333336</c:v>
                </c:pt>
                <c:pt idx="603">
                  <c:v>42241.083333333336</c:v>
                </c:pt>
                <c:pt idx="604">
                  <c:v>42242.083333333336</c:v>
                </c:pt>
                <c:pt idx="605">
                  <c:v>42243.083333333336</c:v>
                </c:pt>
                <c:pt idx="606">
                  <c:v>42244.083333333336</c:v>
                </c:pt>
                <c:pt idx="607">
                  <c:v>42245.083333333336</c:v>
                </c:pt>
                <c:pt idx="608">
                  <c:v>42246.083333333336</c:v>
                </c:pt>
                <c:pt idx="609">
                  <c:v>42247.083333333336</c:v>
                </c:pt>
                <c:pt idx="610">
                  <c:v>42248.083333333336</c:v>
                </c:pt>
                <c:pt idx="611">
                  <c:v>42249.083333333336</c:v>
                </c:pt>
                <c:pt idx="612">
                  <c:v>42250.083333333336</c:v>
                </c:pt>
                <c:pt idx="613">
                  <c:v>42251.083333333336</c:v>
                </c:pt>
                <c:pt idx="614">
                  <c:v>42252.083333333336</c:v>
                </c:pt>
                <c:pt idx="615">
                  <c:v>42253.083333333336</c:v>
                </c:pt>
                <c:pt idx="616">
                  <c:v>42254.083333333336</c:v>
                </c:pt>
                <c:pt idx="617">
                  <c:v>42255.083333333336</c:v>
                </c:pt>
                <c:pt idx="618">
                  <c:v>42256.083333333336</c:v>
                </c:pt>
                <c:pt idx="619">
                  <c:v>42257.083333333336</c:v>
                </c:pt>
                <c:pt idx="620">
                  <c:v>42258.083333333336</c:v>
                </c:pt>
                <c:pt idx="621">
                  <c:v>42259.083333333336</c:v>
                </c:pt>
                <c:pt idx="622">
                  <c:v>42260.083333333336</c:v>
                </c:pt>
                <c:pt idx="623">
                  <c:v>42261.083333333336</c:v>
                </c:pt>
                <c:pt idx="624">
                  <c:v>42262.083333333336</c:v>
                </c:pt>
                <c:pt idx="625">
                  <c:v>42263.083333333336</c:v>
                </c:pt>
                <c:pt idx="626">
                  <c:v>42264.083333333336</c:v>
                </c:pt>
                <c:pt idx="627">
                  <c:v>42265.083333333336</c:v>
                </c:pt>
                <c:pt idx="628">
                  <c:v>42266.083333333336</c:v>
                </c:pt>
                <c:pt idx="629">
                  <c:v>42267.083333333336</c:v>
                </c:pt>
                <c:pt idx="630">
                  <c:v>42268.083333333336</c:v>
                </c:pt>
                <c:pt idx="631">
                  <c:v>42269.083333333336</c:v>
                </c:pt>
                <c:pt idx="632">
                  <c:v>42270.083333333336</c:v>
                </c:pt>
                <c:pt idx="633">
                  <c:v>42271.083333333336</c:v>
                </c:pt>
                <c:pt idx="634">
                  <c:v>42272.083333333336</c:v>
                </c:pt>
                <c:pt idx="635">
                  <c:v>42273.083333333336</c:v>
                </c:pt>
                <c:pt idx="636">
                  <c:v>42274.083333333336</c:v>
                </c:pt>
                <c:pt idx="637">
                  <c:v>42275.083333333336</c:v>
                </c:pt>
                <c:pt idx="638">
                  <c:v>42276.083333333336</c:v>
                </c:pt>
                <c:pt idx="639">
                  <c:v>42277.083333333336</c:v>
                </c:pt>
                <c:pt idx="640">
                  <c:v>42278.083333333336</c:v>
                </c:pt>
                <c:pt idx="641">
                  <c:v>42279.083333333336</c:v>
                </c:pt>
                <c:pt idx="642">
                  <c:v>42280.083333333336</c:v>
                </c:pt>
                <c:pt idx="643">
                  <c:v>42281.083333333336</c:v>
                </c:pt>
                <c:pt idx="644">
                  <c:v>42282.083333333336</c:v>
                </c:pt>
                <c:pt idx="645">
                  <c:v>42283.083333333336</c:v>
                </c:pt>
                <c:pt idx="646">
                  <c:v>42284.083333333336</c:v>
                </c:pt>
                <c:pt idx="647">
                  <c:v>42285.083333333336</c:v>
                </c:pt>
                <c:pt idx="648">
                  <c:v>42286.083333333336</c:v>
                </c:pt>
                <c:pt idx="649">
                  <c:v>42287.083333333336</c:v>
                </c:pt>
                <c:pt idx="650">
                  <c:v>42288.083333333336</c:v>
                </c:pt>
                <c:pt idx="651">
                  <c:v>42289.083333333336</c:v>
                </c:pt>
                <c:pt idx="652">
                  <c:v>42290.083333333336</c:v>
                </c:pt>
                <c:pt idx="653">
                  <c:v>42291.083333333336</c:v>
                </c:pt>
                <c:pt idx="654">
                  <c:v>42292.083333333336</c:v>
                </c:pt>
                <c:pt idx="655">
                  <c:v>42293.083333333336</c:v>
                </c:pt>
                <c:pt idx="656">
                  <c:v>42294.083333333336</c:v>
                </c:pt>
                <c:pt idx="657">
                  <c:v>42295.083333333336</c:v>
                </c:pt>
                <c:pt idx="658">
                  <c:v>42296.083333333336</c:v>
                </c:pt>
                <c:pt idx="659">
                  <c:v>42297.083333333336</c:v>
                </c:pt>
                <c:pt idx="660">
                  <c:v>42298.083333333336</c:v>
                </c:pt>
                <c:pt idx="661">
                  <c:v>42299.083333333336</c:v>
                </c:pt>
                <c:pt idx="662">
                  <c:v>42300.083333333336</c:v>
                </c:pt>
                <c:pt idx="663">
                  <c:v>42301.083333333336</c:v>
                </c:pt>
                <c:pt idx="664">
                  <c:v>42302.083333333336</c:v>
                </c:pt>
                <c:pt idx="665">
                  <c:v>42303.083333333336</c:v>
                </c:pt>
                <c:pt idx="666">
                  <c:v>42304.083333333336</c:v>
                </c:pt>
                <c:pt idx="667">
                  <c:v>42305.083333333336</c:v>
                </c:pt>
                <c:pt idx="668">
                  <c:v>42306.083333333336</c:v>
                </c:pt>
                <c:pt idx="669">
                  <c:v>42307.083333333336</c:v>
                </c:pt>
                <c:pt idx="670">
                  <c:v>42308.083333333336</c:v>
                </c:pt>
                <c:pt idx="671">
                  <c:v>42309.083333333336</c:v>
                </c:pt>
                <c:pt idx="672">
                  <c:v>42310.083333333336</c:v>
                </c:pt>
                <c:pt idx="673">
                  <c:v>42311.083333333336</c:v>
                </c:pt>
                <c:pt idx="674">
                  <c:v>42312.083333333336</c:v>
                </c:pt>
                <c:pt idx="675">
                  <c:v>42313.083333333336</c:v>
                </c:pt>
                <c:pt idx="676">
                  <c:v>42314.083333333336</c:v>
                </c:pt>
                <c:pt idx="677">
                  <c:v>42315.083333333336</c:v>
                </c:pt>
                <c:pt idx="678">
                  <c:v>42316.083333333336</c:v>
                </c:pt>
                <c:pt idx="679">
                  <c:v>42317.083333333336</c:v>
                </c:pt>
                <c:pt idx="680">
                  <c:v>42318.083333333336</c:v>
                </c:pt>
                <c:pt idx="681">
                  <c:v>42319.083333333336</c:v>
                </c:pt>
                <c:pt idx="682">
                  <c:v>42320.083333333336</c:v>
                </c:pt>
                <c:pt idx="683">
                  <c:v>42321.083333333336</c:v>
                </c:pt>
                <c:pt idx="684">
                  <c:v>42322.083333333336</c:v>
                </c:pt>
                <c:pt idx="685">
                  <c:v>42323.083333333336</c:v>
                </c:pt>
                <c:pt idx="686">
                  <c:v>42324.083333333336</c:v>
                </c:pt>
                <c:pt idx="687">
                  <c:v>42325.083333333336</c:v>
                </c:pt>
                <c:pt idx="688">
                  <c:v>42326.083333333336</c:v>
                </c:pt>
                <c:pt idx="689">
                  <c:v>42327.083333333336</c:v>
                </c:pt>
                <c:pt idx="690">
                  <c:v>42328.083333333336</c:v>
                </c:pt>
                <c:pt idx="691">
                  <c:v>42329.083333333336</c:v>
                </c:pt>
                <c:pt idx="692">
                  <c:v>42330.083333333336</c:v>
                </c:pt>
                <c:pt idx="693">
                  <c:v>42331.083333333336</c:v>
                </c:pt>
                <c:pt idx="694">
                  <c:v>42332.083333333336</c:v>
                </c:pt>
                <c:pt idx="695">
                  <c:v>42333.083333333336</c:v>
                </c:pt>
                <c:pt idx="696">
                  <c:v>42334.083333333336</c:v>
                </c:pt>
                <c:pt idx="697">
                  <c:v>42335.083333333336</c:v>
                </c:pt>
                <c:pt idx="698">
                  <c:v>42336.083333333336</c:v>
                </c:pt>
                <c:pt idx="699">
                  <c:v>42337.083333333336</c:v>
                </c:pt>
                <c:pt idx="700">
                  <c:v>42338.083333333336</c:v>
                </c:pt>
                <c:pt idx="701">
                  <c:v>42339.083333333336</c:v>
                </c:pt>
                <c:pt idx="702">
                  <c:v>42340.083333333336</c:v>
                </c:pt>
                <c:pt idx="703">
                  <c:v>42341.083333333336</c:v>
                </c:pt>
                <c:pt idx="704">
                  <c:v>42342.083333333336</c:v>
                </c:pt>
                <c:pt idx="705">
                  <c:v>42343.083333333336</c:v>
                </c:pt>
                <c:pt idx="706">
                  <c:v>42344.083333333336</c:v>
                </c:pt>
                <c:pt idx="707">
                  <c:v>42345.083333333336</c:v>
                </c:pt>
                <c:pt idx="708">
                  <c:v>42346.083333333336</c:v>
                </c:pt>
                <c:pt idx="709">
                  <c:v>42347.083333333336</c:v>
                </c:pt>
                <c:pt idx="710">
                  <c:v>42348.083333333336</c:v>
                </c:pt>
                <c:pt idx="711">
                  <c:v>42349.083333333336</c:v>
                </c:pt>
                <c:pt idx="712">
                  <c:v>42350.083333333336</c:v>
                </c:pt>
                <c:pt idx="713">
                  <c:v>42351.083333333336</c:v>
                </c:pt>
                <c:pt idx="714">
                  <c:v>42352.083333333336</c:v>
                </c:pt>
                <c:pt idx="715">
                  <c:v>42353.083333333336</c:v>
                </c:pt>
                <c:pt idx="716">
                  <c:v>42354.083333333336</c:v>
                </c:pt>
                <c:pt idx="717">
                  <c:v>42355.083333333336</c:v>
                </c:pt>
                <c:pt idx="718">
                  <c:v>42356.083333333336</c:v>
                </c:pt>
                <c:pt idx="719">
                  <c:v>42357.083333333336</c:v>
                </c:pt>
                <c:pt idx="720">
                  <c:v>42358.083333333336</c:v>
                </c:pt>
                <c:pt idx="721">
                  <c:v>42359.083333333336</c:v>
                </c:pt>
                <c:pt idx="722">
                  <c:v>42360.083333333336</c:v>
                </c:pt>
                <c:pt idx="723">
                  <c:v>42361.083333333336</c:v>
                </c:pt>
                <c:pt idx="724">
                  <c:v>42362.083333333336</c:v>
                </c:pt>
                <c:pt idx="725">
                  <c:v>42363.083333333336</c:v>
                </c:pt>
                <c:pt idx="726">
                  <c:v>42364.083333333336</c:v>
                </c:pt>
                <c:pt idx="727">
                  <c:v>42365.083333333336</c:v>
                </c:pt>
                <c:pt idx="728">
                  <c:v>42366.083333333336</c:v>
                </c:pt>
                <c:pt idx="729">
                  <c:v>42367.083333333336</c:v>
                </c:pt>
                <c:pt idx="730">
                  <c:v>42368.083333333336</c:v>
                </c:pt>
                <c:pt idx="731">
                  <c:v>42369.083333333336</c:v>
                </c:pt>
                <c:pt idx="732">
                  <c:v>42370.083333333336</c:v>
                </c:pt>
                <c:pt idx="733">
                  <c:v>42371.083333333336</c:v>
                </c:pt>
                <c:pt idx="734">
                  <c:v>42372.083333333336</c:v>
                </c:pt>
                <c:pt idx="735">
                  <c:v>42373.083333333336</c:v>
                </c:pt>
                <c:pt idx="736">
                  <c:v>42374.083333333336</c:v>
                </c:pt>
                <c:pt idx="737">
                  <c:v>42375.083333333336</c:v>
                </c:pt>
                <c:pt idx="738">
                  <c:v>42376.083333333336</c:v>
                </c:pt>
                <c:pt idx="739">
                  <c:v>42377.083333333336</c:v>
                </c:pt>
                <c:pt idx="740">
                  <c:v>42378.083333333336</c:v>
                </c:pt>
                <c:pt idx="741">
                  <c:v>42379.083333333336</c:v>
                </c:pt>
                <c:pt idx="742">
                  <c:v>42380.083333333336</c:v>
                </c:pt>
                <c:pt idx="743">
                  <c:v>42381.083333333336</c:v>
                </c:pt>
                <c:pt idx="744">
                  <c:v>42382.083333333336</c:v>
                </c:pt>
                <c:pt idx="745">
                  <c:v>42383.083333333336</c:v>
                </c:pt>
                <c:pt idx="746">
                  <c:v>42384.083333333336</c:v>
                </c:pt>
                <c:pt idx="747">
                  <c:v>42385.083333333336</c:v>
                </c:pt>
                <c:pt idx="748">
                  <c:v>42386.083333333336</c:v>
                </c:pt>
                <c:pt idx="749">
                  <c:v>42387.083333333336</c:v>
                </c:pt>
                <c:pt idx="750">
                  <c:v>42388.083333333336</c:v>
                </c:pt>
                <c:pt idx="751">
                  <c:v>42389.083333333336</c:v>
                </c:pt>
                <c:pt idx="752">
                  <c:v>42390.083333333336</c:v>
                </c:pt>
                <c:pt idx="753">
                  <c:v>42391.083333333336</c:v>
                </c:pt>
                <c:pt idx="754">
                  <c:v>42392.083333333336</c:v>
                </c:pt>
                <c:pt idx="755">
                  <c:v>42393.083333333336</c:v>
                </c:pt>
                <c:pt idx="756">
                  <c:v>42394.083333333336</c:v>
                </c:pt>
                <c:pt idx="757">
                  <c:v>42395.083333333336</c:v>
                </c:pt>
                <c:pt idx="758">
                  <c:v>42396.083333333336</c:v>
                </c:pt>
                <c:pt idx="759">
                  <c:v>42397.083333333336</c:v>
                </c:pt>
                <c:pt idx="760">
                  <c:v>42398.083333333336</c:v>
                </c:pt>
                <c:pt idx="761">
                  <c:v>42399.083333333336</c:v>
                </c:pt>
                <c:pt idx="762">
                  <c:v>42400.083333333336</c:v>
                </c:pt>
                <c:pt idx="763">
                  <c:v>42401.083333333336</c:v>
                </c:pt>
                <c:pt idx="764">
                  <c:v>42402.083333333336</c:v>
                </c:pt>
                <c:pt idx="765">
                  <c:v>42403.083333333336</c:v>
                </c:pt>
                <c:pt idx="766">
                  <c:v>42404.083333333336</c:v>
                </c:pt>
                <c:pt idx="767">
                  <c:v>42405.083333333336</c:v>
                </c:pt>
                <c:pt idx="768">
                  <c:v>42406.083333333336</c:v>
                </c:pt>
                <c:pt idx="769">
                  <c:v>42407.083333333336</c:v>
                </c:pt>
                <c:pt idx="770">
                  <c:v>42408.083333333336</c:v>
                </c:pt>
                <c:pt idx="771">
                  <c:v>42409.083333333336</c:v>
                </c:pt>
                <c:pt idx="772">
                  <c:v>42410.083333333336</c:v>
                </c:pt>
                <c:pt idx="773">
                  <c:v>42411.083333333336</c:v>
                </c:pt>
                <c:pt idx="774">
                  <c:v>42412.083333333336</c:v>
                </c:pt>
                <c:pt idx="775">
                  <c:v>42413.083333333336</c:v>
                </c:pt>
                <c:pt idx="776">
                  <c:v>42414.083333333336</c:v>
                </c:pt>
                <c:pt idx="777">
                  <c:v>42415.083333333336</c:v>
                </c:pt>
                <c:pt idx="778">
                  <c:v>42416.083333333336</c:v>
                </c:pt>
                <c:pt idx="779">
                  <c:v>42417.083333333336</c:v>
                </c:pt>
                <c:pt idx="780">
                  <c:v>42418.083333333336</c:v>
                </c:pt>
                <c:pt idx="781">
                  <c:v>42419.083333333336</c:v>
                </c:pt>
                <c:pt idx="782">
                  <c:v>42420.083333333336</c:v>
                </c:pt>
                <c:pt idx="783">
                  <c:v>42421.083333333336</c:v>
                </c:pt>
                <c:pt idx="784">
                  <c:v>42422.083333333336</c:v>
                </c:pt>
                <c:pt idx="785">
                  <c:v>42423.083333333336</c:v>
                </c:pt>
                <c:pt idx="786">
                  <c:v>42424.083333333336</c:v>
                </c:pt>
                <c:pt idx="787">
                  <c:v>42425.083333333336</c:v>
                </c:pt>
                <c:pt idx="788">
                  <c:v>42426.083333333336</c:v>
                </c:pt>
                <c:pt idx="789">
                  <c:v>42427.083333333336</c:v>
                </c:pt>
                <c:pt idx="790">
                  <c:v>42428.083333333336</c:v>
                </c:pt>
                <c:pt idx="791">
                  <c:v>42429.083333333336</c:v>
                </c:pt>
                <c:pt idx="792">
                  <c:v>42430.083333333336</c:v>
                </c:pt>
                <c:pt idx="793">
                  <c:v>42431.083333333336</c:v>
                </c:pt>
                <c:pt idx="794">
                  <c:v>42432.083333333336</c:v>
                </c:pt>
                <c:pt idx="795">
                  <c:v>42433.083333333336</c:v>
                </c:pt>
                <c:pt idx="796">
                  <c:v>42434.083333333336</c:v>
                </c:pt>
                <c:pt idx="797">
                  <c:v>42435.083333333336</c:v>
                </c:pt>
                <c:pt idx="798">
                  <c:v>42436.083333333336</c:v>
                </c:pt>
                <c:pt idx="799">
                  <c:v>42437.083333333336</c:v>
                </c:pt>
                <c:pt idx="800">
                  <c:v>42438.083333333336</c:v>
                </c:pt>
                <c:pt idx="801">
                  <c:v>42439.083333333336</c:v>
                </c:pt>
                <c:pt idx="802">
                  <c:v>42440.083333333336</c:v>
                </c:pt>
                <c:pt idx="803">
                  <c:v>42441.083333333336</c:v>
                </c:pt>
                <c:pt idx="804">
                  <c:v>42442.083333333336</c:v>
                </c:pt>
                <c:pt idx="805">
                  <c:v>42443.083333333336</c:v>
                </c:pt>
                <c:pt idx="806">
                  <c:v>42444.083333333336</c:v>
                </c:pt>
                <c:pt idx="807">
                  <c:v>42445.083333333336</c:v>
                </c:pt>
                <c:pt idx="808">
                  <c:v>42446.083333333336</c:v>
                </c:pt>
                <c:pt idx="809">
                  <c:v>42447.083333333336</c:v>
                </c:pt>
                <c:pt idx="810">
                  <c:v>42448.083333333336</c:v>
                </c:pt>
                <c:pt idx="811">
                  <c:v>42449.083333333336</c:v>
                </c:pt>
                <c:pt idx="812">
                  <c:v>42450.083333333336</c:v>
                </c:pt>
                <c:pt idx="813">
                  <c:v>42451.083333333336</c:v>
                </c:pt>
                <c:pt idx="814">
                  <c:v>42452.083333333336</c:v>
                </c:pt>
                <c:pt idx="815">
                  <c:v>42453.083333333336</c:v>
                </c:pt>
                <c:pt idx="816">
                  <c:v>42454.083333333336</c:v>
                </c:pt>
                <c:pt idx="817">
                  <c:v>42455.083333333336</c:v>
                </c:pt>
                <c:pt idx="818">
                  <c:v>42456.083333333336</c:v>
                </c:pt>
                <c:pt idx="819">
                  <c:v>42457.083333333336</c:v>
                </c:pt>
                <c:pt idx="820">
                  <c:v>42458.083333333336</c:v>
                </c:pt>
                <c:pt idx="821">
                  <c:v>42459.083333333336</c:v>
                </c:pt>
                <c:pt idx="822">
                  <c:v>42460.083333333336</c:v>
                </c:pt>
                <c:pt idx="823">
                  <c:v>42461.083333333336</c:v>
                </c:pt>
                <c:pt idx="824">
                  <c:v>42462.083333333336</c:v>
                </c:pt>
                <c:pt idx="825">
                  <c:v>42463.083333333336</c:v>
                </c:pt>
                <c:pt idx="826">
                  <c:v>42464.083333333336</c:v>
                </c:pt>
                <c:pt idx="827">
                  <c:v>42465.083333333336</c:v>
                </c:pt>
                <c:pt idx="828">
                  <c:v>42466.083333333336</c:v>
                </c:pt>
                <c:pt idx="829">
                  <c:v>42467.083333333336</c:v>
                </c:pt>
                <c:pt idx="830">
                  <c:v>42468.083333333336</c:v>
                </c:pt>
                <c:pt idx="831">
                  <c:v>42469.083333333336</c:v>
                </c:pt>
                <c:pt idx="832">
                  <c:v>42470.083333333336</c:v>
                </c:pt>
                <c:pt idx="833">
                  <c:v>42471.083333333336</c:v>
                </c:pt>
                <c:pt idx="834">
                  <c:v>42472.083333333336</c:v>
                </c:pt>
                <c:pt idx="835">
                  <c:v>42473.083333333336</c:v>
                </c:pt>
                <c:pt idx="836">
                  <c:v>42474.083333333336</c:v>
                </c:pt>
                <c:pt idx="837">
                  <c:v>42475.083333333336</c:v>
                </c:pt>
                <c:pt idx="838">
                  <c:v>42476.083333333336</c:v>
                </c:pt>
                <c:pt idx="839">
                  <c:v>42477.083333333336</c:v>
                </c:pt>
                <c:pt idx="840">
                  <c:v>42478.083333333336</c:v>
                </c:pt>
                <c:pt idx="841">
                  <c:v>42479.083333333336</c:v>
                </c:pt>
                <c:pt idx="842">
                  <c:v>42480.083333333336</c:v>
                </c:pt>
                <c:pt idx="843">
                  <c:v>42481.083333333336</c:v>
                </c:pt>
                <c:pt idx="844">
                  <c:v>42482.083333333336</c:v>
                </c:pt>
                <c:pt idx="845">
                  <c:v>42483.083333333336</c:v>
                </c:pt>
                <c:pt idx="846">
                  <c:v>42484.083333333336</c:v>
                </c:pt>
                <c:pt idx="847">
                  <c:v>42485.083333333336</c:v>
                </c:pt>
                <c:pt idx="848">
                  <c:v>42486.083333333336</c:v>
                </c:pt>
                <c:pt idx="849">
                  <c:v>42487.083333333336</c:v>
                </c:pt>
                <c:pt idx="850">
                  <c:v>42488.083333333336</c:v>
                </c:pt>
                <c:pt idx="851">
                  <c:v>42489.083333333336</c:v>
                </c:pt>
                <c:pt idx="852">
                  <c:v>42490.083333333336</c:v>
                </c:pt>
                <c:pt idx="853">
                  <c:v>42491.083333333336</c:v>
                </c:pt>
                <c:pt idx="854">
                  <c:v>42492.083333333336</c:v>
                </c:pt>
                <c:pt idx="855">
                  <c:v>42493.083333333336</c:v>
                </c:pt>
                <c:pt idx="856">
                  <c:v>42494.083333333336</c:v>
                </c:pt>
                <c:pt idx="857">
                  <c:v>42495.083333333336</c:v>
                </c:pt>
                <c:pt idx="858">
                  <c:v>42496.083333333336</c:v>
                </c:pt>
                <c:pt idx="859">
                  <c:v>42497.083333333336</c:v>
                </c:pt>
                <c:pt idx="860">
                  <c:v>42498.083333333336</c:v>
                </c:pt>
                <c:pt idx="861">
                  <c:v>42499.083333333336</c:v>
                </c:pt>
                <c:pt idx="862">
                  <c:v>42500.083333333336</c:v>
                </c:pt>
                <c:pt idx="863">
                  <c:v>42501.083333333336</c:v>
                </c:pt>
                <c:pt idx="864">
                  <c:v>42502.083333333336</c:v>
                </c:pt>
                <c:pt idx="865">
                  <c:v>42503.083333333336</c:v>
                </c:pt>
                <c:pt idx="866">
                  <c:v>42504.083333333336</c:v>
                </c:pt>
                <c:pt idx="867">
                  <c:v>42505.083333333336</c:v>
                </c:pt>
                <c:pt idx="868">
                  <c:v>42506.083333333336</c:v>
                </c:pt>
                <c:pt idx="869">
                  <c:v>42507.083333333336</c:v>
                </c:pt>
                <c:pt idx="870">
                  <c:v>42508.083333333336</c:v>
                </c:pt>
                <c:pt idx="871">
                  <c:v>42509.083333333336</c:v>
                </c:pt>
                <c:pt idx="872">
                  <c:v>42510.083333333336</c:v>
                </c:pt>
                <c:pt idx="873">
                  <c:v>42511.083333333336</c:v>
                </c:pt>
                <c:pt idx="874">
                  <c:v>42512.083333333336</c:v>
                </c:pt>
                <c:pt idx="875">
                  <c:v>42513.083333333336</c:v>
                </c:pt>
                <c:pt idx="876">
                  <c:v>42514.083333333336</c:v>
                </c:pt>
                <c:pt idx="877">
                  <c:v>42515.083333333336</c:v>
                </c:pt>
                <c:pt idx="878">
                  <c:v>42516.083333333336</c:v>
                </c:pt>
                <c:pt idx="879">
                  <c:v>42517.083333333336</c:v>
                </c:pt>
                <c:pt idx="880">
                  <c:v>42518.083333333336</c:v>
                </c:pt>
                <c:pt idx="881">
                  <c:v>42519.083333333336</c:v>
                </c:pt>
                <c:pt idx="882">
                  <c:v>42520.083333333336</c:v>
                </c:pt>
                <c:pt idx="883">
                  <c:v>42521.083333333336</c:v>
                </c:pt>
                <c:pt idx="884">
                  <c:v>42522.083333333336</c:v>
                </c:pt>
                <c:pt idx="885">
                  <c:v>42523.083333333336</c:v>
                </c:pt>
                <c:pt idx="886">
                  <c:v>42524.083333333336</c:v>
                </c:pt>
                <c:pt idx="887">
                  <c:v>42525.083333333336</c:v>
                </c:pt>
                <c:pt idx="888">
                  <c:v>42526.083333333336</c:v>
                </c:pt>
                <c:pt idx="889">
                  <c:v>42527.083333333336</c:v>
                </c:pt>
                <c:pt idx="890">
                  <c:v>42528.083333333336</c:v>
                </c:pt>
                <c:pt idx="891">
                  <c:v>42529.083333333336</c:v>
                </c:pt>
                <c:pt idx="892">
                  <c:v>42530.083333333336</c:v>
                </c:pt>
                <c:pt idx="893">
                  <c:v>42531.083333333336</c:v>
                </c:pt>
                <c:pt idx="894">
                  <c:v>42532.083333333336</c:v>
                </c:pt>
                <c:pt idx="895">
                  <c:v>42533.083333333336</c:v>
                </c:pt>
                <c:pt idx="896">
                  <c:v>42534.083333333336</c:v>
                </c:pt>
                <c:pt idx="897">
                  <c:v>42535.083333333336</c:v>
                </c:pt>
                <c:pt idx="898">
                  <c:v>42536.083333333336</c:v>
                </c:pt>
                <c:pt idx="899">
                  <c:v>42537.083333333336</c:v>
                </c:pt>
                <c:pt idx="900">
                  <c:v>42538.083333333336</c:v>
                </c:pt>
                <c:pt idx="901">
                  <c:v>42539.083333333336</c:v>
                </c:pt>
                <c:pt idx="902">
                  <c:v>42540.083333333336</c:v>
                </c:pt>
                <c:pt idx="903">
                  <c:v>42541.083333333336</c:v>
                </c:pt>
                <c:pt idx="904">
                  <c:v>42542.083333333336</c:v>
                </c:pt>
                <c:pt idx="905">
                  <c:v>42543.083333333336</c:v>
                </c:pt>
                <c:pt idx="906">
                  <c:v>42544.083333333336</c:v>
                </c:pt>
                <c:pt idx="907">
                  <c:v>42545.083333333336</c:v>
                </c:pt>
                <c:pt idx="908">
                  <c:v>42546.083333333336</c:v>
                </c:pt>
                <c:pt idx="909">
                  <c:v>42547.083333333336</c:v>
                </c:pt>
                <c:pt idx="910">
                  <c:v>42548.083333333336</c:v>
                </c:pt>
                <c:pt idx="911">
                  <c:v>42549.083333333336</c:v>
                </c:pt>
                <c:pt idx="912">
                  <c:v>42550.083333333336</c:v>
                </c:pt>
                <c:pt idx="913">
                  <c:v>42551.083333333336</c:v>
                </c:pt>
                <c:pt idx="914">
                  <c:v>42552.083333333336</c:v>
                </c:pt>
                <c:pt idx="915">
                  <c:v>42553.083333333336</c:v>
                </c:pt>
                <c:pt idx="916">
                  <c:v>42554.083333333336</c:v>
                </c:pt>
                <c:pt idx="917">
                  <c:v>42555.083333333336</c:v>
                </c:pt>
                <c:pt idx="918">
                  <c:v>42556.083333333336</c:v>
                </c:pt>
                <c:pt idx="919">
                  <c:v>42557.083333333336</c:v>
                </c:pt>
                <c:pt idx="920">
                  <c:v>42558.083333333336</c:v>
                </c:pt>
                <c:pt idx="921">
                  <c:v>42559.083333333336</c:v>
                </c:pt>
                <c:pt idx="922">
                  <c:v>42560.083333333336</c:v>
                </c:pt>
                <c:pt idx="923">
                  <c:v>42561.083333333336</c:v>
                </c:pt>
                <c:pt idx="924">
                  <c:v>42562.083333333336</c:v>
                </c:pt>
                <c:pt idx="925">
                  <c:v>42563.083333333336</c:v>
                </c:pt>
                <c:pt idx="926">
                  <c:v>42564.083333333336</c:v>
                </c:pt>
                <c:pt idx="927">
                  <c:v>42565.083333333336</c:v>
                </c:pt>
                <c:pt idx="928">
                  <c:v>42566.083333333336</c:v>
                </c:pt>
                <c:pt idx="929">
                  <c:v>42567.083333333336</c:v>
                </c:pt>
                <c:pt idx="930">
                  <c:v>42568.083333333336</c:v>
                </c:pt>
                <c:pt idx="931">
                  <c:v>42569.083333333336</c:v>
                </c:pt>
                <c:pt idx="932">
                  <c:v>42570.083333333336</c:v>
                </c:pt>
                <c:pt idx="933">
                  <c:v>42571.083333333336</c:v>
                </c:pt>
                <c:pt idx="934">
                  <c:v>42572.083333333336</c:v>
                </c:pt>
                <c:pt idx="935">
                  <c:v>42573.083333333336</c:v>
                </c:pt>
                <c:pt idx="936">
                  <c:v>42574.083333333336</c:v>
                </c:pt>
                <c:pt idx="937">
                  <c:v>42575.083333333336</c:v>
                </c:pt>
                <c:pt idx="938">
                  <c:v>42576.083333333336</c:v>
                </c:pt>
                <c:pt idx="939">
                  <c:v>42577.083333333336</c:v>
                </c:pt>
                <c:pt idx="940">
                  <c:v>42578.083333333336</c:v>
                </c:pt>
                <c:pt idx="941">
                  <c:v>42579.083333333336</c:v>
                </c:pt>
                <c:pt idx="942">
                  <c:v>42580.083333333336</c:v>
                </c:pt>
                <c:pt idx="943">
                  <c:v>42581.083333333336</c:v>
                </c:pt>
                <c:pt idx="944">
                  <c:v>42582.083333333336</c:v>
                </c:pt>
                <c:pt idx="945">
                  <c:v>42583.083333333336</c:v>
                </c:pt>
                <c:pt idx="946">
                  <c:v>42584.083333333336</c:v>
                </c:pt>
                <c:pt idx="947">
                  <c:v>42585.083333333336</c:v>
                </c:pt>
                <c:pt idx="948">
                  <c:v>42586.083333333336</c:v>
                </c:pt>
                <c:pt idx="949">
                  <c:v>42587.083333333336</c:v>
                </c:pt>
                <c:pt idx="950">
                  <c:v>42588.083333333336</c:v>
                </c:pt>
                <c:pt idx="951">
                  <c:v>42589.083333333336</c:v>
                </c:pt>
                <c:pt idx="952">
                  <c:v>42590.083333333336</c:v>
                </c:pt>
                <c:pt idx="953">
                  <c:v>42591.083333333336</c:v>
                </c:pt>
                <c:pt idx="954">
                  <c:v>42592.083333333336</c:v>
                </c:pt>
                <c:pt idx="955">
                  <c:v>42593.083333333336</c:v>
                </c:pt>
                <c:pt idx="956">
                  <c:v>42594.083333333336</c:v>
                </c:pt>
                <c:pt idx="957">
                  <c:v>42595.083333333336</c:v>
                </c:pt>
                <c:pt idx="958">
                  <c:v>42596.083333333336</c:v>
                </c:pt>
                <c:pt idx="959">
                  <c:v>42597.083333333336</c:v>
                </c:pt>
                <c:pt idx="960">
                  <c:v>42598.083333333336</c:v>
                </c:pt>
                <c:pt idx="961">
                  <c:v>42599.083333333336</c:v>
                </c:pt>
                <c:pt idx="962">
                  <c:v>42600.083333333336</c:v>
                </c:pt>
                <c:pt idx="963">
                  <c:v>42601.083333333336</c:v>
                </c:pt>
                <c:pt idx="964">
                  <c:v>42602.083333333336</c:v>
                </c:pt>
                <c:pt idx="965">
                  <c:v>42603.083333333336</c:v>
                </c:pt>
                <c:pt idx="966">
                  <c:v>42604.083333333336</c:v>
                </c:pt>
                <c:pt idx="967">
                  <c:v>42605.083333333336</c:v>
                </c:pt>
                <c:pt idx="968">
                  <c:v>42606.083333333336</c:v>
                </c:pt>
                <c:pt idx="969">
                  <c:v>42607.083333333336</c:v>
                </c:pt>
                <c:pt idx="970">
                  <c:v>42608.083333333336</c:v>
                </c:pt>
                <c:pt idx="971">
                  <c:v>42609.083333333336</c:v>
                </c:pt>
                <c:pt idx="972">
                  <c:v>42610.083333333336</c:v>
                </c:pt>
                <c:pt idx="973">
                  <c:v>42611.083333333336</c:v>
                </c:pt>
                <c:pt idx="974">
                  <c:v>42612.083333333336</c:v>
                </c:pt>
                <c:pt idx="975">
                  <c:v>42613.083333333336</c:v>
                </c:pt>
                <c:pt idx="976">
                  <c:v>42614.083333333336</c:v>
                </c:pt>
                <c:pt idx="977">
                  <c:v>42615.083333333336</c:v>
                </c:pt>
                <c:pt idx="978">
                  <c:v>42616.083333333336</c:v>
                </c:pt>
                <c:pt idx="979">
                  <c:v>42617.083333333336</c:v>
                </c:pt>
                <c:pt idx="980">
                  <c:v>42618.083333333336</c:v>
                </c:pt>
                <c:pt idx="981">
                  <c:v>42619.083333333336</c:v>
                </c:pt>
                <c:pt idx="982">
                  <c:v>42620.083333333336</c:v>
                </c:pt>
                <c:pt idx="983">
                  <c:v>42621.083333333336</c:v>
                </c:pt>
                <c:pt idx="984">
                  <c:v>42622.083333333336</c:v>
                </c:pt>
                <c:pt idx="985">
                  <c:v>42623.083333333336</c:v>
                </c:pt>
                <c:pt idx="986">
                  <c:v>42624.083333333336</c:v>
                </c:pt>
                <c:pt idx="987">
                  <c:v>42625.083333333336</c:v>
                </c:pt>
                <c:pt idx="988">
                  <c:v>42626.083333333336</c:v>
                </c:pt>
                <c:pt idx="989">
                  <c:v>42627.083333333336</c:v>
                </c:pt>
                <c:pt idx="990">
                  <c:v>42628.083333333336</c:v>
                </c:pt>
                <c:pt idx="991">
                  <c:v>42629.083333333336</c:v>
                </c:pt>
                <c:pt idx="992">
                  <c:v>42630.083333333336</c:v>
                </c:pt>
                <c:pt idx="993">
                  <c:v>42631.083333333336</c:v>
                </c:pt>
                <c:pt idx="994">
                  <c:v>42632.083333333336</c:v>
                </c:pt>
                <c:pt idx="995">
                  <c:v>42633.083333333336</c:v>
                </c:pt>
                <c:pt idx="996">
                  <c:v>42634.083333333336</c:v>
                </c:pt>
                <c:pt idx="997">
                  <c:v>42635.083333333336</c:v>
                </c:pt>
                <c:pt idx="998">
                  <c:v>42636.083333333336</c:v>
                </c:pt>
                <c:pt idx="999">
                  <c:v>42637.083333333336</c:v>
                </c:pt>
              </c:numCache>
            </c:numRef>
          </c:cat>
          <c:val>
            <c:numRef>
              <c:f>'Daily Metrics'!$B$15:$B$1014</c:f>
              <c:numCache>
                <c:formatCode>\R0.00</c:formatCode>
                <c:ptCount val="1000"/>
                <c:pt idx="0">
                  <c:v>32.801811611209459</c:v>
                </c:pt>
                <c:pt idx="1">
                  <c:v>32.406720388863405</c:v>
                </c:pt>
                <c:pt idx="2">
                  <c:v>32.405701167818442</c:v>
                </c:pt>
                <c:pt idx="3">
                  <c:v>32.41669906925943</c:v>
                </c:pt>
                <c:pt idx="4">
                  <c:v>32.418293750131987</c:v>
                </c:pt>
                <c:pt idx="5">
                  <c:v>32.422802050914676</c:v>
                </c:pt>
                <c:pt idx="6">
                  <c:v>32.43824845905322</c:v>
                </c:pt>
                <c:pt idx="7">
                  <c:v>32.425058304296357</c:v>
                </c:pt>
                <c:pt idx="8">
                  <c:v>32.41504991585559</c:v>
                </c:pt>
                <c:pt idx="9">
                  <c:v>34.058997403423746</c:v>
                </c:pt>
                <c:pt idx="10">
                  <c:v>34.126085769937319</c:v>
                </c:pt>
                <c:pt idx="11">
                  <c:v>34.109740161076303</c:v>
                </c:pt>
                <c:pt idx="12">
                  <c:v>34.110189051254359</c:v>
                </c:pt>
                <c:pt idx="13">
                  <c:v>34.128173454333727</c:v>
                </c:pt>
                <c:pt idx="14">
                  <c:v>34.10008126778154</c:v>
                </c:pt>
                <c:pt idx="15">
                  <c:v>34.110221499102508</c:v>
                </c:pt>
                <c:pt idx="16">
                  <c:v>34.083834364132898</c:v>
                </c:pt>
                <c:pt idx="17">
                  <c:v>34.084665481376071</c:v>
                </c:pt>
                <c:pt idx="18">
                  <c:v>34.138261014109119</c:v>
                </c:pt>
                <c:pt idx="19">
                  <c:v>34.128329088498745</c:v>
                </c:pt>
                <c:pt idx="20">
                  <c:v>34.1439830809664</c:v>
                </c:pt>
                <c:pt idx="21">
                  <c:v>34.120517626362137</c:v>
                </c:pt>
                <c:pt idx="22">
                  <c:v>34.087192678609782</c:v>
                </c:pt>
                <c:pt idx="23">
                  <c:v>33.923886608039318</c:v>
                </c:pt>
                <c:pt idx="24">
                  <c:v>34.176148690664313</c:v>
                </c:pt>
                <c:pt idx="25">
                  <c:v>34.168507113044697</c:v>
                </c:pt>
                <c:pt idx="26">
                  <c:v>34.170956163177813</c:v>
                </c:pt>
                <c:pt idx="27">
                  <c:v>34.165381661072836</c:v>
                </c:pt>
                <c:pt idx="28">
                  <c:v>34.177338631295846</c:v>
                </c:pt>
                <c:pt idx="29">
                  <c:v>34.157116370182386</c:v>
                </c:pt>
                <c:pt idx="30">
                  <c:v>34.17340521341125</c:v>
                </c:pt>
                <c:pt idx="31">
                  <c:v>34.165100059827587</c:v>
                </c:pt>
                <c:pt idx="32">
                  <c:v>34.167214268072215</c:v>
                </c:pt>
                <c:pt idx="33">
                  <c:v>34.164616983637444</c:v>
                </c:pt>
                <c:pt idx="34">
                  <c:v>34.166741278752106</c:v>
                </c:pt>
                <c:pt idx="35">
                  <c:v>34.166674625668335</c:v>
                </c:pt>
                <c:pt idx="36">
                  <c:v>34.162943001543972</c:v>
                </c:pt>
                <c:pt idx="37">
                  <c:v>32.469789824035395</c:v>
                </c:pt>
                <c:pt idx="38">
                  <c:v>33.789534212848089</c:v>
                </c:pt>
                <c:pt idx="39">
                  <c:v>32.481025695291578</c:v>
                </c:pt>
                <c:pt idx="40">
                  <c:v>32.461043190858994</c:v>
                </c:pt>
                <c:pt idx="41">
                  <c:v>32.471304961465769</c:v>
                </c:pt>
                <c:pt idx="42">
                  <c:v>32.453320779067006</c:v>
                </c:pt>
                <c:pt idx="43">
                  <c:v>32.478127143908438</c:v>
                </c:pt>
                <c:pt idx="44">
                  <c:v>32.446465198586857</c:v>
                </c:pt>
                <c:pt idx="45">
                  <c:v>32.470446894009392</c:v>
                </c:pt>
                <c:pt idx="46">
                  <c:v>32.453652991050859</c:v>
                </c:pt>
                <c:pt idx="47">
                  <c:v>32.450517844547477</c:v>
                </c:pt>
                <c:pt idx="48">
                  <c:v>32.448229073755996</c:v>
                </c:pt>
                <c:pt idx="49">
                  <c:v>32.437157886999785</c:v>
                </c:pt>
                <c:pt idx="50">
                  <c:v>34.168365295497168</c:v>
                </c:pt>
                <c:pt idx="51">
                  <c:v>32.437425126127401</c:v>
                </c:pt>
                <c:pt idx="52">
                  <c:v>34.173400183895197</c:v>
                </c:pt>
                <c:pt idx="53">
                  <c:v>32.433821450574783</c:v>
                </c:pt>
                <c:pt idx="54">
                  <c:v>31.643253741560173</c:v>
                </c:pt>
                <c:pt idx="55">
                  <c:v>32.433618255377517</c:v>
                </c:pt>
                <c:pt idx="56">
                  <c:v>32.427233854173402</c:v>
                </c:pt>
                <c:pt idx="57">
                  <c:v>32.433999738055647</c:v>
                </c:pt>
                <c:pt idx="58">
                  <c:v>32.456243361412177</c:v>
                </c:pt>
                <c:pt idx="59">
                  <c:v>31.068370550544124</c:v>
                </c:pt>
                <c:pt idx="60">
                  <c:v>31.813338139853354</c:v>
                </c:pt>
                <c:pt idx="61">
                  <c:v>32.059007503248921</c:v>
                </c:pt>
                <c:pt idx="62">
                  <c:v>31.918308775781323</c:v>
                </c:pt>
                <c:pt idx="63">
                  <c:v>31.913480344263384</c:v>
                </c:pt>
                <c:pt idx="64">
                  <c:v>31.703557185365717</c:v>
                </c:pt>
                <c:pt idx="65">
                  <c:v>31.735427925544251</c:v>
                </c:pt>
                <c:pt idx="66">
                  <c:v>33.084317779198344</c:v>
                </c:pt>
                <c:pt idx="67">
                  <c:v>31.978422205454333</c:v>
                </c:pt>
                <c:pt idx="68">
                  <c:v>31.985410751419938</c:v>
                </c:pt>
                <c:pt idx="69">
                  <c:v>32.03582161668264</c:v>
                </c:pt>
                <c:pt idx="70">
                  <c:v>32.045530552657631</c:v>
                </c:pt>
                <c:pt idx="71">
                  <c:v>32.620362221123059</c:v>
                </c:pt>
                <c:pt idx="72">
                  <c:v>32.475078625823308</c:v>
                </c:pt>
                <c:pt idx="73">
                  <c:v>32.568031567009889</c:v>
                </c:pt>
                <c:pt idx="74">
                  <c:v>32.54223268941908</c:v>
                </c:pt>
                <c:pt idx="75">
                  <c:v>32.445257677973451</c:v>
                </c:pt>
                <c:pt idx="76">
                  <c:v>32.52266861944188</c:v>
                </c:pt>
                <c:pt idx="77">
                  <c:v>32.520399245713506</c:v>
                </c:pt>
                <c:pt idx="78">
                  <c:v>35.038693682959178</c:v>
                </c:pt>
                <c:pt idx="79">
                  <c:v>35.034805865216384</c:v>
                </c:pt>
                <c:pt idx="80">
                  <c:v>35.034924782373274</c:v>
                </c:pt>
                <c:pt idx="81">
                  <c:v>35.037435460147165</c:v>
                </c:pt>
                <c:pt idx="82">
                  <c:v>35.039287826264186</c:v>
                </c:pt>
                <c:pt idx="83">
                  <c:v>35.044832520150372</c:v>
                </c:pt>
                <c:pt idx="84">
                  <c:v>35.031517275794663</c:v>
                </c:pt>
                <c:pt idx="85">
                  <c:v>34.073002280109627</c:v>
                </c:pt>
                <c:pt idx="86">
                  <c:v>34.181679325655757</c:v>
                </c:pt>
                <c:pt idx="87">
                  <c:v>33.715026710287887</c:v>
                </c:pt>
                <c:pt idx="88">
                  <c:v>33.969836324758184</c:v>
                </c:pt>
                <c:pt idx="89">
                  <c:v>33.97692212784284</c:v>
                </c:pt>
                <c:pt idx="90">
                  <c:v>34.202774008078478</c:v>
                </c:pt>
                <c:pt idx="91">
                  <c:v>34.160776379831631</c:v>
                </c:pt>
                <c:pt idx="92">
                  <c:v>34.176828123754575</c:v>
                </c:pt>
                <c:pt idx="93">
                  <c:v>34.015410664224476</c:v>
                </c:pt>
                <c:pt idx="94">
                  <c:v>34.026014050557173</c:v>
                </c:pt>
                <c:pt idx="95">
                  <c:v>34.285694046917413</c:v>
                </c:pt>
                <c:pt idx="96">
                  <c:v>34.35292761536725</c:v>
                </c:pt>
                <c:pt idx="97">
                  <c:v>34.577922826387002</c:v>
                </c:pt>
                <c:pt idx="98">
                  <c:v>34.226828607039963</c:v>
                </c:pt>
                <c:pt idx="99">
                  <c:v>35.038688178037418</c:v>
                </c:pt>
                <c:pt idx="100">
                  <c:v>35.034600852317993</c:v>
                </c:pt>
                <c:pt idx="101">
                  <c:v>33.332061380686987</c:v>
                </c:pt>
                <c:pt idx="102">
                  <c:v>33.317645153678058</c:v>
                </c:pt>
                <c:pt idx="103">
                  <c:v>33.336098606461242</c:v>
                </c:pt>
                <c:pt idx="104">
                  <c:v>33.345398938932462</c:v>
                </c:pt>
                <c:pt idx="105">
                  <c:v>33.330865364514459</c:v>
                </c:pt>
                <c:pt idx="106">
                  <c:v>33.32073058736708</c:v>
                </c:pt>
                <c:pt idx="107">
                  <c:v>33.332208467072896</c:v>
                </c:pt>
                <c:pt idx="108">
                  <c:v>33.335293792727754</c:v>
                </c:pt>
                <c:pt idx="109">
                  <c:v>33.344011324859899</c:v>
                </c:pt>
                <c:pt idx="110">
                  <c:v>33.334653268867946</c:v>
                </c:pt>
                <c:pt idx="111">
                  <c:v>33.327377443502478</c:v>
                </c:pt>
                <c:pt idx="112">
                  <c:v>33.341088209087708</c:v>
                </c:pt>
                <c:pt idx="113">
                  <c:v>33.330255067635619</c:v>
                </c:pt>
                <c:pt idx="114">
                  <c:v>35.039542623844923</c:v>
                </c:pt>
                <c:pt idx="115">
                  <c:v>35.04098045898558</c:v>
                </c:pt>
                <c:pt idx="116">
                  <c:v>34.642303732210735</c:v>
                </c:pt>
                <c:pt idx="117">
                  <c:v>34.724568148754777</c:v>
                </c:pt>
                <c:pt idx="118">
                  <c:v>34.78975402785607</c:v>
                </c:pt>
                <c:pt idx="119">
                  <c:v>34.724778621968397</c:v>
                </c:pt>
                <c:pt idx="120">
                  <c:v>34.631618500720784</c:v>
                </c:pt>
                <c:pt idx="121">
                  <c:v>35.209199012660527</c:v>
                </c:pt>
                <c:pt idx="122">
                  <c:v>35.186235115149884</c:v>
                </c:pt>
                <c:pt idx="123">
                  <c:v>35.767089244636757</c:v>
                </c:pt>
                <c:pt idx="124">
                  <c:v>35.552283594114414</c:v>
                </c:pt>
                <c:pt idx="125">
                  <c:v>35.23165933266192</c:v>
                </c:pt>
                <c:pt idx="126">
                  <c:v>35.157581895121119</c:v>
                </c:pt>
                <c:pt idx="127">
                  <c:v>35.91623807700271</c:v>
                </c:pt>
                <c:pt idx="128">
                  <c:v>34.262080455299774</c:v>
                </c:pt>
                <c:pt idx="129">
                  <c:v>35.9058699036107</c:v>
                </c:pt>
                <c:pt idx="130">
                  <c:v>32.507107456502354</c:v>
                </c:pt>
                <c:pt idx="131">
                  <c:v>32.443687747435746</c:v>
                </c:pt>
                <c:pt idx="132">
                  <c:v>32.465134791437222</c:v>
                </c:pt>
                <c:pt idx="133">
                  <c:v>32.445375614317356</c:v>
                </c:pt>
                <c:pt idx="134">
                  <c:v>32.459827031930267</c:v>
                </c:pt>
                <c:pt idx="135">
                  <c:v>32.163877761205022</c:v>
                </c:pt>
                <c:pt idx="136">
                  <c:v>32.126968461385353</c:v>
                </c:pt>
                <c:pt idx="137">
                  <c:v>32.073162711270911</c:v>
                </c:pt>
                <c:pt idx="138">
                  <c:v>32.158692130191774</c:v>
                </c:pt>
                <c:pt idx="139">
                  <c:v>32.373696193203656</c:v>
                </c:pt>
                <c:pt idx="140">
                  <c:v>32.445250167005973</c:v>
                </c:pt>
                <c:pt idx="141">
                  <c:v>32.094330109826124</c:v>
                </c:pt>
                <c:pt idx="142">
                  <c:v>32.105239313777759</c:v>
                </c:pt>
                <c:pt idx="143">
                  <c:v>33.754778397035956</c:v>
                </c:pt>
                <c:pt idx="144">
                  <c:v>32.166842837616187</c:v>
                </c:pt>
                <c:pt idx="145">
                  <c:v>32.177098804785572</c:v>
                </c:pt>
                <c:pt idx="146">
                  <c:v>32.425341223429385</c:v>
                </c:pt>
                <c:pt idx="147">
                  <c:v>32.314773181493926</c:v>
                </c:pt>
                <c:pt idx="148">
                  <c:v>32.198841510659548</c:v>
                </c:pt>
                <c:pt idx="149">
                  <c:v>32.157391218507321</c:v>
                </c:pt>
                <c:pt idx="150">
                  <c:v>32.169576465281637</c:v>
                </c:pt>
                <c:pt idx="151">
                  <c:v>32.176851783932214</c:v>
                </c:pt>
                <c:pt idx="152">
                  <c:v>32.157059362241071</c:v>
                </c:pt>
                <c:pt idx="153">
                  <c:v>32.141067316935157</c:v>
                </c:pt>
                <c:pt idx="154">
                  <c:v>32.124713038980161</c:v>
                </c:pt>
                <c:pt idx="155">
                  <c:v>32.105817270140562</c:v>
                </c:pt>
                <c:pt idx="156">
                  <c:v>32.165992677729449</c:v>
                </c:pt>
                <c:pt idx="157">
                  <c:v>31.988567986663671</c:v>
                </c:pt>
                <c:pt idx="158">
                  <c:v>31.995369733198885</c:v>
                </c:pt>
                <c:pt idx="159">
                  <c:v>32.067654885424723</c:v>
                </c:pt>
                <c:pt idx="160">
                  <c:v>32.097495628424213</c:v>
                </c:pt>
                <c:pt idx="161">
                  <c:v>32.416828128139549</c:v>
                </c:pt>
                <c:pt idx="162">
                  <c:v>32.155458625692333</c:v>
                </c:pt>
                <c:pt idx="163">
                  <c:v>32.109964047791493</c:v>
                </c:pt>
                <c:pt idx="164">
                  <c:v>32.136001976293322</c:v>
                </c:pt>
                <c:pt idx="165">
                  <c:v>32.135867684190195</c:v>
                </c:pt>
                <c:pt idx="166">
                  <c:v>32.10754521240753</c:v>
                </c:pt>
                <c:pt idx="167">
                  <c:v>32.074398709068092</c:v>
                </c:pt>
                <c:pt idx="168">
                  <c:v>32.067428302469764</c:v>
                </c:pt>
                <c:pt idx="169">
                  <c:v>32.069889839386612</c:v>
                </c:pt>
                <c:pt idx="170">
                  <c:v>32.034021630997913</c:v>
                </c:pt>
                <c:pt idx="171">
                  <c:v>31.7875394515872</c:v>
                </c:pt>
                <c:pt idx="172">
                  <c:v>33.202334200872691</c:v>
                </c:pt>
                <c:pt idx="173">
                  <c:v>33.005233657645675</c:v>
                </c:pt>
                <c:pt idx="174">
                  <c:v>33.610084425144706</c:v>
                </c:pt>
                <c:pt idx="175">
                  <c:v>33.461942957891601</c:v>
                </c:pt>
                <c:pt idx="176">
                  <c:v>35.045539505158068</c:v>
                </c:pt>
                <c:pt idx="177">
                  <c:v>35.026572574722486</c:v>
                </c:pt>
                <c:pt idx="178">
                  <c:v>35.038132821822046</c:v>
                </c:pt>
                <c:pt idx="179">
                  <c:v>35.04156379802847</c:v>
                </c:pt>
                <c:pt idx="180">
                  <c:v>35.03573263949017</c:v>
                </c:pt>
                <c:pt idx="181">
                  <c:v>35.030240075045711</c:v>
                </c:pt>
                <c:pt idx="182">
                  <c:v>35.03736788596396</c:v>
                </c:pt>
                <c:pt idx="183">
                  <c:v>35.034616246550847</c:v>
                </c:pt>
                <c:pt idx="184">
                  <c:v>35.037025496919732</c:v>
                </c:pt>
                <c:pt idx="185">
                  <c:v>35.039570185568238</c:v>
                </c:pt>
                <c:pt idx="186">
                  <c:v>35.043785603408608</c:v>
                </c:pt>
                <c:pt idx="187">
                  <c:v>35.040912937510875</c:v>
                </c:pt>
                <c:pt idx="188">
                  <c:v>35.041498987088609</c:v>
                </c:pt>
                <c:pt idx="189">
                  <c:v>35.037323481185098</c:v>
                </c:pt>
                <c:pt idx="190">
                  <c:v>35.041177386347769</c:v>
                </c:pt>
                <c:pt idx="191">
                  <c:v>35.03323692012895</c:v>
                </c:pt>
                <c:pt idx="192">
                  <c:v>35.039946001829513</c:v>
                </c:pt>
                <c:pt idx="193">
                  <c:v>35.03740895777203</c:v>
                </c:pt>
                <c:pt idx="194">
                  <c:v>35.043169609251848</c:v>
                </c:pt>
                <c:pt idx="195">
                  <c:v>35.028352360761595</c:v>
                </c:pt>
                <c:pt idx="196">
                  <c:v>35.046292213264202</c:v>
                </c:pt>
                <c:pt idx="197">
                  <c:v>35.034381885067027</c:v>
                </c:pt>
                <c:pt idx="198">
                  <c:v>32.442836519258236</c:v>
                </c:pt>
                <c:pt idx="199">
                  <c:v>35.033835803173474</c:v>
                </c:pt>
                <c:pt idx="200">
                  <c:v>35.033929043691032</c:v>
                </c:pt>
                <c:pt idx="201">
                  <c:v>32.432725521493118</c:v>
                </c:pt>
                <c:pt idx="202">
                  <c:v>35.040462804545349</c:v>
                </c:pt>
                <c:pt idx="203">
                  <c:v>35.045683808994305</c:v>
                </c:pt>
                <c:pt idx="204">
                  <c:v>35.026956620284857</c:v>
                </c:pt>
                <c:pt idx="205">
                  <c:v>32.460276236630236</c:v>
                </c:pt>
                <c:pt idx="206">
                  <c:v>35.037833933202968</c:v>
                </c:pt>
                <c:pt idx="207">
                  <c:v>32.440007282265526</c:v>
                </c:pt>
                <c:pt idx="208">
                  <c:v>32.439045525447789</c:v>
                </c:pt>
                <c:pt idx="209">
                  <c:v>32.448632373580239</c:v>
                </c:pt>
                <c:pt idx="210">
                  <c:v>32.450071600445668</c:v>
                </c:pt>
                <c:pt idx="211">
                  <c:v>32.431428386981061</c:v>
                </c:pt>
                <c:pt idx="212">
                  <c:v>32.451545737714845</c:v>
                </c:pt>
                <c:pt idx="213">
                  <c:v>32.444919553608479</c:v>
                </c:pt>
                <c:pt idx="214">
                  <c:v>32.432006846925852</c:v>
                </c:pt>
                <c:pt idx="215">
                  <c:v>32.433203612688608</c:v>
                </c:pt>
                <c:pt idx="216">
                  <c:v>32.43668148738066</c:v>
                </c:pt>
                <c:pt idx="217">
                  <c:v>32.417773736431599</c:v>
                </c:pt>
                <c:pt idx="218">
                  <c:v>32.424866020605116</c:v>
                </c:pt>
                <c:pt idx="219">
                  <c:v>35.040340208767347</c:v>
                </c:pt>
                <c:pt idx="220">
                  <c:v>35.043305976705128</c:v>
                </c:pt>
                <c:pt idx="221">
                  <c:v>32.448783197982131</c:v>
                </c:pt>
                <c:pt idx="222">
                  <c:v>32.460784130275975</c:v>
                </c:pt>
                <c:pt idx="223">
                  <c:v>32.471281999244532</c:v>
                </c:pt>
                <c:pt idx="224">
                  <c:v>32.459814636670856</c:v>
                </c:pt>
                <c:pt idx="225">
                  <c:v>32.462081041000346</c:v>
                </c:pt>
                <c:pt idx="226">
                  <c:v>32.452087746362608</c:v>
                </c:pt>
                <c:pt idx="227">
                  <c:v>32.435521532333453</c:v>
                </c:pt>
                <c:pt idx="228">
                  <c:v>32.448199249451839</c:v>
                </c:pt>
                <c:pt idx="229">
                  <c:v>32.458401783503</c:v>
                </c:pt>
                <c:pt idx="230">
                  <c:v>32.454468704967077</c:v>
                </c:pt>
                <c:pt idx="231">
                  <c:v>32.454758717237155</c:v>
                </c:pt>
                <c:pt idx="232">
                  <c:v>32.457405324636717</c:v>
                </c:pt>
                <c:pt idx="233">
                  <c:v>33.311460347998448</c:v>
                </c:pt>
                <c:pt idx="234">
                  <c:v>33.3214408710623</c:v>
                </c:pt>
                <c:pt idx="235">
                  <c:v>33.316724352683529</c:v>
                </c:pt>
                <c:pt idx="236">
                  <c:v>33.32354910587835</c:v>
                </c:pt>
                <c:pt idx="237">
                  <c:v>33.373661402981476</c:v>
                </c:pt>
                <c:pt idx="238">
                  <c:v>33.330249902289054</c:v>
                </c:pt>
                <c:pt idx="239">
                  <c:v>31.870914994153431</c:v>
                </c:pt>
                <c:pt idx="240">
                  <c:v>30.835363484585251</c:v>
                </c:pt>
                <c:pt idx="241">
                  <c:v>30.722163023212499</c:v>
                </c:pt>
                <c:pt idx="242">
                  <c:v>30.750489889926595</c:v>
                </c:pt>
                <c:pt idx="243">
                  <c:v>30.763479743387347</c:v>
                </c:pt>
                <c:pt idx="244">
                  <c:v>30.754851135910783</c:v>
                </c:pt>
                <c:pt idx="245">
                  <c:v>30.721555040092895</c:v>
                </c:pt>
                <c:pt idx="246">
                  <c:v>30.70237008862259</c:v>
                </c:pt>
                <c:pt idx="247">
                  <c:v>30.732966843722714</c:v>
                </c:pt>
                <c:pt idx="248">
                  <c:v>30.727268199644922</c:v>
                </c:pt>
                <c:pt idx="249">
                  <c:v>30.734457415357507</c:v>
                </c:pt>
                <c:pt idx="250">
                  <c:v>30.731381915938446</c:v>
                </c:pt>
                <c:pt idx="251">
                  <c:v>30.728840185133333</c:v>
                </c:pt>
                <c:pt idx="252">
                  <c:v>30.721474959701684</c:v>
                </c:pt>
                <c:pt idx="253">
                  <c:v>35.041288974681414</c:v>
                </c:pt>
                <c:pt idx="254">
                  <c:v>35.040677721282243</c:v>
                </c:pt>
                <c:pt idx="255">
                  <c:v>35.034656781384626</c:v>
                </c:pt>
                <c:pt idx="256">
                  <c:v>35.038753278376944</c:v>
                </c:pt>
                <c:pt idx="257">
                  <c:v>35.038732663116505</c:v>
                </c:pt>
                <c:pt idx="258">
                  <c:v>35.03676482973291</c:v>
                </c:pt>
                <c:pt idx="259">
                  <c:v>35.033852769047201</c:v>
                </c:pt>
                <c:pt idx="260">
                  <c:v>35.033345976497301</c:v>
                </c:pt>
                <c:pt idx="261">
                  <c:v>35.044197023715441</c:v>
                </c:pt>
                <c:pt idx="262">
                  <c:v>35.027974326826943</c:v>
                </c:pt>
                <c:pt idx="263">
                  <c:v>35.033193892156071</c:v>
                </c:pt>
                <c:pt idx="264">
                  <c:v>35.037431412322611</c:v>
                </c:pt>
                <c:pt idx="265">
                  <c:v>35.031644552425334</c:v>
                </c:pt>
                <c:pt idx="266">
                  <c:v>35.037009958599882</c:v>
                </c:pt>
                <c:pt idx="267">
                  <c:v>35.036002669891822</c:v>
                </c:pt>
                <c:pt idx="268">
                  <c:v>32.508654655666717</c:v>
                </c:pt>
                <c:pt idx="269">
                  <c:v>32.463600232701602</c:v>
                </c:pt>
                <c:pt idx="270">
                  <c:v>32.460855844275898</c:v>
                </c:pt>
                <c:pt idx="271">
                  <c:v>32.445658701920436</c:v>
                </c:pt>
                <c:pt idx="272">
                  <c:v>32.45119436441054</c:v>
                </c:pt>
                <c:pt idx="273">
                  <c:v>32.443489673266967</c:v>
                </c:pt>
                <c:pt idx="274">
                  <c:v>32.44155322116945</c:v>
                </c:pt>
                <c:pt idx="275">
                  <c:v>32.429802552116747</c:v>
                </c:pt>
                <c:pt idx="276">
                  <c:v>32.44209219088733</c:v>
                </c:pt>
                <c:pt idx="277">
                  <c:v>32.446736435935946</c:v>
                </c:pt>
                <c:pt idx="278">
                  <c:v>32.450468695478712</c:v>
                </c:pt>
                <c:pt idx="279">
                  <c:v>32.447586341879621</c:v>
                </c:pt>
                <c:pt idx="280">
                  <c:v>32.44218131582641</c:v>
                </c:pt>
                <c:pt idx="281">
                  <c:v>36.723891143921342</c:v>
                </c:pt>
                <c:pt idx="282">
                  <c:v>36.666215700229017</c:v>
                </c:pt>
                <c:pt idx="283">
                  <c:v>36.767999660936987</c:v>
                </c:pt>
                <c:pt idx="284">
                  <c:v>36.769869511290942</c:v>
                </c:pt>
                <c:pt idx="285">
                  <c:v>36.731836017268492</c:v>
                </c:pt>
                <c:pt idx="286">
                  <c:v>36.747478765785914</c:v>
                </c:pt>
                <c:pt idx="287">
                  <c:v>36.779559090695635</c:v>
                </c:pt>
                <c:pt idx="288">
                  <c:v>36.732049348838807</c:v>
                </c:pt>
                <c:pt idx="289">
                  <c:v>36.774621010496617</c:v>
                </c:pt>
                <c:pt idx="290">
                  <c:v>36.75406155155585</c:v>
                </c:pt>
                <c:pt idx="291">
                  <c:v>36.762180772396903</c:v>
                </c:pt>
                <c:pt idx="292">
                  <c:v>36.759686919393836</c:v>
                </c:pt>
                <c:pt idx="293">
                  <c:v>36.747315994935981</c:v>
                </c:pt>
                <c:pt idx="294">
                  <c:v>36.68370537471764</c:v>
                </c:pt>
                <c:pt idx="295">
                  <c:v>36.73026332814991</c:v>
                </c:pt>
                <c:pt idx="296">
                  <c:v>36.681080746398301</c:v>
                </c:pt>
                <c:pt idx="297">
                  <c:v>36.769575526055114</c:v>
                </c:pt>
                <c:pt idx="298">
                  <c:v>36.71650977478189</c:v>
                </c:pt>
                <c:pt idx="299">
                  <c:v>36.697985610425505</c:v>
                </c:pt>
                <c:pt idx="300">
                  <c:v>36.699236951443176</c:v>
                </c:pt>
                <c:pt idx="301">
                  <c:v>36.765071748818684</c:v>
                </c:pt>
                <c:pt idx="302">
                  <c:v>36.76696370918345</c:v>
                </c:pt>
                <c:pt idx="303">
                  <c:v>36.734714534682396</c:v>
                </c:pt>
                <c:pt idx="304">
                  <c:v>36.725232409162544</c:v>
                </c:pt>
                <c:pt idx="305">
                  <c:v>36.731848097690985</c:v>
                </c:pt>
                <c:pt idx="306">
                  <c:v>36.768663029011591</c:v>
                </c:pt>
                <c:pt idx="307">
                  <c:v>36.769732840310802</c:v>
                </c:pt>
                <c:pt idx="308">
                  <c:v>36.797871821250851</c:v>
                </c:pt>
                <c:pt idx="309">
                  <c:v>39.398444559765423</c:v>
                </c:pt>
                <c:pt idx="310">
                  <c:v>39.391912885798867</c:v>
                </c:pt>
                <c:pt idx="311">
                  <c:v>37.621246461929452</c:v>
                </c:pt>
                <c:pt idx="312">
                  <c:v>37.65927024777136</c:v>
                </c:pt>
                <c:pt idx="313">
                  <c:v>37.65869324812067</c:v>
                </c:pt>
                <c:pt idx="314">
                  <c:v>37.660380475836128</c:v>
                </c:pt>
                <c:pt idx="315">
                  <c:v>37.749648569710068</c:v>
                </c:pt>
                <c:pt idx="316">
                  <c:v>37.610799315016969</c:v>
                </c:pt>
                <c:pt idx="317">
                  <c:v>37.623147537686762</c:v>
                </c:pt>
                <c:pt idx="318">
                  <c:v>37.539646933138066</c:v>
                </c:pt>
                <c:pt idx="319">
                  <c:v>37.602451291346888</c:v>
                </c:pt>
                <c:pt idx="320">
                  <c:v>37.627136761747188</c:v>
                </c:pt>
                <c:pt idx="321">
                  <c:v>37.615982531095931</c:v>
                </c:pt>
                <c:pt idx="322">
                  <c:v>37.576549448485025</c:v>
                </c:pt>
                <c:pt idx="323">
                  <c:v>37.616695947189427</c:v>
                </c:pt>
                <c:pt idx="324">
                  <c:v>37.590320186165918</c:v>
                </c:pt>
                <c:pt idx="325">
                  <c:v>37.502484473233139</c:v>
                </c:pt>
                <c:pt idx="326">
                  <c:v>42.134209398922721</c:v>
                </c:pt>
                <c:pt idx="327">
                  <c:v>42.333317766051607</c:v>
                </c:pt>
                <c:pt idx="328">
                  <c:v>42.360856891071776</c:v>
                </c:pt>
                <c:pt idx="329">
                  <c:v>41.919382017893916</c:v>
                </c:pt>
                <c:pt idx="330">
                  <c:v>41.870498236239669</c:v>
                </c:pt>
                <c:pt idx="331">
                  <c:v>42.836997651692386</c:v>
                </c:pt>
                <c:pt idx="332">
                  <c:v>42.928021325852157</c:v>
                </c:pt>
                <c:pt idx="333">
                  <c:v>42.717340622819343</c:v>
                </c:pt>
                <c:pt idx="334">
                  <c:v>42.708716416712143</c:v>
                </c:pt>
                <c:pt idx="335">
                  <c:v>42.542243296754528</c:v>
                </c:pt>
                <c:pt idx="336">
                  <c:v>42.175227788327042</c:v>
                </c:pt>
                <c:pt idx="337">
                  <c:v>40.654159211119769</c:v>
                </c:pt>
                <c:pt idx="338">
                  <c:v>40.129130767500222</c:v>
                </c:pt>
                <c:pt idx="339">
                  <c:v>40.20220883963465</c:v>
                </c:pt>
                <c:pt idx="340">
                  <c:v>40.691839921538921</c:v>
                </c:pt>
                <c:pt idx="341">
                  <c:v>39.938942024880745</c:v>
                </c:pt>
                <c:pt idx="342">
                  <c:v>38.597115086780605</c:v>
                </c:pt>
                <c:pt idx="343">
                  <c:v>40.558744588237985</c:v>
                </c:pt>
                <c:pt idx="344">
                  <c:v>40.529523749753089</c:v>
                </c:pt>
                <c:pt idx="345">
                  <c:v>39.522541986733572</c:v>
                </c:pt>
                <c:pt idx="346">
                  <c:v>38.153321377917727</c:v>
                </c:pt>
                <c:pt idx="347">
                  <c:v>38.447733290597874</c:v>
                </c:pt>
                <c:pt idx="348">
                  <c:v>38.258855342956082</c:v>
                </c:pt>
                <c:pt idx="349">
                  <c:v>38.32040322228174</c:v>
                </c:pt>
                <c:pt idx="350">
                  <c:v>38.447981021425967</c:v>
                </c:pt>
                <c:pt idx="351">
                  <c:v>38.541765489673637</c:v>
                </c:pt>
                <c:pt idx="352">
                  <c:v>38.528072020739714</c:v>
                </c:pt>
                <c:pt idx="353">
                  <c:v>38.267614012834905</c:v>
                </c:pt>
                <c:pt idx="354">
                  <c:v>38.418100314414502</c:v>
                </c:pt>
                <c:pt idx="355">
                  <c:v>38.239849378153487</c:v>
                </c:pt>
                <c:pt idx="356">
                  <c:v>38.280863274259858</c:v>
                </c:pt>
                <c:pt idx="357">
                  <c:v>40.798779783688076</c:v>
                </c:pt>
                <c:pt idx="358">
                  <c:v>40.678160305645285</c:v>
                </c:pt>
                <c:pt idx="359">
                  <c:v>41.174555016820058</c:v>
                </c:pt>
                <c:pt idx="360">
                  <c:v>41.174202183195575</c:v>
                </c:pt>
                <c:pt idx="361">
                  <c:v>41.148813010291022</c:v>
                </c:pt>
                <c:pt idx="362">
                  <c:v>41.166715987499252</c:v>
                </c:pt>
                <c:pt idx="363">
                  <c:v>41.175514068825521</c:v>
                </c:pt>
                <c:pt idx="364">
                  <c:v>41.18238151462095</c:v>
                </c:pt>
                <c:pt idx="365">
                  <c:v>38.592741977680575</c:v>
                </c:pt>
                <c:pt idx="366">
                  <c:v>38.573046493313825</c:v>
                </c:pt>
                <c:pt idx="367">
                  <c:v>38.609783000603443</c:v>
                </c:pt>
                <c:pt idx="368">
                  <c:v>38.601945275567843</c:v>
                </c:pt>
                <c:pt idx="369">
                  <c:v>38.583156225415792</c:v>
                </c:pt>
                <c:pt idx="370">
                  <c:v>38.580192906044331</c:v>
                </c:pt>
                <c:pt idx="371">
                  <c:v>38.559319832825786</c:v>
                </c:pt>
                <c:pt idx="372">
                  <c:v>38.583249452216577</c:v>
                </c:pt>
                <c:pt idx="373">
                  <c:v>41.176475937326835</c:v>
                </c:pt>
                <c:pt idx="374">
                  <c:v>41.164228773396893</c:v>
                </c:pt>
                <c:pt idx="375">
                  <c:v>41.176658230298543</c:v>
                </c:pt>
                <c:pt idx="376">
                  <c:v>41.175042317084866</c:v>
                </c:pt>
                <c:pt idx="377">
                  <c:v>41.181874171201414</c:v>
                </c:pt>
                <c:pt idx="378">
                  <c:v>41.175070170680321</c:v>
                </c:pt>
                <c:pt idx="379">
                  <c:v>41.180873973337839</c:v>
                </c:pt>
                <c:pt idx="380">
                  <c:v>41.184914267648892</c:v>
                </c:pt>
                <c:pt idx="381">
                  <c:v>41.166453387678501</c:v>
                </c:pt>
                <c:pt idx="382">
                  <c:v>41.180506141486362</c:v>
                </c:pt>
                <c:pt idx="383">
                  <c:v>41.173764463294397</c:v>
                </c:pt>
                <c:pt idx="384">
                  <c:v>41.181423222733059</c:v>
                </c:pt>
                <c:pt idx="385">
                  <c:v>41.180521425988942</c:v>
                </c:pt>
                <c:pt idx="386">
                  <c:v>41.172899327011358</c:v>
                </c:pt>
                <c:pt idx="387">
                  <c:v>41.177691243226491</c:v>
                </c:pt>
                <c:pt idx="388">
                  <c:v>41.182543209826981</c:v>
                </c:pt>
                <c:pt idx="389">
                  <c:v>41.168722571401119</c:v>
                </c:pt>
                <c:pt idx="390">
                  <c:v>41.173049448862258</c:v>
                </c:pt>
                <c:pt idx="391">
                  <c:v>41.166197639446764</c:v>
                </c:pt>
                <c:pt idx="392">
                  <c:v>41.179552485999956</c:v>
                </c:pt>
                <c:pt idx="393">
                  <c:v>41.172692878722188</c:v>
                </c:pt>
                <c:pt idx="394">
                  <c:v>41.166815037759726</c:v>
                </c:pt>
                <c:pt idx="395">
                  <c:v>41.17111640971293</c:v>
                </c:pt>
                <c:pt idx="396">
                  <c:v>41.168976274705635</c:v>
                </c:pt>
                <c:pt idx="397">
                  <c:v>41.175156725454542</c:v>
                </c:pt>
                <c:pt idx="398">
                  <c:v>41.16925102753013</c:v>
                </c:pt>
                <c:pt idx="399">
                  <c:v>41.17699289890502</c:v>
                </c:pt>
                <c:pt idx="400">
                  <c:v>41.17484606921299</c:v>
                </c:pt>
                <c:pt idx="401">
                  <c:v>41.154167142159807</c:v>
                </c:pt>
                <c:pt idx="402">
                  <c:v>41.186570818244391</c:v>
                </c:pt>
                <c:pt idx="403">
                  <c:v>41.176952358530308</c:v>
                </c:pt>
                <c:pt idx="404">
                  <c:v>41.165290824177227</c:v>
                </c:pt>
                <c:pt idx="405">
                  <c:v>41.17342777408146</c:v>
                </c:pt>
                <c:pt idx="406">
                  <c:v>41.172643858746298</c:v>
                </c:pt>
                <c:pt idx="407">
                  <c:v>37.712106584480821</c:v>
                </c:pt>
                <c:pt idx="408">
                  <c:v>37.720889397144454</c:v>
                </c:pt>
                <c:pt idx="409">
                  <c:v>37.702810779511701</c:v>
                </c:pt>
                <c:pt idx="410">
                  <c:v>37.727241295019255</c:v>
                </c:pt>
                <c:pt idx="411">
                  <c:v>37.733370340576755</c:v>
                </c:pt>
                <c:pt idx="412">
                  <c:v>37.710224265283948</c:v>
                </c:pt>
                <c:pt idx="413">
                  <c:v>37.719159995349813</c:v>
                </c:pt>
                <c:pt idx="414">
                  <c:v>37.688105837959867</c:v>
                </c:pt>
                <c:pt idx="415">
                  <c:v>37.720082516366276</c:v>
                </c:pt>
                <c:pt idx="416">
                  <c:v>37.713233652987974</c:v>
                </c:pt>
                <c:pt idx="417">
                  <c:v>37.718373126950198</c:v>
                </c:pt>
                <c:pt idx="418">
                  <c:v>37.70517515656266</c:v>
                </c:pt>
                <c:pt idx="419">
                  <c:v>37.708616525394952</c:v>
                </c:pt>
                <c:pt idx="420">
                  <c:v>40.32712283273451</c:v>
                </c:pt>
                <c:pt idx="421">
                  <c:v>37.736900145889166</c:v>
                </c:pt>
                <c:pt idx="422">
                  <c:v>37.774914815720734</c:v>
                </c:pt>
                <c:pt idx="423">
                  <c:v>37.710796930938628</c:v>
                </c:pt>
                <c:pt idx="424">
                  <c:v>37.707292196694084</c:v>
                </c:pt>
                <c:pt idx="425">
                  <c:v>37.747285231311317</c:v>
                </c:pt>
                <c:pt idx="426">
                  <c:v>37.733579705033222</c:v>
                </c:pt>
                <c:pt idx="427">
                  <c:v>37.727952544462788</c:v>
                </c:pt>
                <c:pt idx="428">
                  <c:v>37.722064051970804</c:v>
                </c:pt>
                <c:pt idx="429">
                  <c:v>37.733661284187932</c:v>
                </c:pt>
                <c:pt idx="430">
                  <c:v>37.837178315921463</c:v>
                </c:pt>
                <c:pt idx="431">
                  <c:v>37.772145424195848</c:v>
                </c:pt>
                <c:pt idx="432">
                  <c:v>37.765499151137199</c:v>
                </c:pt>
                <c:pt idx="433">
                  <c:v>41.168845455962909</c:v>
                </c:pt>
                <c:pt idx="434">
                  <c:v>41.169097548127013</c:v>
                </c:pt>
                <c:pt idx="435">
                  <c:v>41.172463222371803</c:v>
                </c:pt>
                <c:pt idx="436">
                  <c:v>41.171705717366812</c:v>
                </c:pt>
                <c:pt idx="437">
                  <c:v>41.173655953396398</c:v>
                </c:pt>
                <c:pt idx="438">
                  <c:v>41.166084512200491</c:v>
                </c:pt>
                <c:pt idx="439">
                  <c:v>41.178984933233522</c:v>
                </c:pt>
                <c:pt idx="440">
                  <c:v>41.172578144476027</c:v>
                </c:pt>
                <c:pt idx="441">
                  <c:v>41.161454440321847</c:v>
                </c:pt>
                <c:pt idx="442">
                  <c:v>41.194826909219834</c:v>
                </c:pt>
                <c:pt idx="443">
                  <c:v>41.158200224145681</c:v>
                </c:pt>
                <c:pt idx="444">
                  <c:v>41.155407254904958</c:v>
                </c:pt>
                <c:pt idx="445">
                  <c:v>41.173403355116612</c:v>
                </c:pt>
                <c:pt idx="446">
                  <c:v>41.181162246771628</c:v>
                </c:pt>
                <c:pt idx="447">
                  <c:v>41.177347092232722</c:v>
                </c:pt>
                <c:pt idx="448">
                  <c:v>41.165056054620649</c:v>
                </c:pt>
                <c:pt idx="449">
                  <c:v>37.759875577214977</c:v>
                </c:pt>
                <c:pt idx="450">
                  <c:v>37.771305376190931</c:v>
                </c:pt>
                <c:pt idx="451">
                  <c:v>37.713423050924305</c:v>
                </c:pt>
                <c:pt idx="452">
                  <c:v>37.736133704514174</c:v>
                </c:pt>
                <c:pt idx="453">
                  <c:v>37.721424073186604</c:v>
                </c:pt>
                <c:pt idx="454">
                  <c:v>37.746823053867949</c:v>
                </c:pt>
                <c:pt idx="455">
                  <c:v>37.715309986392924</c:v>
                </c:pt>
                <c:pt idx="456">
                  <c:v>37.738553448897882</c:v>
                </c:pt>
                <c:pt idx="457">
                  <c:v>37.774993861600365</c:v>
                </c:pt>
                <c:pt idx="458">
                  <c:v>37.760466300709915</c:v>
                </c:pt>
                <c:pt idx="459">
                  <c:v>37.790803199668893</c:v>
                </c:pt>
                <c:pt idx="460">
                  <c:v>37.76434334834066</c:v>
                </c:pt>
                <c:pt idx="461">
                  <c:v>37.754999566983571</c:v>
                </c:pt>
                <c:pt idx="462">
                  <c:v>37.730822003444999</c:v>
                </c:pt>
                <c:pt idx="463">
                  <c:v>40.665639965379491</c:v>
                </c:pt>
                <c:pt idx="464">
                  <c:v>41.174080605956341</c:v>
                </c:pt>
                <c:pt idx="465">
                  <c:v>41.174571515683844</c:v>
                </c:pt>
                <c:pt idx="466">
                  <c:v>41.179450217229963</c:v>
                </c:pt>
                <c:pt idx="467">
                  <c:v>41.180924785535808</c:v>
                </c:pt>
                <c:pt idx="468">
                  <c:v>41.183365767652795</c:v>
                </c:pt>
                <c:pt idx="469">
                  <c:v>41.17752968181783</c:v>
                </c:pt>
                <c:pt idx="470">
                  <c:v>41.650691584954238</c:v>
                </c:pt>
                <c:pt idx="471">
                  <c:v>41.687022836945928</c:v>
                </c:pt>
                <c:pt idx="472">
                  <c:v>41.736311722387477</c:v>
                </c:pt>
                <c:pt idx="473">
                  <c:v>41.815661602466001</c:v>
                </c:pt>
                <c:pt idx="474">
                  <c:v>41.87995668870618</c:v>
                </c:pt>
                <c:pt idx="475">
                  <c:v>41.941624099652643</c:v>
                </c:pt>
                <c:pt idx="476">
                  <c:v>41.929235634842563</c:v>
                </c:pt>
                <c:pt idx="477">
                  <c:v>42.035732043614189</c:v>
                </c:pt>
                <c:pt idx="478">
                  <c:v>38.597771740883687</c:v>
                </c:pt>
                <c:pt idx="479">
                  <c:v>42.057419071213388</c:v>
                </c:pt>
                <c:pt idx="480">
                  <c:v>38.640014448798809</c:v>
                </c:pt>
                <c:pt idx="481">
                  <c:v>37.802975884335282</c:v>
                </c:pt>
                <c:pt idx="482">
                  <c:v>38.688903236466693</c:v>
                </c:pt>
                <c:pt idx="483">
                  <c:v>38.69726003574312</c:v>
                </c:pt>
                <c:pt idx="484">
                  <c:v>38.606276171359802</c:v>
                </c:pt>
                <c:pt idx="485">
                  <c:v>38.637941674293593</c:v>
                </c:pt>
                <c:pt idx="486">
                  <c:v>38.602330465222117</c:v>
                </c:pt>
                <c:pt idx="487">
                  <c:v>38.625911317773053</c:v>
                </c:pt>
                <c:pt idx="488">
                  <c:v>37.788901029795618</c:v>
                </c:pt>
                <c:pt idx="489">
                  <c:v>38.616516697145364</c:v>
                </c:pt>
                <c:pt idx="490">
                  <c:v>38.670683858696975</c:v>
                </c:pt>
                <c:pt idx="491">
                  <c:v>38.753512865603298</c:v>
                </c:pt>
                <c:pt idx="492">
                  <c:v>37.757038944479774</c:v>
                </c:pt>
                <c:pt idx="493">
                  <c:v>41.150973219769668</c:v>
                </c:pt>
                <c:pt idx="494">
                  <c:v>37.790260609609049</c:v>
                </c:pt>
                <c:pt idx="495">
                  <c:v>37.755070167074258</c:v>
                </c:pt>
                <c:pt idx="496">
                  <c:v>37.763265365888884</c:v>
                </c:pt>
                <c:pt idx="497">
                  <c:v>37.748318937384063</c:v>
                </c:pt>
                <c:pt idx="498">
                  <c:v>37.74563316778292</c:v>
                </c:pt>
                <c:pt idx="499">
                  <c:v>37.733135373202494</c:v>
                </c:pt>
                <c:pt idx="500">
                  <c:v>37.74762183224545</c:v>
                </c:pt>
                <c:pt idx="501">
                  <c:v>37.742223084433462</c:v>
                </c:pt>
                <c:pt idx="502">
                  <c:v>37.732595670589291</c:v>
                </c:pt>
                <c:pt idx="503">
                  <c:v>37.733689683837909</c:v>
                </c:pt>
                <c:pt idx="504">
                  <c:v>37.736938239548131</c:v>
                </c:pt>
                <c:pt idx="505">
                  <c:v>37.916677340243268</c:v>
                </c:pt>
                <c:pt idx="506">
                  <c:v>37.818908468728495</c:v>
                </c:pt>
                <c:pt idx="507">
                  <c:v>42.049889449621872</c:v>
                </c:pt>
                <c:pt idx="508">
                  <c:v>37.745838644940299</c:v>
                </c:pt>
                <c:pt idx="509">
                  <c:v>37.735707520721881</c:v>
                </c:pt>
                <c:pt idx="510">
                  <c:v>37.768159043742926</c:v>
                </c:pt>
                <c:pt idx="511">
                  <c:v>37.738706392358203</c:v>
                </c:pt>
                <c:pt idx="512">
                  <c:v>37.741039639384816</c:v>
                </c:pt>
                <c:pt idx="513">
                  <c:v>37.742790072610418</c:v>
                </c:pt>
                <c:pt idx="514">
                  <c:v>37.737610558032408</c:v>
                </c:pt>
                <c:pt idx="515">
                  <c:v>37.751719206024546</c:v>
                </c:pt>
                <c:pt idx="516">
                  <c:v>37.729565624531887</c:v>
                </c:pt>
                <c:pt idx="517">
                  <c:v>37.756793448382226</c:v>
                </c:pt>
                <c:pt idx="518">
                  <c:v>37.722963612762662</c:v>
                </c:pt>
                <c:pt idx="519">
                  <c:v>37.720737654648765</c:v>
                </c:pt>
                <c:pt idx="520">
                  <c:v>37.749836125741886</c:v>
                </c:pt>
                <c:pt idx="521">
                  <c:v>37.766896222273751</c:v>
                </c:pt>
                <c:pt idx="522">
                  <c:v>37.744190860216847</c:v>
                </c:pt>
                <c:pt idx="523">
                  <c:v>37.753971887678766</c:v>
                </c:pt>
                <c:pt idx="524">
                  <c:v>37.747565187723829</c:v>
                </c:pt>
                <c:pt idx="525">
                  <c:v>42.024701751135865</c:v>
                </c:pt>
                <c:pt idx="526">
                  <c:v>42.05296194188503</c:v>
                </c:pt>
                <c:pt idx="527">
                  <c:v>42.030453602148469</c:v>
                </c:pt>
                <c:pt idx="528">
                  <c:v>42.014827448431667</c:v>
                </c:pt>
                <c:pt idx="529">
                  <c:v>42.047934750137131</c:v>
                </c:pt>
                <c:pt idx="530">
                  <c:v>42.032135137605358</c:v>
                </c:pt>
                <c:pt idx="531">
                  <c:v>42.058004021490412</c:v>
                </c:pt>
                <c:pt idx="532">
                  <c:v>42.030243050536406</c:v>
                </c:pt>
                <c:pt idx="533">
                  <c:v>41.952942293362838</c:v>
                </c:pt>
                <c:pt idx="534">
                  <c:v>42.015427050509061</c:v>
                </c:pt>
                <c:pt idx="535">
                  <c:v>41.998184457343733</c:v>
                </c:pt>
                <c:pt idx="536">
                  <c:v>42.035954511121446</c:v>
                </c:pt>
                <c:pt idx="537">
                  <c:v>42.042284152847039</c:v>
                </c:pt>
                <c:pt idx="538">
                  <c:v>42.064023889129885</c:v>
                </c:pt>
                <c:pt idx="539">
                  <c:v>42.02545226741897</c:v>
                </c:pt>
                <c:pt idx="540">
                  <c:v>42.01582281752885</c:v>
                </c:pt>
                <c:pt idx="541">
                  <c:v>37.779387964379517</c:v>
                </c:pt>
                <c:pt idx="542">
                  <c:v>37.789068303235972</c:v>
                </c:pt>
                <c:pt idx="543">
                  <c:v>37.820093975663433</c:v>
                </c:pt>
                <c:pt idx="544">
                  <c:v>37.79383405390481</c:v>
                </c:pt>
                <c:pt idx="545">
                  <c:v>37.77950571769027</c:v>
                </c:pt>
                <c:pt idx="546">
                  <c:v>37.755475891414598</c:v>
                </c:pt>
                <c:pt idx="547">
                  <c:v>37.758145229241514</c:v>
                </c:pt>
                <c:pt idx="548">
                  <c:v>37.748195410135786</c:v>
                </c:pt>
                <c:pt idx="549">
                  <c:v>37.728817240133154</c:v>
                </c:pt>
                <c:pt idx="550">
                  <c:v>37.783006855575593</c:v>
                </c:pt>
                <c:pt idx="551">
                  <c:v>37.824665081108563</c:v>
                </c:pt>
                <c:pt idx="552">
                  <c:v>37.837203004887606</c:v>
                </c:pt>
                <c:pt idx="553">
                  <c:v>37.815203551576182</c:v>
                </c:pt>
                <c:pt idx="554">
                  <c:v>37.782846101334812</c:v>
                </c:pt>
                <c:pt idx="555">
                  <c:v>39.936854026504022</c:v>
                </c:pt>
                <c:pt idx="556">
                  <c:v>39.407451466627826</c:v>
                </c:pt>
                <c:pt idx="557">
                  <c:v>39.431346401735837</c:v>
                </c:pt>
                <c:pt idx="558">
                  <c:v>39.604501819534349</c:v>
                </c:pt>
                <c:pt idx="559">
                  <c:v>39.146339950245469</c:v>
                </c:pt>
                <c:pt idx="560">
                  <c:v>39.336230436167952</c:v>
                </c:pt>
                <c:pt idx="561">
                  <c:v>39.205071578653708</c:v>
                </c:pt>
                <c:pt idx="562">
                  <c:v>39.183629663048926</c:v>
                </c:pt>
                <c:pt idx="563">
                  <c:v>38.892680220692377</c:v>
                </c:pt>
                <c:pt idx="564">
                  <c:v>38.82876532076417</c:v>
                </c:pt>
                <c:pt idx="565">
                  <c:v>38.96486413508007</c:v>
                </c:pt>
                <c:pt idx="566">
                  <c:v>39.175454054046519</c:v>
                </c:pt>
                <c:pt idx="567">
                  <c:v>39.130750062926694</c:v>
                </c:pt>
                <c:pt idx="568">
                  <c:v>38.988648050021723</c:v>
                </c:pt>
                <c:pt idx="569">
                  <c:v>38.795882979168304</c:v>
                </c:pt>
                <c:pt idx="570">
                  <c:v>38.523485427041813</c:v>
                </c:pt>
                <c:pt idx="571">
                  <c:v>38.566920172109846</c:v>
                </c:pt>
                <c:pt idx="572">
                  <c:v>38.808775196986282</c:v>
                </c:pt>
                <c:pt idx="573">
                  <c:v>38.745872608715224</c:v>
                </c:pt>
                <c:pt idx="574">
                  <c:v>38.734550115022344</c:v>
                </c:pt>
                <c:pt idx="575">
                  <c:v>38.654535470760109</c:v>
                </c:pt>
                <c:pt idx="576">
                  <c:v>38.692011605742508</c:v>
                </c:pt>
                <c:pt idx="577">
                  <c:v>38.744962627112017</c:v>
                </c:pt>
                <c:pt idx="578">
                  <c:v>38.779040318894381</c:v>
                </c:pt>
                <c:pt idx="579">
                  <c:v>38.91913462608197</c:v>
                </c:pt>
                <c:pt idx="580">
                  <c:v>39.040894026744908</c:v>
                </c:pt>
                <c:pt idx="581">
                  <c:v>39.123446406842049</c:v>
                </c:pt>
                <c:pt idx="582">
                  <c:v>38.700987931111356</c:v>
                </c:pt>
                <c:pt idx="583">
                  <c:v>38.749190222946872</c:v>
                </c:pt>
                <c:pt idx="584">
                  <c:v>38.686040635817115</c:v>
                </c:pt>
                <c:pt idx="585">
                  <c:v>38.96595734867163</c:v>
                </c:pt>
                <c:pt idx="586">
                  <c:v>38.922076004727273</c:v>
                </c:pt>
                <c:pt idx="587">
                  <c:v>38.839507583652527</c:v>
                </c:pt>
                <c:pt idx="588">
                  <c:v>38.613729414503588</c:v>
                </c:pt>
                <c:pt idx="589">
                  <c:v>38.507453005297762</c:v>
                </c:pt>
                <c:pt idx="590">
                  <c:v>38.171392614086422</c:v>
                </c:pt>
                <c:pt idx="591">
                  <c:v>38.128897642444734</c:v>
                </c:pt>
                <c:pt idx="592">
                  <c:v>38.181618559243567</c:v>
                </c:pt>
                <c:pt idx="593">
                  <c:v>38.22946872679335</c:v>
                </c:pt>
                <c:pt idx="594">
                  <c:v>38.079346733001344</c:v>
                </c:pt>
                <c:pt idx="595">
                  <c:v>38.103002635106748</c:v>
                </c:pt>
                <c:pt idx="596">
                  <c:v>38.140967551762692</c:v>
                </c:pt>
                <c:pt idx="597">
                  <c:v>38.467190720414074</c:v>
                </c:pt>
                <c:pt idx="598">
                  <c:v>38.499155803732656</c:v>
                </c:pt>
                <c:pt idx="599">
                  <c:v>38.230948668522181</c:v>
                </c:pt>
                <c:pt idx="600">
                  <c:v>38.188723120044074</c:v>
                </c:pt>
                <c:pt idx="601">
                  <c:v>38.837674182542877</c:v>
                </c:pt>
                <c:pt idx="602">
                  <c:v>38.902310939244373</c:v>
                </c:pt>
                <c:pt idx="603">
                  <c:v>34.226943752205187</c:v>
                </c:pt>
                <c:pt idx="604">
                  <c:v>34.282365512905535</c:v>
                </c:pt>
                <c:pt idx="605">
                  <c:v>34.266946140303673</c:v>
                </c:pt>
                <c:pt idx="606">
                  <c:v>34.213514563064606</c:v>
                </c:pt>
                <c:pt idx="607">
                  <c:v>34.20261086114914</c:v>
                </c:pt>
                <c:pt idx="608">
                  <c:v>34.204241023072044</c:v>
                </c:pt>
                <c:pt idx="609">
                  <c:v>34.210447997025618</c:v>
                </c:pt>
                <c:pt idx="610">
                  <c:v>34.183776457491163</c:v>
                </c:pt>
                <c:pt idx="611">
                  <c:v>34.228494385307464</c:v>
                </c:pt>
                <c:pt idx="612">
                  <c:v>34.209006689437636</c:v>
                </c:pt>
                <c:pt idx="613">
                  <c:v>34.263305702705921</c:v>
                </c:pt>
                <c:pt idx="614">
                  <c:v>34.240038671628113</c:v>
                </c:pt>
                <c:pt idx="615">
                  <c:v>34.316584269086455</c:v>
                </c:pt>
                <c:pt idx="616">
                  <c:v>34.223622675733743</c:v>
                </c:pt>
                <c:pt idx="617">
                  <c:v>38.832595475563807</c:v>
                </c:pt>
                <c:pt idx="618">
                  <c:v>38.762711831570883</c:v>
                </c:pt>
                <c:pt idx="619">
                  <c:v>39.29122333339302</c:v>
                </c:pt>
                <c:pt idx="620">
                  <c:v>39.17047718358706</c:v>
                </c:pt>
                <c:pt idx="621">
                  <c:v>39.061777708771551</c:v>
                </c:pt>
                <c:pt idx="622">
                  <c:v>39.179489015989262</c:v>
                </c:pt>
                <c:pt idx="623">
                  <c:v>39.247692952156058</c:v>
                </c:pt>
                <c:pt idx="624">
                  <c:v>39.232953514996304</c:v>
                </c:pt>
                <c:pt idx="625">
                  <c:v>39.06172827453441</c:v>
                </c:pt>
                <c:pt idx="626">
                  <c:v>39.14634553362513</c:v>
                </c:pt>
                <c:pt idx="627">
                  <c:v>39.033982585490257</c:v>
                </c:pt>
                <c:pt idx="628">
                  <c:v>39.069400768567668</c:v>
                </c:pt>
                <c:pt idx="629">
                  <c:v>38.827392170130054</c:v>
                </c:pt>
                <c:pt idx="630">
                  <c:v>39.415895450089145</c:v>
                </c:pt>
                <c:pt idx="631">
                  <c:v>39.424110093748055</c:v>
                </c:pt>
                <c:pt idx="632">
                  <c:v>33.606109306133689</c:v>
                </c:pt>
                <c:pt idx="633">
                  <c:v>33.400891594304987</c:v>
                </c:pt>
                <c:pt idx="634">
                  <c:v>33.366971164520308</c:v>
                </c:pt>
                <c:pt idx="635">
                  <c:v>33.370026412336628</c:v>
                </c:pt>
                <c:pt idx="636">
                  <c:v>33.358516173402251</c:v>
                </c:pt>
                <c:pt idx="637">
                  <c:v>33.372807515310491</c:v>
                </c:pt>
                <c:pt idx="638">
                  <c:v>33.368034810113805</c:v>
                </c:pt>
                <c:pt idx="639">
                  <c:v>33.379633275773138</c:v>
                </c:pt>
                <c:pt idx="640">
                  <c:v>33.345406809693081</c:v>
                </c:pt>
                <c:pt idx="641">
                  <c:v>33.478072363913419</c:v>
                </c:pt>
                <c:pt idx="642">
                  <c:v>33.39502961777147</c:v>
                </c:pt>
                <c:pt idx="643">
                  <c:v>33.344720608270336</c:v>
                </c:pt>
                <c:pt idx="644">
                  <c:v>33.366294332376981</c:v>
                </c:pt>
                <c:pt idx="645">
                  <c:v>33.396372550863475</c:v>
                </c:pt>
                <c:pt idx="646">
                  <c:v>39.437967003813441</c:v>
                </c:pt>
                <c:pt idx="647">
                  <c:v>39.424302053756882</c:v>
                </c:pt>
                <c:pt idx="648">
                  <c:v>39.423311421524758</c:v>
                </c:pt>
                <c:pt idx="649">
                  <c:v>39.432009084781363</c:v>
                </c:pt>
                <c:pt idx="650">
                  <c:v>39.432287419018131</c:v>
                </c:pt>
                <c:pt idx="651">
                  <c:v>39.419206101437133</c:v>
                </c:pt>
                <c:pt idx="652">
                  <c:v>39.431060937677017</c:v>
                </c:pt>
                <c:pt idx="653">
                  <c:v>39.4353433316357</c:v>
                </c:pt>
                <c:pt idx="654">
                  <c:v>39.418421124090202</c:v>
                </c:pt>
                <c:pt idx="655">
                  <c:v>39.433920215507833</c:v>
                </c:pt>
                <c:pt idx="656">
                  <c:v>39.42276898890173</c:v>
                </c:pt>
                <c:pt idx="657">
                  <c:v>39.425272688695053</c:v>
                </c:pt>
                <c:pt idx="658">
                  <c:v>39.432613458245456</c:v>
                </c:pt>
                <c:pt idx="659">
                  <c:v>39.413946084306659</c:v>
                </c:pt>
                <c:pt idx="660">
                  <c:v>39.440249161851725</c:v>
                </c:pt>
                <c:pt idx="661">
                  <c:v>39.415199889432976</c:v>
                </c:pt>
                <c:pt idx="662">
                  <c:v>36.844704772523599</c:v>
                </c:pt>
                <c:pt idx="663">
                  <c:v>36.833078172080903</c:v>
                </c:pt>
                <c:pt idx="664">
                  <c:v>36.860924083950593</c:v>
                </c:pt>
                <c:pt idx="665">
                  <c:v>36.845170015648044</c:v>
                </c:pt>
                <c:pt idx="666">
                  <c:v>36.843335604470568</c:v>
                </c:pt>
                <c:pt idx="667">
                  <c:v>35.150041717100621</c:v>
                </c:pt>
                <c:pt idx="668">
                  <c:v>36.845376003683995</c:v>
                </c:pt>
                <c:pt idx="669">
                  <c:v>36.875174534786574</c:v>
                </c:pt>
                <c:pt idx="670">
                  <c:v>35.13241949978211</c:v>
                </c:pt>
                <c:pt idx="671">
                  <c:v>36.843380889509319</c:v>
                </c:pt>
                <c:pt idx="672">
                  <c:v>36.844590366452707</c:v>
                </c:pt>
                <c:pt idx="673">
                  <c:v>36.845333835184995</c:v>
                </c:pt>
                <c:pt idx="674">
                  <c:v>35.136588200488745</c:v>
                </c:pt>
                <c:pt idx="675">
                  <c:v>36.849327724951586</c:v>
                </c:pt>
                <c:pt idx="676">
                  <c:v>36.849936978847133</c:v>
                </c:pt>
                <c:pt idx="677">
                  <c:v>35.090051892484787</c:v>
                </c:pt>
                <c:pt idx="678">
                  <c:v>36.85074964559066</c:v>
                </c:pt>
                <c:pt idx="679">
                  <c:v>40.309437779270148</c:v>
                </c:pt>
                <c:pt idx="680">
                  <c:v>35.105822076585468</c:v>
                </c:pt>
                <c:pt idx="681">
                  <c:v>35.079208128789368</c:v>
                </c:pt>
                <c:pt idx="682">
                  <c:v>35.059597627617755</c:v>
                </c:pt>
                <c:pt idx="683">
                  <c:v>35.102290670784498</c:v>
                </c:pt>
                <c:pt idx="684">
                  <c:v>35.094914912942052</c:v>
                </c:pt>
                <c:pt idx="685">
                  <c:v>35.130119176183427</c:v>
                </c:pt>
                <c:pt idx="686">
                  <c:v>35.143310158095993</c:v>
                </c:pt>
                <c:pt idx="687">
                  <c:v>35.091835350632429</c:v>
                </c:pt>
                <c:pt idx="688">
                  <c:v>35.095622303549739</c:v>
                </c:pt>
                <c:pt idx="689">
                  <c:v>35.099289805433877</c:v>
                </c:pt>
                <c:pt idx="690">
                  <c:v>35.138786799664061</c:v>
                </c:pt>
                <c:pt idx="691">
                  <c:v>35.128597443114856</c:v>
                </c:pt>
                <c:pt idx="692">
                  <c:v>35.098879569011274</c:v>
                </c:pt>
                <c:pt idx="693">
                  <c:v>41.152082299484</c:v>
                </c:pt>
                <c:pt idx="694">
                  <c:v>35.13334782088576</c:v>
                </c:pt>
                <c:pt idx="695">
                  <c:v>35.118610518961439</c:v>
                </c:pt>
                <c:pt idx="696">
                  <c:v>33.586021916520757</c:v>
                </c:pt>
                <c:pt idx="697">
                  <c:v>33.390424928662434</c:v>
                </c:pt>
                <c:pt idx="698">
                  <c:v>33.385026422556955</c:v>
                </c:pt>
                <c:pt idx="699">
                  <c:v>33.427345056094126</c:v>
                </c:pt>
                <c:pt idx="700">
                  <c:v>35.114329376733934</c:v>
                </c:pt>
                <c:pt idx="701">
                  <c:v>35.107677283687316</c:v>
                </c:pt>
                <c:pt idx="702">
                  <c:v>35.20942620480357</c:v>
                </c:pt>
                <c:pt idx="703">
                  <c:v>35.074813409224355</c:v>
                </c:pt>
                <c:pt idx="704">
                  <c:v>35.150559961944126</c:v>
                </c:pt>
                <c:pt idx="705">
                  <c:v>35.25452851049306</c:v>
                </c:pt>
                <c:pt idx="706">
                  <c:v>35.499616908191641</c:v>
                </c:pt>
                <c:pt idx="707">
                  <c:v>41.14722628231565</c:v>
                </c:pt>
                <c:pt idx="708">
                  <c:v>36.880564461759562</c:v>
                </c:pt>
                <c:pt idx="709">
                  <c:v>37.043889736946511</c:v>
                </c:pt>
                <c:pt idx="710">
                  <c:v>36.892989939111914</c:v>
                </c:pt>
                <c:pt idx="711">
                  <c:v>36.883291524071304</c:v>
                </c:pt>
                <c:pt idx="712">
                  <c:v>35.394693045937167</c:v>
                </c:pt>
                <c:pt idx="713">
                  <c:v>36.981030242541685</c:v>
                </c:pt>
                <c:pt idx="714">
                  <c:v>36.868108837417608</c:v>
                </c:pt>
                <c:pt idx="715">
                  <c:v>35.459066546240344</c:v>
                </c:pt>
                <c:pt idx="716">
                  <c:v>35.606388943855123</c:v>
                </c:pt>
                <c:pt idx="717">
                  <c:v>35.329389861230375</c:v>
                </c:pt>
                <c:pt idx="718">
                  <c:v>35.298453522102449</c:v>
                </c:pt>
                <c:pt idx="719">
                  <c:v>35.564466640592201</c:v>
                </c:pt>
                <c:pt idx="720">
                  <c:v>35.443355513958466</c:v>
                </c:pt>
                <c:pt idx="721">
                  <c:v>35.290798323108589</c:v>
                </c:pt>
                <c:pt idx="722">
                  <c:v>35.329497070125015</c:v>
                </c:pt>
                <c:pt idx="723">
                  <c:v>41.066787986687331</c:v>
                </c:pt>
                <c:pt idx="724">
                  <c:v>41.114060582650104</c:v>
                </c:pt>
                <c:pt idx="725">
                  <c:v>41.071555199278556</c:v>
                </c:pt>
                <c:pt idx="726">
                  <c:v>41.121929482518823</c:v>
                </c:pt>
                <c:pt idx="727">
                  <c:v>41.089147147718911</c:v>
                </c:pt>
                <c:pt idx="728">
                  <c:v>41.132118984342306</c:v>
                </c:pt>
                <c:pt idx="729">
                  <c:v>35.119233578361936</c:v>
                </c:pt>
                <c:pt idx="730">
                  <c:v>35.085486625795632</c:v>
                </c:pt>
                <c:pt idx="731">
                  <c:v>35.123842542788587</c:v>
                </c:pt>
                <c:pt idx="732">
                  <c:v>35.121182690808119</c:v>
                </c:pt>
                <c:pt idx="733">
                  <c:v>35.087749948463433</c:v>
                </c:pt>
                <c:pt idx="734">
                  <c:v>35.050604796198343</c:v>
                </c:pt>
                <c:pt idx="735">
                  <c:v>35.061857261149939</c:v>
                </c:pt>
                <c:pt idx="736">
                  <c:v>35.07932403231122</c:v>
                </c:pt>
                <c:pt idx="737">
                  <c:v>41.085790377979507</c:v>
                </c:pt>
                <c:pt idx="738">
                  <c:v>41.151114653219302</c:v>
                </c:pt>
                <c:pt idx="739">
                  <c:v>41.091882419532766</c:v>
                </c:pt>
                <c:pt idx="740">
                  <c:v>41.120848563509462</c:v>
                </c:pt>
                <c:pt idx="741">
                  <c:v>41.129883578572318</c:v>
                </c:pt>
                <c:pt idx="742">
                  <c:v>41.15736460644829</c:v>
                </c:pt>
                <c:pt idx="743">
                  <c:v>41.144210634662471</c:v>
                </c:pt>
                <c:pt idx="744">
                  <c:v>41.11164655113771</c:v>
                </c:pt>
                <c:pt idx="745">
                  <c:v>41.151391086331152</c:v>
                </c:pt>
                <c:pt idx="746">
                  <c:v>41.120320666618419</c:v>
                </c:pt>
                <c:pt idx="747">
                  <c:v>41.119379511071152</c:v>
                </c:pt>
                <c:pt idx="748">
                  <c:v>41.116989714448984</c:v>
                </c:pt>
                <c:pt idx="749">
                  <c:v>41.131546155485445</c:v>
                </c:pt>
                <c:pt idx="750">
                  <c:v>41.115390379294752</c:v>
                </c:pt>
                <c:pt idx="751">
                  <c:v>33.41509423559485</c:v>
                </c:pt>
                <c:pt idx="752">
                  <c:v>41.183214628870026</c:v>
                </c:pt>
                <c:pt idx="753">
                  <c:v>34.197955264302081</c:v>
                </c:pt>
                <c:pt idx="754">
                  <c:v>34.231511918797175</c:v>
                </c:pt>
                <c:pt idx="755">
                  <c:v>34.276929790596419</c:v>
                </c:pt>
                <c:pt idx="756">
                  <c:v>34.273819401365081</c:v>
                </c:pt>
                <c:pt idx="757">
                  <c:v>34.245310139714455</c:v>
                </c:pt>
                <c:pt idx="758">
                  <c:v>34.230207251188347</c:v>
                </c:pt>
                <c:pt idx="759">
                  <c:v>34.207229347202166</c:v>
                </c:pt>
                <c:pt idx="760">
                  <c:v>33.444061282595634</c:v>
                </c:pt>
                <c:pt idx="761">
                  <c:v>33.40522016637491</c:v>
                </c:pt>
                <c:pt idx="762">
                  <c:v>33.425910642018543</c:v>
                </c:pt>
                <c:pt idx="763">
                  <c:v>33.389573218434158</c:v>
                </c:pt>
                <c:pt idx="764">
                  <c:v>34.267665023110276</c:v>
                </c:pt>
                <c:pt idx="765">
                  <c:v>34.253021344706042</c:v>
                </c:pt>
                <c:pt idx="766">
                  <c:v>34.342443782003642</c:v>
                </c:pt>
                <c:pt idx="767">
                  <c:v>34.285760331222711</c:v>
                </c:pt>
                <c:pt idx="768">
                  <c:v>34.276935091071401</c:v>
                </c:pt>
                <c:pt idx="769">
                  <c:v>34.305694015686974</c:v>
                </c:pt>
                <c:pt idx="770">
                  <c:v>34.251580321887793</c:v>
                </c:pt>
                <c:pt idx="771">
                  <c:v>41.156924825932826</c:v>
                </c:pt>
                <c:pt idx="772">
                  <c:v>42.006164400098307</c:v>
                </c:pt>
                <c:pt idx="773">
                  <c:v>41.990124891481841</c:v>
                </c:pt>
                <c:pt idx="774">
                  <c:v>42.021449708714009</c:v>
                </c:pt>
                <c:pt idx="775">
                  <c:v>42.032036036424849</c:v>
                </c:pt>
                <c:pt idx="776">
                  <c:v>42.020851481431947</c:v>
                </c:pt>
                <c:pt idx="777">
                  <c:v>41.988225017152381</c:v>
                </c:pt>
                <c:pt idx="778">
                  <c:v>42.012325841210973</c:v>
                </c:pt>
                <c:pt idx="779">
                  <c:v>35.098923577344884</c:v>
                </c:pt>
                <c:pt idx="780">
                  <c:v>41.977123735186787</c:v>
                </c:pt>
                <c:pt idx="781">
                  <c:v>41.987920385005204</c:v>
                </c:pt>
                <c:pt idx="782">
                  <c:v>35.120418660084447</c:v>
                </c:pt>
                <c:pt idx="783">
                  <c:v>42.009226969002647</c:v>
                </c:pt>
                <c:pt idx="784">
                  <c:v>42.02390389113846</c:v>
                </c:pt>
                <c:pt idx="785">
                  <c:v>41.977616327086778</c:v>
                </c:pt>
                <c:pt idx="786">
                  <c:v>36.841668496305736</c:v>
                </c:pt>
                <c:pt idx="787">
                  <c:v>36.545761271613991</c:v>
                </c:pt>
                <c:pt idx="788">
                  <c:v>38.244427034941232</c:v>
                </c:pt>
                <c:pt idx="789">
                  <c:v>38.500892827076839</c:v>
                </c:pt>
                <c:pt idx="790">
                  <c:v>39.106562716090096</c:v>
                </c:pt>
                <c:pt idx="791">
                  <c:v>38.191891813575644</c:v>
                </c:pt>
                <c:pt idx="792">
                  <c:v>38.31927825637338</c:v>
                </c:pt>
                <c:pt idx="793">
                  <c:v>38.462407367887216</c:v>
                </c:pt>
                <c:pt idx="794">
                  <c:v>38.56095437762604</c:v>
                </c:pt>
                <c:pt idx="795">
                  <c:v>38.779711348052658</c:v>
                </c:pt>
                <c:pt idx="796">
                  <c:v>39.11658727033376</c:v>
                </c:pt>
                <c:pt idx="797">
                  <c:v>39.390428811410359</c:v>
                </c:pt>
                <c:pt idx="798">
                  <c:v>37.897309192394722</c:v>
                </c:pt>
                <c:pt idx="799">
                  <c:v>38.381796676058975</c:v>
                </c:pt>
                <c:pt idx="800">
                  <c:v>41.994085006659581</c:v>
                </c:pt>
                <c:pt idx="801">
                  <c:v>41.987675092500226</c:v>
                </c:pt>
                <c:pt idx="802">
                  <c:v>42.046924535239569</c:v>
                </c:pt>
                <c:pt idx="803">
                  <c:v>42.041266567226828</c:v>
                </c:pt>
                <c:pt idx="804">
                  <c:v>42.078809155787312</c:v>
                </c:pt>
                <c:pt idx="805">
                  <c:v>42.060236428039403</c:v>
                </c:pt>
                <c:pt idx="806">
                  <c:v>42.037373301363786</c:v>
                </c:pt>
                <c:pt idx="807">
                  <c:v>42.019361241725377</c:v>
                </c:pt>
                <c:pt idx="808">
                  <c:v>42.042232790342837</c:v>
                </c:pt>
                <c:pt idx="809">
                  <c:v>41.94899850853939</c:v>
                </c:pt>
                <c:pt idx="810">
                  <c:v>41.995206992346816</c:v>
                </c:pt>
                <c:pt idx="811">
                  <c:v>42.059654369839116</c:v>
                </c:pt>
                <c:pt idx="812">
                  <c:v>42.027821436903061</c:v>
                </c:pt>
                <c:pt idx="813">
                  <c:v>41.898107604678955</c:v>
                </c:pt>
                <c:pt idx="814">
                  <c:v>41.09929845078441</c:v>
                </c:pt>
                <c:pt idx="815">
                  <c:v>39.839026363282336</c:v>
                </c:pt>
                <c:pt idx="816">
                  <c:v>40.361712319404454</c:v>
                </c:pt>
                <c:pt idx="817">
                  <c:v>39.709844539148428</c:v>
                </c:pt>
                <c:pt idx="818">
                  <c:v>39.80888962129611</c:v>
                </c:pt>
                <c:pt idx="819">
                  <c:v>39.595435670952455</c:v>
                </c:pt>
                <c:pt idx="820">
                  <c:v>39.367245634398749</c:v>
                </c:pt>
                <c:pt idx="821">
                  <c:v>36.832138726529493</c:v>
                </c:pt>
                <c:pt idx="822">
                  <c:v>36.907283489855935</c:v>
                </c:pt>
                <c:pt idx="823">
                  <c:v>36.9962110757426</c:v>
                </c:pt>
                <c:pt idx="824">
                  <c:v>37.237326004395896</c:v>
                </c:pt>
                <c:pt idx="825">
                  <c:v>37.087713773156132</c:v>
                </c:pt>
                <c:pt idx="826">
                  <c:v>39.353668043998802</c:v>
                </c:pt>
                <c:pt idx="827">
                  <c:v>39.995543270990915</c:v>
                </c:pt>
                <c:pt idx="828">
                  <c:v>42.073605919961551</c:v>
                </c:pt>
                <c:pt idx="829">
                  <c:v>35.26295477327578</c:v>
                </c:pt>
                <c:pt idx="830">
                  <c:v>35.239777659507602</c:v>
                </c:pt>
                <c:pt idx="831">
                  <c:v>35.249586138884595</c:v>
                </c:pt>
                <c:pt idx="832">
                  <c:v>35.391963461277548</c:v>
                </c:pt>
                <c:pt idx="833">
                  <c:v>35.327389424663615</c:v>
                </c:pt>
                <c:pt idx="834">
                  <c:v>35.153963869974028</c:v>
                </c:pt>
                <c:pt idx="835">
                  <c:v>35.209690540941992</c:v>
                </c:pt>
                <c:pt idx="836">
                  <c:v>35.245997824576179</c:v>
                </c:pt>
                <c:pt idx="837">
                  <c:v>35.245597136866998</c:v>
                </c:pt>
                <c:pt idx="838">
                  <c:v>35.195383442206108</c:v>
                </c:pt>
                <c:pt idx="839">
                  <c:v>35.230718907279602</c:v>
                </c:pt>
                <c:pt idx="840">
                  <c:v>35.202094622430138</c:v>
                </c:pt>
                <c:pt idx="841">
                  <c:v>35.190220881180807</c:v>
                </c:pt>
                <c:pt idx="842">
                  <c:v>34.3934365086482</c:v>
                </c:pt>
                <c:pt idx="843">
                  <c:v>34.146592344322549</c:v>
                </c:pt>
                <c:pt idx="844">
                  <c:v>34.194762586351544</c:v>
                </c:pt>
                <c:pt idx="845">
                  <c:v>34.159196375712028</c:v>
                </c:pt>
                <c:pt idx="846">
                  <c:v>34.140134015484868</c:v>
                </c:pt>
                <c:pt idx="847">
                  <c:v>34.108726212586951</c:v>
                </c:pt>
                <c:pt idx="848">
                  <c:v>34.139789397974177</c:v>
                </c:pt>
                <c:pt idx="849">
                  <c:v>34.135801929172835</c:v>
                </c:pt>
                <c:pt idx="850">
                  <c:v>34.218697218210103</c:v>
                </c:pt>
                <c:pt idx="851">
                  <c:v>34.198208546522707</c:v>
                </c:pt>
                <c:pt idx="852">
                  <c:v>34.21388567676653</c:v>
                </c:pt>
                <c:pt idx="853">
                  <c:v>34.160189153069602</c:v>
                </c:pt>
                <c:pt idx="854">
                  <c:v>34.138898680883464</c:v>
                </c:pt>
                <c:pt idx="855">
                  <c:v>34.128791323703801</c:v>
                </c:pt>
                <c:pt idx="856">
                  <c:v>34.190397869741751</c:v>
                </c:pt>
                <c:pt idx="857">
                  <c:v>34.148483448947189</c:v>
                </c:pt>
                <c:pt idx="858">
                  <c:v>34.177429646531635</c:v>
                </c:pt>
                <c:pt idx="859">
                  <c:v>34.162422021783684</c:v>
                </c:pt>
                <c:pt idx="860">
                  <c:v>34.162735409731226</c:v>
                </c:pt>
                <c:pt idx="861">
                  <c:v>42.052123525819823</c:v>
                </c:pt>
                <c:pt idx="862">
                  <c:v>42.050713049025788</c:v>
                </c:pt>
                <c:pt idx="863">
                  <c:v>42.084614760973793</c:v>
                </c:pt>
                <c:pt idx="864">
                  <c:v>42.056269909799227</c:v>
                </c:pt>
                <c:pt idx="865">
                  <c:v>42.065378422365335</c:v>
                </c:pt>
                <c:pt idx="866">
                  <c:v>42.062441760351454</c:v>
                </c:pt>
                <c:pt idx="867">
                  <c:v>42.072906320612745</c:v>
                </c:pt>
                <c:pt idx="868">
                  <c:v>42.072456199019044</c:v>
                </c:pt>
                <c:pt idx="869">
                  <c:v>42.047999034903441</c:v>
                </c:pt>
                <c:pt idx="870">
                  <c:v>42.062041571772859</c:v>
                </c:pt>
                <c:pt idx="871">
                  <c:v>42.052997396318254</c:v>
                </c:pt>
                <c:pt idx="872">
                  <c:v>42.063815127601387</c:v>
                </c:pt>
                <c:pt idx="873">
                  <c:v>42.056874565098731</c:v>
                </c:pt>
                <c:pt idx="874">
                  <c:v>42.057422465259073</c:v>
                </c:pt>
                <c:pt idx="875">
                  <c:v>42.070290368357362</c:v>
                </c:pt>
                <c:pt idx="876">
                  <c:v>35.084635552453477</c:v>
                </c:pt>
                <c:pt idx="877">
                  <c:v>34.319034422833603</c:v>
                </c:pt>
                <c:pt idx="878">
                  <c:v>34.262836745525576</c:v>
                </c:pt>
                <c:pt idx="879">
                  <c:v>34.270277136665193</c:v>
                </c:pt>
                <c:pt idx="880">
                  <c:v>34.295113845947029</c:v>
                </c:pt>
                <c:pt idx="881">
                  <c:v>34.238660304976001</c:v>
                </c:pt>
                <c:pt idx="882">
                  <c:v>34.230969717604204</c:v>
                </c:pt>
                <c:pt idx="883">
                  <c:v>34.337132605434235</c:v>
                </c:pt>
                <c:pt idx="884">
                  <c:v>34.270938818136884</c:v>
                </c:pt>
                <c:pt idx="885">
                  <c:v>34.245244651384979</c:v>
                </c:pt>
                <c:pt idx="886">
                  <c:v>34.320793138695578</c:v>
                </c:pt>
                <c:pt idx="887">
                  <c:v>34.287672939496417</c:v>
                </c:pt>
                <c:pt idx="888">
                  <c:v>34.246621147963374</c:v>
                </c:pt>
                <c:pt idx="889">
                  <c:v>34.257849590064801</c:v>
                </c:pt>
                <c:pt idx="890">
                  <c:v>42.054870096859339</c:v>
                </c:pt>
                <c:pt idx="891">
                  <c:v>34.191783752507874</c:v>
                </c:pt>
                <c:pt idx="892">
                  <c:v>35.100563523847207</c:v>
                </c:pt>
                <c:pt idx="893">
                  <c:v>35.112414774755074</c:v>
                </c:pt>
                <c:pt idx="894">
                  <c:v>34.268141830607092</c:v>
                </c:pt>
                <c:pt idx="895">
                  <c:v>35.087527727231802</c:v>
                </c:pt>
                <c:pt idx="896">
                  <c:v>35.086937028377662</c:v>
                </c:pt>
                <c:pt idx="897">
                  <c:v>35.091244622298298</c:v>
                </c:pt>
                <c:pt idx="898">
                  <c:v>34.250199426400549</c:v>
                </c:pt>
                <c:pt idx="899">
                  <c:v>35.122320764088364</c:v>
                </c:pt>
                <c:pt idx="900">
                  <c:v>35.092623154305919</c:v>
                </c:pt>
                <c:pt idx="901">
                  <c:v>34.248000135828008</c:v>
                </c:pt>
                <c:pt idx="902">
                  <c:v>35.101124152512654</c:v>
                </c:pt>
                <c:pt idx="903">
                  <c:v>35.101225429330242</c:v>
                </c:pt>
                <c:pt idx="904">
                  <c:v>35.124579953219715</c:v>
                </c:pt>
                <c:pt idx="905">
                  <c:v>42.04318070499496</c:v>
                </c:pt>
                <c:pt idx="906">
                  <c:v>33.392041059384198</c:v>
                </c:pt>
                <c:pt idx="907">
                  <c:v>33.41938875072109</c:v>
                </c:pt>
                <c:pt idx="908">
                  <c:v>33.443107778059449</c:v>
                </c:pt>
                <c:pt idx="909">
                  <c:v>33.365260777527631</c:v>
                </c:pt>
                <c:pt idx="910">
                  <c:v>33.412646250048596</c:v>
                </c:pt>
                <c:pt idx="911">
                  <c:v>33.397049472838191</c:v>
                </c:pt>
                <c:pt idx="912">
                  <c:v>33.364982373082746</c:v>
                </c:pt>
                <c:pt idx="913">
                  <c:v>33.336207432751472</c:v>
                </c:pt>
                <c:pt idx="914">
                  <c:v>33.394461566351225</c:v>
                </c:pt>
                <c:pt idx="915">
                  <c:v>33.400197351663529</c:v>
                </c:pt>
                <c:pt idx="916">
                  <c:v>33.363435831736879</c:v>
                </c:pt>
                <c:pt idx="917">
                  <c:v>33.392442836671691</c:v>
                </c:pt>
                <c:pt idx="918">
                  <c:v>33.3530819728811</c:v>
                </c:pt>
                <c:pt idx="919">
                  <c:v>33.454506761979992</c:v>
                </c:pt>
                <c:pt idx="920">
                  <c:v>42.067151424105077</c:v>
                </c:pt>
                <c:pt idx="921">
                  <c:v>42.057279319203516</c:v>
                </c:pt>
                <c:pt idx="922">
                  <c:v>42.063300934441045</c:v>
                </c:pt>
                <c:pt idx="923">
                  <c:v>42.081986353700209</c:v>
                </c:pt>
                <c:pt idx="924">
                  <c:v>42.054347495587336</c:v>
                </c:pt>
                <c:pt idx="925">
                  <c:v>42.068223455308683</c:v>
                </c:pt>
                <c:pt idx="926">
                  <c:v>42.057810723759623</c:v>
                </c:pt>
                <c:pt idx="927">
                  <c:v>42.079379608215909</c:v>
                </c:pt>
                <c:pt idx="928">
                  <c:v>42.065778879287492</c:v>
                </c:pt>
                <c:pt idx="929">
                  <c:v>42.055312721376296</c:v>
                </c:pt>
                <c:pt idx="930">
                  <c:v>42.044577483924122</c:v>
                </c:pt>
                <c:pt idx="931">
                  <c:v>42.057146217432923</c:v>
                </c:pt>
                <c:pt idx="932">
                  <c:v>42.077910035933776</c:v>
                </c:pt>
                <c:pt idx="933">
                  <c:v>42.050713049025788</c:v>
                </c:pt>
                <c:pt idx="934">
                  <c:v>42.069277284509688</c:v>
                </c:pt>
                <c:pt idx="935">
                  <c:v>42.055161630866301</c:v>
                </c:pt>
                <c:pt idx="936">
                  <c:v>42.055423324332153</c:v>
                </c:pt>
                <c:pt idx="937">
                  <c:v>42.0590071113891</c:v>
                </c:pt>
                <c:pt idx="938">
                  <c:v>42.075776378437794</c:v>
                </c:pt>
                <c:pt idx="939">
                  <c:v>42.045012866005933</c:v>
                </c:pt>
                <c:pt idx="940">
                  <c:v>42.073698874282741</c:v>
                </c:pt>
                <c:pt idx="941">
                  <c:v>42.064783749189786</c:v>
                </c:pt>
                <c:pt idx="942">
                  <c:v>42.064162791888982</c:v>
                </c:pt>
                <c:pt idx="943">
                  <c:v>42.057166083890117</c:v>
                </c:pt>
                <c:pt idx="944">
                  <c:v>42.060065251335615</c:v>
                </c:pt>
                <c:pt idx="945">
                  <c:v>42.076205555658781</c:v>
                </c:pt>
                <c:pt idx="946">
                  <c:v>42.073409003871291</c:v>
                </c:pt>
                <c:pt idx="947">
                  <c:v>42.050496076354335</c:v>
                </c:pt>
                <c:pt idx="948">
                  <c:v>42.044842794632338</c:v>
                </c:pt>
                <c:pt idx="949">
                  <c:v>42.069383328848566</c:v>
                </c:pt>
                <c:pt idx="950">
                  <c:v>42.064057620052644</c:v>
                </c:pt>
                <c:pt idx="951">
                  <c:v>42.05052612986028</c:v>
                </c:pt>
                <c:pt idx="952">
                  <c:v>42.058657640100556</c:v>
                </c:pt>
                <c:pt idx="953">
                  <c:v>42.062339190859753</c:v>
                </c:pt>
                <c:pt idx="954">
                  <c:v>34.285720484624008</c:v>
                </c:pt>
                <c:pt idx="955">
                  <c:v>34.833390170592047</c:v>
                </c:pt>
                <c:pt idx="956">
                  <c:v>34.637432223195823</c:v>
                </c:pt>
                <c:pt idx="957">
                  <c:v>34.264707125607124</c:v>
                </c:pt>
                <c:pt idx="958">
                  <c:v>34.419474012699943</c:v>
                </c:pt>
                <c:pt idx="959">
                  <c:v>35.002694079833297</c:v>
                </c:pt>
                <c:pt idx="960">
                  <c:v>34.739232584508478</c:v>
                </c:pt>
                <c:pt idx="961">
                  <c:v>34.59245120729242</c:v>
                </c:pt>
                <c:pt idx="962">
                  <c:v>34.613827111093016</c:v>
                </c:pt>
                <c:pt idx="963">
                  <c:v>34.586438501441464</c:v>
                </c:pt>
                <c:pt idx="964">
                  <c:v>34.623441785899587</c:v>
                </c:pt>
                <c:pt idx="965">
                  <c:v>34.482124587342092</c:v>
                </c:pt>
                <c:pt idx="966">
                  <c:v>34.686765417846132</c:v>
                </c:pt>
                <c:pt idx="967">
                  <c:v>42.065437834029176</c:v>
                </c:pt>
                <c:pt idx="968">
                  <c:v>33.927138142536769</c:v>
                </c:pt>
                <c:pt idx="969">
                  <c:v>34.056799027350081</c:v>
                </c:pt>
                <c:pt idx="970">
                  <c:v>34.1037725306415</c:v>
                </c:pt>
                <c:pt idx="971">
                  <c:v>34.164297133341378</c:v>
                </c:pt>
                <c:pt idx="972">
                  <c:v>34.145481523862877</c:v>
                </c:pt>
                <c:pt idx="973">
                  <c:v>34.166468519354666</c:v>
                </c:pt>
                <c:pt idx="974">
                  <c:v>34.139135319279049</c:v>
                </c:pt>
                <c:pt idx="975">
                  <c:v>34.158016242624456</c:v>
                </c:pt>
                <c:pt idx="976">
                  <c:v>34.138270186084505</c:v>
                </c:pt>
                <c:pt idx="977">
                  <c:v>34.197137740927147</c:v>
                </c:pt>
                <c:pt idx="978">
                  <c:v>34.175097721527592</c:v>
                </c:pt>
                <c:pt idx="979">
                  <c:v>34.160160103278145</c:v>
                </c:pt>
                <c:pt idx="980">
                  <c:v>34.132732502622289</c:v>
                </c:pt>
                <c:pt idx="981">
                  <c:v>34.187825193443238</c:v>
                </c:pt>
                <c:pt idx="982">
                  <c:v>42.070044918905552</c:v>
                </c:pt>
                <c:pt idx="983">
                  <c:v>42.072059510699908</c:v>
                </c:pt>
                <c:pt idx="984">
                  <c:v>40.342158892871254</c:v>
                </c:pt>
                <c:pt idx="985">
                  <c:v>40.355898904048338</c:v>
                </c:pt>
                <c:pt idx="986">
                  <c:v>40.323423703856477</c:v>
                </c:pt>
                <c:pt idx="987">
                  <c:v>40.337069850193728</c:v>
                </c:pt>
                <c:pt idx="988">
                  <c:v>40.297650671112713</c:v>
                </c:pt>
                <c:pt idx="989">
                  <c:v>40.344710679143702</c:v>
                </c:pt>
                <c:pt idx="990">
                  <c:v>40.338783842693267</c:v>
                </c:pt>
                <c:pt idx="991">
                  <c:v>40.314389492336694</c:v>
                </c:pt>
                <c:pt idx="992">
                  <c:v>40.338723228538676</c:v>
                </c:pt>
                <c:pt idx="993">
                  <c:v>40.344208125854337</c:v>
                </c:pt>
                <c:pt idx="994">
                  <c:v>40.317283161939571</c:v>
                </c:pt>
                <c:pt idx="995">
                  <c:v>40.344431761473828</c:v>
                </c:pt>
                <c:pt idx="996">
                  <c:v>40.358430863872115</c:v>
                </c:pt>
                <c:pt idx="997">
                  <c:v>40.313597957921466</c:v>
                </c:pt>
                <c:pt idx="998">
                  <c:v>40.334583855161334</c:v>
                </c:pt>
                <c:pt idx="999">
                  <c:v>40.351033486804418</c:v>
                </c:pt>
              </c:numCache>
            </c:numRef>
          </c:val>
          <c:smooth val="0"/>
          <c:extLst>
            <c:ext xmlns:c16="http://schemas.microsoft.com/office/drawing/2014/chart" uri="{C3380CC4-5D6E-409C-BE32-E72D297353CC}">
              <c16:uniqueId val="{00000000-375D-45EA-AC64-4BDC73BD0E78}"/>
            </c:ext>
          </c:extLst>
        </c:ser>
        <c:ser>
          <c:idx val="1"/>
          <c:order val="1"/>
          <c:tx>
            <c:strRef>
              <c:f>'Daily Metrics'!$C$14</c:f>
              <c:strCache>
                <c:ptCount val="1"/>
                <c:pt idx="0">
                  <c:v>Rolling Avg Price</c:v>
                </c:pt>
              </c:strCache>
            </c:strRef>
          </c:tx>
          <c:spPr>
            <a:ln w="28575" cap="rnd">
              <a:solidFill>
                <a:schemeClr val="accent2"/>
              </a:solidFill>
              <a:round/>
            </a:ln>
            <a:effectLst/>
          </c:spPr>
          <c:marker>
            <c:symbol val="none"/>
          </c:marker>
          <c:cat>
            <c:numRef>
              <c:f>'Daily Metrics'!$A$15:$A$1014</c:f>
              <c:numCache>
                <c:formatCode>yyyy\-mm\-dd</c:formatCode>
                <c:ptCount val="1000"/>
                <c:pt idx="0">
                  <c:v>41638.083333333336</c:v>
                </c:pt>
                <c:pt idx="1">
                  <c:v>41639.083333333336</c:v>
                </c:pt>
                <c:pt idx="2">
                  <c:v>41640.083333333336</c:v>
                </c:pt>
                <c:pt idx="3">
                  <c:v>41641.083333333336</c:v>
                </c:pt>
                <c:pt idx="4">
                  <c:v>41642.083333333336</c:v>
                </c:pt>
                <c:pt idx="5">
                  <c:v>41643.083333333336</c:v>
                </c:pt>
                <c:pt idx="6">
                  <c:v>41644.083333333336</c:v>
                </c:pt>
                <c:pt idx="7">
                  <c:v>41645.083333333336</c:v>
                </c:pt>
                <c:pt idx="8">
                  <c:v>41646.083333333336</c:v>
                </c:pt>
                <c:pt idx="9">
                  <c:v>41647.083333333336</c:v>
                </c:pt>
                <c:pt idx="10">
                  <c:v>41648.083333333336</c:v>
                </c:pt>
                <c:pt idx="11">
                  <c:v>41649.083333333336</c:v>
                </c:pt>
                <c:pt idx="12">
                  <c:v>41650.083333333336</c:v>
                </c:pt>
                <c:pt idx="13">
                  <c:v>41651.083333333336</c:v>
                </c:pt>
                <c:pt idx="14">
                  <c:v>41652.083333333336</c:v>
                </c:pt>
                <c:pt idx="15">
                  <c:v>41653.083333333336</c:v>
                </c:pt>
                <c:pt idx="16">
                  <c:v>41654.083333333336</c:v>
                </c:pt>
                <c:pt idx="17">
                  <c:v>41655.083333333336</c:v>
                </c:pt>
                <c:pt idx="18">
                  <c:v>41656.083333333336</c:v>
                </c:pt>
                <c:pt idx="19">
                  <c:v>41657.083333333336</c:v>
                </c:pt>
                <c:pt idx="20">
                  <c:v>41658.083333333336</c:v>
                </c:pt>
                <c:pt idx="21">
                  <c:v>41659.083333333336</c:v>
                </c:pt>
                <c:pt idx="22">
                  <c:v>41660.083333333336</c:v>
                </c:pt>
                <c:pt idx="23">
                  <c:v>41661.083333333336</c:v>
                </c:pt>
                <c:pt idx="24">
                  <c:v>41662.083333333336</c:v>
                </c:pt>
                <c:pt idx="25">
                  <c:v>41663.083333333336</c:v>
                </c:pt>
                <c:pt idx="26">
                  <c:v>41664.083333333336</c:v>
                </c:pt>
                <c:pt idx="27">
                  <c:v>41665.083333333336</c:v>
                </c:pt>
                <c:pt idx="28">
                  <c:v>41666.083333333336</c:v>
                </c:pt>
                <c:pt idx="29">
                  <c:v>41667.083333333336</c:v>
                </c:pt>
                <c:pt idx="30">
                  <c:v>41668.083333333336</c:v>
                </c:pt>
                <c:pt idx="31">
                  <c:v>41669.083333333336</c:v>
                </c:pt>
                <c:pt idx="32">
                  <c:v>41670.083333333336</c:v>
                </c:pt>
                <c:pt idx="33">
                  <c:v>41671.083333333336</c:v>
                </c:pt>
                <c:pt idx="34">
                  <c:v>41672.083333333336</c:v>
                </c:pt>
                <c:pt idx="35">
                  <c:v>41673.083333333336</c:v>
                </c:pt>
                <c:pt idx="36">
                  <c:v>41674.083333333336</c:v>
                </c:pt>
                <c:pt idx="37">
                  <c:v>41675.083333333336</c:v>
                </c:pt>
                <c:pt idx="38">
                  <c:v>41676.083333333336</c:v>
                </c:pt>
                <c:pt idx="39">
                  <c:v>41677.083333333336</c:v>
                </c:pt>
                <c:pt idx="40">
                  <c:v>41678.083333333336</c:v>
                </c:pt>
                <c:pt idx="41">
                  <c:v>41679.083333333336</c:v>
                </c:pt>
                <c:pt idx="42">
                  <c:v>41680.083333333336</c:v>
                </c:pt>
                <c:pt idx="43">
                  <c:v>41681.083333333336</c:v>
                </c:pt>
                <c:pt idx="44">
                  <c:v>41682.083333333336</c:v>
                </c:pt>
                <c:pt idx="45">
                  <c:v>41683.083333333336</c:v>
                </c:pt>
                <c:pt idx="46">
                  <c:v>41684.083333333336</c:v>
                </c:pt>
                <c:pt idx="47">
                  <c:v>41685.083333333336</c:v>
                </c:pt>
                <c:pt idx="48">
                  <c:v>41686.083333333336</c:v>
                </c:pt>
                <c:pt idx="49">
                  <c:v>41687.083333333336</c:v>
                </c:pt>
                <c:pt idx="50">
                  <c:v>41688.083333333336</c:v>
                </c:pt>
                <c:pt idx="51">
                  <c:v>41689.083333333336</c:v>
                </c:pt>
                <c:pt idx="52">
                  <c:v>41690.083333333336</c:v>
                </c:pt>
                <c:pt idx="53">
                  <c:v>41691.083333333336</c:v>
                </c:pt>
                <c:pt idx="54">
                  <c:v>41692.083333333336</c:v>
                </c:pt>
                <c:pt idx="55">
                  <c:v>41693.083333333336</c:v>
                </c:pt>
                <c:pt idx="56">
                  <c:v>41694.083333333336</c:v>
                </c:pt>
                <c:pt idx="57">
                  <c:v>41695.083333333336</c:v>
                </c:pt>
                <c:pt idx="58">
                  <c:v>41696.083333333336</c:v>
                </c:pt>
                <c:pt idx="59">
                  <c:v>41697.083333333336</c:v>
                </c:pt>
                <c:pt idx="60">
                  <c:v>41698.083333333336</c:v>
                </c:pt>
                <c:pt idx="61">
                  <c:v>41699.083333333336</c:v>
                </c:pt>
                <c:pt idx="62">
                  <c:v>41700.083333333336</c:v>
                </c:pt>
                <c:pt idx="63">
                  <c:v>41701.083333333336</c:v>
                </c:pt>
                <c:pt idx="64">
                  <c:v>41702.083333333336</c:v>
                </c:pt>
                <c:pt idx="65">
                  <c:v>41703.083333333336</c:v>
                </c:pt>
                <c:pt idx="66">
                  <c:v>41704.083333333336</c:v>
                </c:pt>
                <c:pt idx="67">
                  <c:v>41705.083333333336</c:v>
                </c:pt>
                <c:pt idx="68">
                  <c:v>41706.083333333336</c:v>
                </c:pt>
                <c:pt idx="69">
                  <c:v>41707.083333333336</c:v>
                </c:pt>
                <c:pt idx="70">
                  <c:v>41708.083333333336</c:v>
                </c:pt>
                <c:pt idx="71">
                  <c:v>41709.083333333336</c:v>
                </c:pt>
                <c:pt idx="72">
                  <c:v>41710.083333333336</c:v>
                </c:pt>
                <c:pt idx="73">
                  <c:v>41711.083333333336</c:v>
                </c:pt>
                <c:pt idx="74">
                  <c:v>41712.083333333336</c:v>
                </c:pt>
                <c:pt idx="75">
                  <c:v>41713.083333333336</c:v>
                </c:pt>
                <c:pt idx="76">
                  <c:v>41714.083333333336</c:v>
                </c:pt>
                <c:pt idx="77">
                  <c:v>41715.083333333336</c:v>
                </c:pt>
                <c:pt idx="78">
                  <c:v>41716.083333333336</c:v>
                </c:pt>
                <c:pt idx="79">
                  <c:v>41717.083333333336</c:v>
                </c:pt>
                <c:pt idx="80">
                  <c:v>41718.083333333336</c:v>
                </c:pt>
                <c:pt idx="81">
                  <c:v>41719.083333333336</c:v>
                </c:pt>
                <c:pt idx="82">
                  <c:v>41720.083333333336</c:v>
                </c:pt>
                <c:pt idx="83">
                  <c:v>41721.083333333336</c:v>
                </c:pt>
                <c:pt idx="84">
                  <c:v>41722.083333333336</c:v>
                </c:pt>
                <c:pt idx="85">
                  <c:v>41723.083333333336</c:v>
                </c:pt>
                <c:pt idx="86">
                  <c:v>41724.083333333336</c:v>
                </c:pt>
                <c:pt idx="87">
                  <c:v>41725.083333333336</c:v>
                </c:pt>
                <c:pt idx="88">
                  <c:v>41726.083333333336</c:v>
                </c:pt>
                <c:pt idx="89">
                  <c:v>41727.083333333336</c:v>
                </c:pt>
                <c:pt idx="90">
                  <c:v>41728.083333333336</c:v>
                </c:pt>
                <c:pt idx="91">
                  <c:v>41729.083333333336</c:v>
                </c:pt>
                <c:pt idx="92">
                  <c:v>41730.083333333336</c:v>
                </c:pt>
                <c:pt idx="93">
                  <c:v>41731.083333333336</c:v>
                </c:pt>
                <c:pt idx="94">
                  <c:v>41732.083333333336</c:v>
                </c:pt>
                <c:pt idx="95">
                  <c:v>41733.083333333336</c:v>
                </c:pt>
                <c:pt idx="96">
                  <c:v>41734.083333333336</c:v>
                </c:pt>
                <c:pt idx="97">
                  <c:v>41735.083333333336</c:v>
                </c:pt>
                <c:pt idx="98">
                  <c:v>41736.083333333336</c:v>
                </c:pt>
                <c:pt idx="99">
                  <c:v>41737.083333333336</c:v>
                </c:pt>
                <c:pt idx="100">
                  <c:v>41738.083333333336</c:v>
                </c:pt>
                <c:pt idx="101">
                  <c:v>41739.083333333336</c:v>
                </c:pt>
                <c:pt idx="102">
                  <c:v>41740.083333333336</c:v>
                </c:pt>
                <c:pt idx="103">
                  <c:v>41741.083333333336</c:v>
                </c:pt>
                <c:pt idx="104">
                  <c:v>41742.083333333336</c:v>
                </c:pt>
                <c:pt idx="105">
                  <c:v>41743.083333333336</c:v>
                </c:pt>
                <c:pt idx="106">
                  <c:v>41744.083333333336</c:v>
                </c:pt>
                <c:pt idx="107">
                  <c:v>41745.083333333336</c:v>
                </c:pt>
                <c:pt idx="108">
                  <c:v>41746.083333333336</c:v>
                </c:pt>
                <c:pt idx="109">
                  <c:v>41747.083333333336</c:v>
                </c:pt>
                <c:pt idx="110">
                  <c:v>41748.083333333336</c:v>
                </c:pt>
                <c:pt idx="111">
                  <c:v>41749.083333333336</c:v>
                </c:pt>
                <c:pt idx="112">
                  <c:v>41750.083333333336</c:v>
                </c:pt>
                <c:pt idx="113">
                  <c:v>41751.083333333336</c:v>
                </c:pt>
                <c:pt idx="114">
                  <c:v>41752.083333333336</c:v>
                </c:pt>
                <c:pt idx="115">
                  <c:v>41753.083333333336</c:v>
                </c:pt>
                <c:pt idx="116">
                  <c:v>41754.083333333336</c:v>
                </c:pt>
                <c:pt idx="117">
                  <c:v>41755.083333333336</c:v>
                </c:pt>
                <c:pt idx="118">
                  <c:v>41756.083333333336</c:v>
                </c:pt>
                <c:pt idx="119">
                  <c:v>41757.083333333336</c:v>
                </c:pt>
                <c:pt idx="120">
                  <c:v>41758.083333333336</c:v>
                </c:pt>
                <c:pt idx="121">
                  <c:v>41759.083333333336</c:v>
                </c:pt>
                <c:pt idx="122">
                  <c:v>41760.083333333336</c:v>
                </c:pt>
                <c:pt idx="123">
                  <c:v>41761.083333333336</c:v>
                </c:pt>
                <c:pt idx="124">
                  <c:v>41762.083333333336</c:v>
                </c:pt>
                <c:pt idx="125">
                  <c:v>41763.083333333336</c:v>
                </c:pt>
                <c:pt idx="126">
                  <c:v>41764.083333333336</c:v>
                </c:pt>
                <c:pt idx="127">
                  <c:v>41765.083333333336</c:v>
                </c:pt>
                <c:pt idx="128">
                  <c:v>41766.083333333336</c:v>
                </c:pt>
                <c:pt idx="129">
                  <c:v>41767.083333333336</c:v>
                </c:pt>
                <c:pt idx="130">
                  <c:v>41768.083333333336</c:v>
                </c:pt>
                <c:pt idx="131">
                  <c:v>41769.083333333336</c:v>
                </c:pt>
                <c:pt idx="132">
                  <c:v>41770.083333333336</c:v>
                </c:pt>
                <c:pt idx="133">
                  <c:v>41771.083333333336</c:v>
                </c:pt>
                <c:pt idx="134">
                  <c:v>41772.083333333336</c:v>
                </c:pt>
                <c:pt idx="135">
                  <c:v>41773.083333333336</c:v>
                </c:pt>
                <c:pt idx="136">
                  <c:v>41774.083333333336</c:v>
                </c:pt>
                <c:pt idx="137">
                  <c:v>41775.083333333336</c:v>
                </c:pt>
                <c:pt idx="138">
                  <c:v>41776.083333333336</c:v>
                </c:pt>
                <c:pt idx="139">
                  <c:v>41777.083333333336</c:v>
                </c:pt>
                <c:pt idx="140">
                  <c:v>41778.083333333336</c:v>
                </c:pt>
                <c:pt idx="141">
                  <c:v>41779.083333333336</c:v>
                </c:pt>
                <c:pt idx="142">
                  <c:v>41780.083333333336</c:v>
                </c:pt>
                <c:pt idx="143">
                  <c:v>41781.083333333336</c:v>
                </c:pt>
                <c:pt idx="144">
                  <c:v>41782.083333333336</c:v>
                </c:pt>
                <c:pt idx="145">
                  <c:v>41783.083333333336</c:v>
                </c:pt>
                <c:pt idx="146">
                  <c:v>41784.083333333336</c:v>
                </c:pt>
                <c:pt idx="147">
                  <c:v>41785.083333333336</c:v>
                </c:pt>
                <c:pt idx="148">
                  <c:v>41786.083333333336</c:v>
                </c:pt>
                <c:pt idx="149">
                  <c:v>41787.083333333336</c:v>
                </c:pt>
                <c:pt idx="150">
                  <c:v>41788.083333333336</c:v>
                </c:pt>
                <c:pt idx="151">
                  <c:v>41789.083333333336</c:v>
                </c:pt>
                <c:pt idx="152">
                  <c:v>41790.083333333336</c:v>
                </c:pt>
                <c:pt idx="153">
                  <c:v>41791.083333333336</c:v>
                </c:pt>
                <c:pt idx="154">
                  <c:v>41792.083333333336</c:v>
                </c:pt>
                <c:pt idx="155">
                  <c:v>41793.083333333336</c:v>
                </c:pt>
                <c:pt idx="156">
                  <c:v>41794.083333333336</c:v>
                </c:pt>
                <c:pt idx="157">
                  <c:v>41795.083333333336</c:v>
                </c:pt>
                <c:pt idx="158">
                  <c:v>41796.083333333336</c:v>
                </c:pt>
                <c:pt idx="159">
                  <c:v>41797.083333333336</c:v>
                </c:pt>
                <c:pt idx="160">
                  <c:v>41798.083333333336</c:v>
                </c:pt>
                <c:pt idx="161">
                  <c:v>41799.083333333336</c:v>
                </c:pt>
                <c:pt idx="162">
                  <c:v>41800.083333333336</c:v>
                </c:pt>
                <c:pt idx="163">
                  <c:v>41801.083333333336</c:v>
                </c:pt>
                <c:pt idx="164">
                  <c:v>41802.083333333336</c:v>
                </c:pt>
                <c:pt idx="165">
                  <c:v>41803.083333333336</c:v>
                </c:pt>
                <c:pt idx="166">
                  <c:v>41804.083333333336</c:v>
                </c:pt>
                <c:pt idx="167">
                  <c:v>41805.083333333336</c:v>
                </c:pt>
                <c:pt idx="168">
                  <c:v>41806.083333333336</c:v>
                </c:pt>
                <c:pt idx="169">
                  <c:v>41807.083333333336</c:v>
                </c:pt>
                <c:pt idx="170">
                  <c:v>41808.083333333336</c:v>
                </c:pt>
                <c:pt idx="171">
                  <c:v>41809.083333333336</c:v>
                </c:pt>
                <c:pt idx="172">
                  <c:v>41810.083333333336</c:v>
                </c:pt>
                <c:pt idx="173">
                  <c:v>41811.083333333336</c:v>
                </c:pt>
                <c:pt idx="174">
                  <c:v>41812.083333333336</c:v>
                </c:pt>
                <c:pt idx="175">
                  <c:v>41813.083333333336</c:v>
                </c:pt>
                <c:pt idx="176">
                  <c:v>41814.083333333336</c:v>
                </c:pt>
                <c:pt idx="177">
                  <c:v>41815.083333333336</c:v>
                </c:pt>
                <c:pt idx="178">
                  <c:v>41816.083333333336</c:v>
                </c:pt>
                <c:pt idx="179">
                  <c:v>41817.083333333336</c:v>
                </c:pt>
                <c:pt idx="180">
                  <c:v>41818.083333333336</c:v>
                </c:pt>
                <c:pt idx="181">
                  <c:v>41819.083333333336</c:v>
                </c:pt>
                <c:pt idx="182">
                  <c:v>41820.083333333336</c:v>
                </c:pt>
                <c:pt idx="183">
                  <c:v>41821.083333333336</c:v>
                </c:pt>
                <c:pt idx="184">
                  <c:v>41822.083333333336</c:v>
                </c:pt>
                <c:pt idx="185">
                  <c:v>41823.083333333336</c:v>
                </c:pt>
                <c:pt idx="186">
                  <c:v>41824.083333333336</c:v>
                </c:pt>
                <c:pt idx="187">
                  <c:v>41825.083333333336</c:v>
                </c:pt>
                <c:pt idx="188">
                  <c:v>41826.083333333336</c:v>
                </c:pt>
                <c:pt idx="189">
                  <c:v>41827.083333333336</c:v>
                </c:pt>
                <c:pt idx="190">
                  <c:v>41828.083333333336</c:v>
                </c:pt>
                <c:pt idx="191">
                  <c:v>41829.083333333336</c:v>
                </c:pt>
                <c:pt idx="192">
                  <c:v>41830.083333333336</c:v>
                </c:pt>
                <c:pt idx="193">
                  <c:v>41831.083333333336</c:v>
                </c:pt>
                <c:pt idx="194">
                  <c:v>41832.083333333336</c:v>
                </c:pt>
                <c:pt idx="195">
                  <c:v>41833.083333333336</c:v>
                </c:pt>
                <c:pt idx="196">
                  <c:v>41834.083333333336</c:v>
                </c:pt>
                <c:pt idx="197">
                  <c:v>41835.083333333336</c:v>
                </c:pt>
                <c:pt idx="198">
                  <c:v>41836.083333333336</c:v>
                </c:pt>
                <c:pt idx="199">
                  <c:v>41837.083333333336</c:v>
                </c:pt>
                <c:pt idx="200">
                  <c:v>41838.083333333336</c:v>
                </c:pt>
                <c:pt idx="201">
                  <c:v>41839.083333333336</c:v>
                </c:pt>
                <c:pt idx="202">
                  <c:v>41840.083333333336</c:v>
                </c:pt>
                <c:pt idx="203">
                  <c:v>41841.083333333336</c:v>
                </c:pt>
                <c:pt idx="204">
                  <c:v>41842.083333333336</c:v>
                </c:pt>
                <c:pt idx="205">
                  <c:v>41843.083333333336</c:v>
                </c:pt>
                <c:pt idx="206">
                  <c:v>41844.083333333336</c:v>
                </c:pt>
                <c:pt idx="207">
                  <c:v>41845.083333333336</c:v>
                </c:pt>
                <c:pt idx="208">
                  <c:v>41846.083333333336</c:v>
                </c:pt>
                <c:pt idx="209">
                  <c:v>41847.083333333336</c:v>
                </c:pt>
                <c:pt idx="210">
                  <c:v>41848.083333333336</c:v>
                </c:pt>
                <c:pt idx="211">
                  <c:v>41849.083333333336</c:v>
                </c:pt>
                <c:pt idx="212">
                  <c:v>41850.083333333336</c:v>
                </c:pt>
                <c:pt idx="213">
                  <c:v>41851.083333333336</c:v>
                </c:pt>
                <c:pt idx="214">
                  <c:v>41852.083333333336</c:v>
                </c:pt>
                <c:pt idx="215">
                  <c:v>41853.083333333336</c:v>
                </c:pt>
                <c:pt idx="216">
                  <c:v>41854.083333333336</c:v>
                </c:pt>
                <c:pt idx="217">
                  <c:v>41855.083333333336</c:v>
                </c:pt>
                <c:pt idx="218">
                  <c:v>41856.083333333336</c:v>
                </c:pt>
                <c:pt idx="219">
                  <c:v>41857.083333333336</c:v>
                </c:pt>
                <c:pt idx="220">
                  <c:v>41858.083333333336</c:v>
                </c:pt>
                <c:pt idx="221">
                  <c:v>41859.083333333336</c:v>
                </c:pt>
                <c:pt idx="222">
                  <c:v>41860.083333333336</c:v>
                </c:pt>
                <c:pt idx="223">
                  <c:v>41861.083333333336</c:v>
                </c:pt>
                <c:pt idx="224">
                  <c:v>41862.083333333336</c:v>
                </c:pt>
                <c:pt idx="225">
                  <c:v>41863.083333333336</c:v>
                </c:pt>
                <c:pt idx="226">
                  <c:v>41864.083333333336</c:v>
                </c:pt>
                <c:pt idx="227">
                  <c:v>41865.083333333336</c:v>
                </c:pt>
                <c:pt idx="228">
                  <c:v>41866.083333333336</c:v>
                </c:pt>
                <c:pt idx="229">
                  <c:v>41867.083333333336</c:v>
                </c:pt>
                <c:pt idx="230">
                  <c:v>41868.083333333336</c:v>
                </c:pt>
                <c:pt idx="231">
                  <c:v>41869.083333333336</c:v>
                </c:pt>
                <c:pt idx="232">
                  <c:v>41870.083333333336</c:v>
                </c:pt>
                <c:pt idx="233">
                  <c:v>41871.083333333336</c:v>
                </c:pt>
                <c:pt idx="234">
                  <c:v>41872.083333333336</c:v>
                </c:pt>
                <c:pt idx="235">
                  <c:v>41873.083333333336</c:v>
                </c:pt>
                <c:pt idx="236">
                  <c:v>41874.083333333336</c:v>
                </c:pt>
                <c:pt idx="237">
                  <c:v>41875.083333333336</c:v>
                </c:pt>
                <c:pt idx="238">
                  <c:v>41876.083333333336</c:v>
                </c:pt>
                <c:pt idx="239">
                  <c:v>41877.083333333336</c:v>
                </c:pt>
                <c:pt idx="240">
                  <c:v>41878.083333333336</c:v>
                </c:pt>
                <c:pt idx="241">
                  <c:v>41879.083333333336</c:v>
                </c:pt>
                <c:pt idx="242">
                  <c:v>41880.083333333336</c:v>
                </c:pt>
                <c:pt idx="243">
                  <c:v>41881.083333333336</c:v>
                </c:pt>
                <c:pt idx="244">
                  <c:v>41882.083333333336</c:v>
                </c:pt>
                <c:pt idx="245">
                  <c:v>41883.083333333336</c:v>
                </c:pt>
                <c:pt idx="246">
                  <c:v>41884.083333333336</c:v>
                </c:pt>
                <c:pt idx="247">
                  <c:v>41885.083333333336</c:v>
                </c:pt>
                <c:pt idx="248">
                  <c:v>41886.083333333336</c:v>
                </c:pt>
                <c:pt idx="249">
                  <c:v>41887.083333333336</c:v>
                </c:pt>
                <c:pt idx="250">
                  <c:v>41888.083333333336</c:v>
                </c:pt>
                <c:pt idx="251">
                  <c:v>41889.083333333336</c:v>
                </c:pt>
                <c:pt idx="252">
                  <c:v>41890.083333333336</c:v>
                </c:pt>
                <c:pt idx="253">
                  <c:v>41891.083333333336</c:v>
                </c:pt>
                <c:pt idx="254">
                  <c:v>41892.083333333336</c:v>
                </c:pt>
                <c:pt idx="255">
                  <c:v>41893.083333333336</c:v>
                </c:pt>
                <c:pt idx="256">
                  <c:v>41894.083333333336</c:v>
                </c:pt>
                <c:pt idx="257">
                  <c:v>41895.083333333336</c:v>
                </c:pt>
                <c:pt idx="258">
                  <c:v>41896.083333333336</c:v>
                </c:pt>
                <c:pt idx="259">
                  <c:v>41897.083333333336</c:v>
                </c:pt>
                <c:pt idx="260">
                  <c:v>41898.083333333336</c:v>
                </c:pt>
                <c:pt idx="261">
                  <c:v>41899.083333333336</c:v>
                </c:pt>
                <c:pt idx="262">
                  <c:v>41900.083333333336</c:v>
                </c:pt>
                <c:pt idx="263">
                  <c:v>41901.083333333336</c:v>
                </c:pt>
                <c:pt idx="264">
                  <c:v>41902.083333333336</c:v>
                </c:pt>
                <c:pt idx="265">
                  <c:v>41903.083333333336</c:v>
                </c:pt>
                <c:pt idx="266">
                  <c:v>41904.083333333336</c:v>
                </c:pt>
                <c:pt idx="267">
                  <c:v>41905.083333333336</c:v>
                </c:pt>
                <c:pt idx="268">
                  <c:v>41906.083333333336</c:v>
                </c:pt>
                <c:pt idx="269">
                  <c:v>41907.083333333336</c:v>
                </c:pt>
                <c:pt idx="270">
                  <c:v>41908.083333333336</c:v>
                </c:pt>
                <c:pt idx="271">
                  <c:v>41909.083333333336</c:v>
                </c:pt>
                <c:pt idx="272">
                  <c:v>41910.083333333336</c:v>
                </c:pt>
                <c:pt idx="273">
                  <c:v>41911.083333333336</c:v>
                </c:pt>
                <c:pt idx="274">
                  <c:v>41912.083333333336</c:v>
                </c:pt>
                <c:pt idx="275">
                  <c:v>41913.083333333336</c:v>
                </c:pt>
                <c:pt idx="276">
                  <c:v>41914.083333333336</c:v>
                </c:pt>
                <c:pt idx="277">
                  <c:v>41915.083333333336</c:v>
                </c:pt>
                <c:pt idx="278">
                  <c:v>41916.083333333336</c:v>
                </c:pt>
                <c:pt idx="279">
                  <c:v>41917.083333333336</c:v>
                </c:pt>
                <c:pt idx="280">
                  <c:v>41918.083333333336</c:v>
                </c:pt>
                <c:pt idx="281">
                  <c:v>41919.083333333336</c:v>
                </c:pt>
                <c:pt idx="282">
                  <c:v>41920.083333333336</c:v>
                </c:pt>
                <c:pt idx="283">
                  <c:v>41921.083333333336</c:v>
                </c:pt>
                <c:pt idx="284">
                  <c:v>41922.083333333336</c:v>
                </c:pt>
                <c:pt idx="285">
                  <c:v>41923.083333333336</c:v>
                </c:pt>
                <c:pt idx="286">
                  <c:v>41924.083333333336</c:v>
                </c:pt>
                <c:pt idx="287">
                  <c:v>41925.083333333336</c:v>
                </c:pt>
                <c:pt idx="288">
                  <c:v>41926.083333333336</c:v>
                </c:pt>
                <c:pt idx="289">
                  <c:v>41927.083333333336</c:v>
                </c:pt>
                <c:pt idx="290">
                  <c:v>41928.083333333336</c:v>
                </c:pt>
                <c:pt idx="291">
                  <c:v>41929.083333333336</c:v>
                </c:pt>
                <c:pt idx="292">
                  <c:v>41930.083333333336</c:v>
                </c:pt>
                <c:pt idx="293">
                  <c:v>41931.083333333336</c:v>
                </c:pt>
                <c:pt idx="294">
                  <c:v>41932.083333333336</c:v>
                </c:pt>
                <c:pt idx="295">
                  <c:v>41933.083333333336</c:v>
                </c:pt>
                <c:pt idx="296">
                  <c:v>41934.083333333336</c:v>
                </c:pt>
                <c:pt idx="297">
                  <c:v>41935.083333333336</c:v>
                </c:pt>
                <c:pt idx="298">
                  <c:v>41936.083333333336</c:v>
                </c:pt>
                <c:pt idx="299">
                  <c:v>41937.083333333336</c:v>
                </c:pt>
                <c:pt idx="300">
                  <c:v>41938.083333333336</c:v>
                </c:pt>
                <c:pt idx="301">
                  <c:v>41939.083333333336</c:v>
                </c:pt>
                <c:pt idx="302">
                  <c:v>41940.083333333336</c:v>
                </c:pt>
                <c:pt idx="303">
                  <c:v>41941.083333333336</c:v>
                </c:pt>
                <c:pt idx="304">
                  <c:v>41942.083333333336</c:v>
                </c:pt>
                <c:pt idx="305">
                  <c:v>41943.083333333336</c:v>
                </c:pt>
                <c:pt idx="306">
                  <c:v>41944.083333333336</c:v>
                </c:pt>
                <c:pt idx="307">
                  <c:v>41945.083333333336</c:v>
                </c:pt>
                <c:pt idx="308">
                  <c:v>41946.083333333336</c:v>
                </c:pt>
                <c:pt idx="309">
                  <c:v>41947.083333333336</c:v>
                </c:pt>
                <c:pt idx="310">
                  <c:v>41948.083333333336</c:v>
                </c:pt>
                <c:pt idx="311">
                  <c:v>41949.083333333336</c:v>
                </c:pt>
                <c:pt idx="312">
                  <c:v>41950.083333333336</c:v>
                </c:pt>
                <c:pt idx="313">
                  <c:v>41951.083333333336</c:v>
                </c:pt>
                <c:pt idx="314">
                  <c:v>41952.083333333336</c:v>
                </c:pt>
                <c:pt idx="315">
                  <c:v>41953.083333333336</c:v>
                </c:pt>
                <c:pt idx="316">
                  <c:v>41954.083333333336</c:v>
                </c:pt>
                <c:pt idx="317">
                  <c:v>41955.083333333336</c:v>
                </c:pt>
                <c:pt idx="318">
                  <c:v>41956.083333333336</c:v>
                </c:pt>
                <c:pt idx="319">
                  <c:v>41957.083333333336</c:v>
                </c:pt>
                <c:pt idx="320">
                  <c:v>41958.083333333336</c:v>
                </c:pt>
                <c:pt idx="321">
                  <c:v>41959.083333333336</c:v>
                </c:pt>
                <c:pt idx="322">
                  <c:v>41960.083333333336</c:v>
                </c:pt>
                <c:pt idx="323">
                  <c:v>41961.083333333336</c:v>
                </c:pt>
                <c:pt idx="324">
                  <c:v>41962.083333333336</c:v>
                </c:pt>
                <c:pt idx="325">
                  <c:v>41963.083333333336</c:v>
                </c:pt>
                <c:pt idx="326">
                  <c:v>41964.083333333336</c:v>
                </c:pt>
                <c:pt idx="327">
                  <c:v>41965.083333333336</c:v>
                </c:pt>
                <c:pt idx="328">
                  <c:v>41966.083333333336</c:v>
                </c:pt>
                <c:pt idx="329">
                  <c:v>41967.083333333336</c:v>
                </c:pt>
                <c:pt idx="330">
                  <c:v>41968.083333333336</c:v>
                </c:pt>
                <c:pt idx="331">
                  <c:v>41969.083333333336</c:v>
                </c:pt>
                <c:pt idx="332">
                  <c:v>41970.083333333336</c:v>
                </c:pt>
                <c:pt idx="333">
                  <c:v>41971.083333333336</c:v>
                </c:pt>
                <c:pt idx="334">
                  <c:v>41972.083333333336</c:v>
                </c:pt>
                <c:pt idx="335">
                  <c:v>41973.083333333336</c:v>
                </c:pt>
                <c:pt idx="336">
                  <c:v>41974.083333333336</c:v>
                </c:pt>
                <c:pt idx="337">
                  <c:v>41975.083333333336</c:v>
                </c:pt>
                <c:pt idx="338">
                  <c:v>41976.083333333336</c:v>
                </c:pt>
                <c:pt idx="339">
                  <c:v>41977.083333333336</c:v>
                </c:pt>
                <c:pt idx="340">
                  <c:v>41978.083333333336</c:v>
                </c:pt>
                <c:pt idx="341">
                  <c:v>41979.083333333336</c:v>
                </c:pt>
                <c:pt idx="342">
                  <c:v>41980.083333333336</c:v>
                </c:pt>
                <c:pt idx="343">
                  <c:v>41981.083333333336</c:v>
                </c:pt>
                <c:pt idx="344">
                  <c:v>41982.083333333336</c:v>
                </c:pt>
                <c:pt idx="345">
                  <c:v>41983.083333333336</c:v>
                </c:pt>
                <c:pt idx="346">
                  <c:v>41984.083333333336</c:v>
                </c:pt>
                <c:pt idx="347">
                  <c:v>41985.083333333336</c:v>
                </c:pt>
                <c:pt idx="348">
                  <c:v>41986.083333333336</c:v>
                </c:pt>
                <c:pt idx="349">
                  <c:v>41987.083333333336</c:v>
                </c:pt>
                <c:pt idx="350">
                  <c:v>41988.083333333336</c:v>
                </c:pt>
                <c:pt idx="351">
                  <c:v>41989.083333333336</c:v>
                </c:pt>
                <c:pt idx="352">
                  <c:v>41990.083333333336</c:v>
                </c:pt>
                <c:pt idx="353">
                  <c:v>41991.083333333336</c:v>
                </c:pt>
                <c:pt idx="354">
                  <c:v>41992.083333333336</c:v>
                </c:pt>
                <c:pt idx="355">
                  <c:v>41993.083333333336</c:v>
                </c:pt>
                <c:pt idx="356">
                  <c:v>41994.083333333336</c:v>
                </c:pt>
                <c:pt idx="357">
                  <c:v>41995.083333333336</c:v>
                </c:pt>
                <c:pt idx="358">
                  <c:v>41996.083333333336</c:v>
                </c:pt>
                <c:pt idx="359">
                  <c:v>41997.083333333336</c:v>
                </c:pt>
                <c:pt idx="360">
                  <c:v>41998.083333333336</c:v>
                </c:pt>
                <c:pt idx="361">
                  <c:v>41999.083333333336</c:v>
                </c:pt>
                <c:pt idx="362">
                  <c:v>42000.083333333336</c:v>
                </c:pt>
                <c:pt idx="363">
                  <c:v>42001.083333333336</c:v>
                </c:pt>
                <c:pt idx="364">
                  <c:v>42002.083333333336</c:v>
                </c:pt>
                <c:pt idx="365">
                  <c:v>42003.083333333336</c:v>
                </c:pt>
                <c:pt idx="366">
                  <c:v>42004.083333333336</c:v>
                </c:pt>
                <c:pt idx="367">
                  <c:v>42005.083333333336</c:v>
                </c:pt>
                <c:pt idx="368">
                  <c:v>42006.083333333336</c:v>
                </c:pt>
                <c:pt idx="369">
                  <c:v>42007.083333333336</c:v>
                </c:pt>
                <c:pt idx="370">
                  <c:v>42008.083333333336</c:v>
                </c:pt>
                <c:pt idx="371">
                  <c:v>42009.083333333336</c:v>
                </c:pt>
                <c:pt idx="372">
                  <c:v>42010.083333333336</c:v>
                </c:pt>
                <c:pt idx="373">
                  <c:v>42011.083333333336</c:v>
                </c:pt>
                <c:pt idx="374">
                  <c:v>42012.083333333336</c:v>
                </c:pt>
                <c:pt idx="375">
                  <c:v>42013.083333333336</c:v>
                </c:pt>
                <c:pt idx="376">
                  <c:v>42014.083333333336</c:v>
                </c:pt>
                <c:pt idx="377">
                  <c:v>42015.083333333336</c:v>
                </c:pt>
                <c:pt idx="378">
                  <c:v>42016.083333333336</c:v>
                </c:pt>
                <c:pt idx="379">
                  <c:v>42017.083333333336</c:v>
                </c:pt>
                <c:pt idx="380">
                  <c:v>42018.083333333336</c:v>
                </c:pt>
                <c:pt idx="381">
                  <c:v>42019.083333333336</c:v>
                </c:pt>
                <c:pt idx="382">
                  <c:v>42020.083333333336</c:v>
                </c:pt>
                <c:pt idx="383">
                  <c:v>42021.083333333336</c:v>
                </c:pt>
                <c:pt idx="384">
                  <c:v>42022.083333333336</c:v>
                </c:pt>
                <c:pt idx="385">
                  <c:v>42023.083333333336</c:v>
                </c:pt>
                <c:pt idx="386">
                  <c:v>42024.083333333336</c:v>
                </c:pt>
                <c:pt idx="387">
                  <c:v>42025.083333333336</c:v>
                </c:pt>
                <c:pt idx="388">
                  <c:v>42026.083333333336</c:v>
                </c:pt>
                <c:pt idx="389">
                  <c:v>42027.083333333336</c:v>
                </c:pt>
                <c:pt idx="390">
                  <c:v>42028.083333333336</c:v>
                </c:pt>
                <c:pt idx="391">
                  <c:v>42029.083333333336</c:v>
                </c:pt>
                <c:pt idx="392">
                  <c:v>42030.083333333336</c:v>
                </c:pt>
                <c:pt idx="393">
                  <c:v>42031.083333333336</c:v>
                </c:pt>
                <c:pt idx="394">
                  <c:v>42032.083333333336</c:v>
                </c:pt>
                <c:pt idx="395">
                  <c:v>42033.083333333336</c:v>
                </c:pt>
                <c:pt idx="396">
                  <c:v>42034.083333333336</c:v>
                </c:pt>
                <c:pt idx="397">
                  <c:v>42035.083333333336</c:v>
                </c:pt>
                <c:pt idx="398">
                  <c:v>42036.083333333336</c:v>
                </c:pt>
                <c:pt idx="399">
                  <c:v>42037.083333333336</c:v>
                </c:pt>
                <c:pt idx="400">
                  <c:v>42038.083333333336</c:v>
                </c:pt>
                <c:pt idx="401">
                  <c:v>42039.083333333336</c:v>
                </c:pt>
                <c:pt idx="402">
                  <c:v>42040.083333333336</c:v>
                </c:pt>
                <c:pt idx="403">
                  <c:v>42041.083333333336</c:v>
                </c:pt>
                <c:pt idx="404">
                  <c:v>42042.083333333336</c:v>
                </c:pt>
                <c:pt idx="405">
                  <c:v>42043.083333333336</c:v>
                </c:pt>
                <c:pt idx="406">
                  <c:v>42044.083333333336</c:v>
                </c:pt>
                <c:pt idx="407">
                  <c:v>42045.083333333336</c:v>
                </c:pt>
                <c:pt idx="408">
                  <c:v>42046.083333333336</c:v>
                </c:pt>
                <c:pt idx="409">
                  <c:v>42047.083333333336</c:v>
                </c:pt>
                <c:pt idx="410">
                  <c:v>42048.083333333336</c:v>
                </c:pt>
                <c:pt idx="411">
                  <c:v>42049.083333333336</c:v>
                </c:pt>
                <c:pt idx="412">
                  <c:v>42050.083333333336</c:v>
                </c:pt>
                <c:pt idx="413">
                  <c:v>42051.083333333336</c:v>
                </c:pt>
                <c:pt idx="414">
                  <c:v>42052.083333333336</c:v>
                </c:pt>
                <c:pt idx="415">
                  <c:v>42053.083333333336</c:v>
                </c:pt>
                <c:pt idx="416">
                  <c:v>42054.083333333336</c:v>
                </c:pt>
                <c:pt idx="417">
                  <c:v>42055.083333333336</c:v>
                </c:pt>
                <c:pt idx="418">
                  <c:v>42056.083333333336</c:v>
                </c:pt>
                <c:pt idx="419">
                  <c:v>42057.083333333336</c:v>
                </c:pt>
                <c:pt idx="420">
                  <c:v>42058.083333333336</c:v>
                </c:pt>
                <c:pt idx="421">
                  <c:v>42059.083333333336</c:v>
                </c:pt>
                <c:pt idx="422">
                  <c:v>42060.083333333336</c:v>
                </c:pt>
                <c:pt idx="423">
                  <c:v>42061.083333333336</c:v>
                </c:pt>
                <c:pt idx="424">
                  <c:v>42062.083333333336</c:v>
                </c:pt>
                <c:pt idx="425">
                  <c:v>42063.083333333336</c:v>
                </c:pt>
                <c:pt idx="426">
                  <c:v>42064.083333333336</c:v>
                </c:pt>
                <c:pt idx="427">
                  <c:v>42065.083333333336</c:v>
                </c:pt>
                <c:pt idx="428">
                  <c:v>42066.083333333336</c:v>
                </c:pt>
                <c:pt idx="429">
                  <c:v>42067.083333333336</c:v>
                </c:pt>
                <c:pt idx="430">
                  <c:v>42068.083333333336</c:v>
                </c:pt>
                <c:pt idx="431">
                  <c:v>42069.083333333336</c:v>
                </c:pt>
                <c:pt idx="432">
                  <c:v>42070.083333333336</c:v>
                </c:pt>
                <c:pt idx="433">
                  <c:v>42071.083333333336</c:v>
                </c:pt>
                <c:pt idx="434">
                  <c:v>42072.083333333336</c:v>
                </c:pt>
                <c:pt idx="435">
                  <c:v>42073.083333333336</c:v>
                </c:pt>
                <c:pt idx="436">
                  <c:v>42074.083333333336</c:v>
                </c:pt>
                <c:pt idx="437">
                  <c:v>42075.083333333336</c:v>
                </c:pt>
                <c:pt idx="438">
                  <c:v>42076.083333333336</c:v>
                </c:pt>
                <c:pt idx="439">
                  <c:v>42077.083333333336</c:v>
                </c:pt>
                <c:pt idx="440">
                  <c:v>42078.083333333336</c:v>
                </c:pt>
                <c:pt idx="441">
                  <c:v>42079.083333333336</c:v>
                </c:pt>
                <c:pt idx="442">
                  <c:v>42080.083333333336</c:v>
                </c:pt>
                <c:pt idx="443">
                  <c:v>42081.083333333336</c:v>
                </c:pt>
                <c:pt idx="444">
                  <c:v>42082.083333333336</c:v>
                </c:pt>
                <c:pt idx="445">
                  <c:v>42083.083333333336</c:v>
                </c:pt>
                <c:pt idx="446">
                  <c:v>42084.083333333336</c:v>
                </c:pt>
                <c:pt idx="447">
                  <c:v>42085.083333333336</c:v>
                </c:pt>
                <c:pt idx="448">
                  <c:v>42086.083333333336</c:v>
                </c:pt>
                <c:pt idx="449">
                  <c:v>42087.083333333336</c:v>
                </c:pt>
                <c:pt idx="450">
                  <c:v>42088.083333333336</c:v>
                </c:pt>
                <c:pt idx="451">
                  <c:v>42089.083333333336</c:v>
                </c:pt>
                <c:pt idx="452">
                  <c:v>42090.083333333336</c:v>
                </c:pt>
                <c:pt idx="453">
                  <c:v>42091.083333333336</c:v>
                </c:pt>
                <c:pt idx="454">
                  <c:v>42092.083333333336</c:v>
                </c:pt>
                <c:pt idx="455">
                  <c:v>42093.083333333336</c:v>
                </c:pt>
                <c:pt idx="456">
                  <c:v>42094.083333333336</c:v>
                </c:pt>
                <c:pt idx="457">
                  <c:v>42095.083333333336</c:v>
                </c:pt>
                <c:pt idx="458">
                  <c:v>42096.083333333336</c:v>
                </c:pt>
                <c:pt idx="459">
                  <c:v>42097.083333333336</c:v>
                </c:pt>
                <c:pt idx="460">
                  <c:v>42098.083333333336</c:v>
                </c:pt>
                <c:pt idx="461">
                  <c:v>42099.083333333336</c:v>
                </c:pt>
                <c:pt idx="462">
                  <c:v>42100.083333333336</c:v>
                </c:pt>
                <c:pt idx="463">
                  <c:v>42101.083333333336</c:v>
                </c:pt>
                <c:pt idx="464">
                  <c:v>42102.083333333336</c:v>
                </c:pt>
                <c:pt idx="465">
                  <c:v>42103.083333333336</c:v>
                </c:pt>
                <c:pt idx="466">
                  <c:v>42104.083333333336</c:v>
                </c:pt>
                <c:pt idx="467">
                  <c:v>42105.083333333336</c:v>
                </c:pt>
                <c:pt idx="468">
                  <c:v>42106.083333333336</c:v>
                </c:pt>
                <c:pt idx="469">
                  <c:v>42107.083333333336</c:v>
                </c:pt>
                <c:pt idx="470">
                  <c:v>42108.083333333336</c:v>
                </c:pt>
                <c:pt idx="471">
                  <c:v>42109.083333333336</c:v>
                </c:pt>
                <c:pt idx="472">
                  <c:v>42110.083333333336</c:v>
                </c:pt>
                <c:pt idx="473">
                  <c:v>42111.083333333336</c:v>
                </c:pt>
                <c:pt idx="474">
                  <c:v>42112.083333333336</c:v>
                </c:pt>
                <c:pt idx="475">
                  <c:v>42113.083333333336</c:v>
                </c:pt>
                <c:pt idx="476">
                  <c:v>42114.083333333336</c:v>
                </c:pt>
                <c:pt idx="477">
                  <c:v>42115.083333333336</c:v>
                </c:pt>
                <c:pt idx="478">
                  <c:v>42116.083333333336</c:v>
                </c:pt>
                <c:pt idx="479">
                  <c:v>42117.083333333336</c:v>
                </c:pt>
                <c:pt idx="480">
                  <c:v>42118.083333333336</c:v>
                </c:pt>
                <c:pt idx="481">
                  <c:v>42119.083333333336</c:v>
                </c:pt>
                <c:pt idx="482">
                  <c:v>42120.083333333336</c:v>
                </c:pt>
                <c:pt idx="483">
                  <c:v>42121.083333333336</c:v>
                </c:pt>
                <c:pt idx="484">
                  <c:v>42122.083333333336</c:v>
                </c:pt>
                <c:pt idx="485">
                  <c:v>42123.083333333336</c:v>
                </c:pt>
                <c:pt idx="486">
                  <c:v>42124.083333333336</c:v>
                </c:pt>
                <c:pt idx="487">
                  <c:v>42125.083333333336</c:v>
                </c:pt>
                <c:pt idx="488">
                  <c:v>42126.083333333336</c:v>
                </c:pt>
                <c:pt idx="489">
                  <c:v>42127.083333333336</c:v>
                </c:pt>
                <c:pt idx="490">
                  <c:v>42128.083333333336</c:v>
                </c:pt>
                <c:pt idx="491">
                  <c:v>42129.083333333336</c:v>
                </c:pt>
                <c:pt idx="492">
                  <c:v>42130.083333333336</c:v>
                </c:pt>
                <c:pt idx="493">
                  <c:v>42131.083333333336</c:v>
                </c:pt>
                <c:pt idx="494">
                  <c:v>42132.083333333336</c:v>
                </c:pt>
                <c:pt idx="495">
                  <c:v>42133.083333333336</c:v>
                </c:pt>
                <c:pt idx="496">
                  <c:v>42134.083333333336</c:v>
                </c:pt>
                <c:pt idx="497">
                  <c:v>42135.083333333336</c:v>
                </c:pt>
                <c:pt idx="498">
                  <c:v>42136.083333333336</c:v>
                </c:pt>
                <c:pt idx="499">
                  <c:v>42137.083333333336</c:v>
                </c:pt>
                <c:pt idx="500">
                  <c:v>42138.083333333336</c:v>
                </c:pt>
                <c:pt idx="501">
                  <c:v>42139.083333333336</c:v>
                </c:pt>
                <c:pt idx="502">
                  <c:v>42140.083333333336</c:v>
                </c:pt>
                <c:pt idx="503">
                  <c:v>42141.083333333336</c:v>
                </c:pt>
                <c:pt idx="504">
                  <c:v>42142.083333333336</c:v>
                </c:pt>
                <c:pt idx="505">
                  <c:v>42143.083333333336</c:v>
                </c:pt>
                <c:pt idx="506">
                  <c:v>42144.083333333336</c:v>
                </c:pt>
                <c:pt idx="507">
                  <c:v>42145.083333333336</c:v>
                </c:pt>
                <c:pt idx="508">
                  <c:v>42146.083333333336</c:v>
                </c:pt>
                <c:pt idx="509">
                  <c:v>42147.083333333336</c:v>
                </c:pt>
                <c:pt idx="510">
                  <c:v>42148.083333333336</c:v>
                </c:pt>
                <c:pt idx="511">
                  <c:v>42149.083333333336</c:v>
                </c:pt>
                <c:pt idx="512">
                  <c:v>42150.083333333336</c:v>
                </c:pt>
                <c:pt idx="513">
                  <c:v>42151.083333333336</c:v>
                </c:pt>
                <c:pt idx="514">
                  <c:v>42152.083333333336</c:v>
                </c:pt>
                <c:pt idx="515">
                  <c:v>42153.083333333336</c:v>
                </c:pt>
                <c:pt idx="516">
                  <c:v>42154.083333333336</c:v>
                </c:pt>
                <c:pt idx="517">
                  <c:v>42155.083333333336</c:v>
                </c:pt>
                <c:pt idx="518">
                  <c:v>42156.083333333336</c:v>
                </c:pt>
                <c:pt idx="519">
                  <c:v>42157.083333333336</c:v>
                </c:pt>
                <c:pt idx="520">
                  <c:v>42158.083333333336</c:v>
                </c:pt>
                <c:pt idx="521">
                  <c:v>42159.083333333336</c:v>
                </c:pt>
                <c:pt idx="522">
                  <c:v>42160.083333333336</c:v>
                </c:pt>
                <c:pt idx="523">
                  <c:v>42161.083333333336</c:v>
                </c:pt>
                <c:pt idx="524">
                  <c:v>42162.083333333336</c:v>
                </c:pt>
                <c:pt idx="525">
                  <c:v>42163.083333333336</c:v>
                </c:pt>
                <c:pt idx="526">
                  <c:v>42164.083333333336</c:v>
                </c:pt>
                <c:pt idx="527">
                  <c:v>42165.083333333336</c:v>
                </c:pt>
                <c:pt idx="528">
                  <c:v>42166.083333333336</c:v>
                </c:pt>
                <c:pt idx="529">
                  <c:v>42167.083333333336</c:v>
                </c:pt>
                <c:pt idx="530">
                  <c:v>42168.083333333336</c:v>
                </c:pt>
                <c:pt idx="531">
                  <c:v>42169.083333333336</c:v>
                </c:pt>
                <c:pt idx="532">
                  <c:v>42170.083333333336</c:v>
                </c:pt>
                <c:pt idx="533">
                  <c:v>42171.083333333336</c:v>
                </c:pt>
                <c:pt idx="534">
                  <c:v>42172.083333333336</c:v>
                </c:pt>
                <c:pt idx="535">
                  <c:v>42173.083333333336</c:v>
                </c:pt>
                <c:pt idx="536">
                  <c:v>42174.083333333336</c:v>
                </c:pt>
                <c:pt idx="537">
                  <c:v>42175.083333333336</c:v>
                </c:pt>
                <c:pt idx="538">
                  <c:v>42176.083333333336</c:v>
                </c:pt>
                <c:pt idx="539">
                  <c:v>42177.083333333336</c:v>
                </c:pt>
                <c:pt idx="540">
                  <c:v>42178.083333333336</c:v>
                </c:pt>
                <c:pt idx="541">
                  <c:v>42179.083333333336</c:v>
                </c:pt>
                <c:pt idx="542">
                  <c:v>42180.083333333336</c:v>
                </c:pt>
                <c:pt idx="543">
                  <c:v>42181.083333333336</c:v>
                </c:pt>
                <c:pt idx="544">
                  <c:v>42182.083333333336</c:v>
                </c:pt>
                <c:pt idx="545">
                  <c:v>42183.083333333336</c:v>
                </c:pt>
                <c:pt idx="546">
                  <c:v>42184.083333333336</c:v>
                </c:pt>
                <c:pt idx="547">
                  <c:v>42185.083333333336</c:v>
                </c:pt>
                <c:pt idx="548">
                  <c:v>42186.083333333336</c:v>
                </c:pt>
                <c:pt idx="549">
                  <c:v>42187.083333333336</c:v>
                </c:pt>
                <c:pt idx="550">
                  <c:v>42188.083333333336</c:v>
                </c:pt>
                <c:pt idx="551">
                  <c:v>42189.083333333336</c:v>
                </c:pt>
                <c:pt idx="552">
                  <c:v>42190.083333333336</c:v>
                </c:pt>
                <c:pt idx="553">
                  <c:v>42191.083333333336</c:v>
                </c:pt>
                <c:pt idx="554">
                  <c:v>42192.083333333336</c:v>
                </c:pt>
                <c:pt idx="555">
                  <c:v>42193.083333333336</c:v>
                </c:pt>
                <c:pt idx="556">
                  <c:v>42194.083333333336</c:v>
                </c:pt>
                <c:pt idx="557">
                  <c:v>42195.083333333336</c:v>
                </c:pt>
                <c:pt idx="558">
                  <c:v>42196.083333333336</c:v>
                </c:pt>
                <c:pt idx="559">
                  <c:v>42197.083333333336</c:v>
                </c:pt>
                <c:pt idx="560">
                  <c:v>42198.083333333336</c:v>
                </c:pt>
                <c:pt idx="561">
                  <c:v>42199.083333333336</c:v>
                </c:pt>
                <c:pt idx="562">
                  <c:v>42200.083333333336</c:v>
                </c:pt>
                <c:pt idx="563">
                  <c:v>42201.083333333336</c:v>
                </c:pt>
                <c:pt idx="564">
                  <c:v>42202.083333333336</c:v>
                </c:pt>
                <c:pt idx="565">
                  <c:v>42203.083333333336</c:v>
                </c:pt>
                <c:pt idx="566">
                  <c:v>42204.083333333336</c:v>
                </c:pt>
                <c:pt idx="567">
                  <c:v>42205.083333333336</c:v>
                </c:pt>
                <c:pt idx="568">
                  <c:v>42206.083333333336</c:v>
                </c:pt>
                <c:pt idx="569">
                  <c:v>42207.083333333336</c:v>
                </c:pt>
                <c:pt idx="570">
                  <c:v>42208.083333333336</c:v>
                </c:pt>
                <c:pt idx="571">
                  <c:v>42209.083333333336</c:v>
                </c:pt>
                <c:pt idx="572">
                  <c:v>42210.083333333336</c:v>
                </c:pt>
                <c:pt idx="573">
                  <c:v>42211.083333333336</c:v>
                </c:pt>
                <c:pt idx="574">
                  <c:v>42212.083333333336</c:v>
                </c:pt>
                <c:pt idx="575">
                  <c:v>42213.083333333336</c:v>
                </c:pt>
                <c:pt idx="576">
                  <c:v>42214.083333333336</c:v>
                </c:pt>
                <c:pt idx="577">
                  <c:v>42215.083333333336</c:v>
                </c:pt>
                <c:pt idx="578">
                  <c:v>42216.083333333336</c:v>
                </c:pt>
                <c:pt idx="579">
                  <c:v>42217.083333333336</c:v>
                </c:pt>
                <c:pt idx="580">
                  <c:v>42218.083333333336</c:v>
                </c:pt>
                <c:pt idx="581">
                  <c:v>42219.083333333336</c:v>
                </c:pt>
                <c:pt idx="582">
                  <c:v>42220.083333333336</c:v>
                </c:pt>
                <c:pt idx="583">
                  <c:v>42221.083333333336</c:v>
                </c:pt>
                <c:pt idx="584">
                  <c:v>42222.083333333336</c:v>
                </c:pt>
                <c:pt idx="585">
                  <c:v>42223.083333333336</c:v>
                </c:pt>
                <c:pt idx="586">
                  <c:v>42224.083333333336</c:v>
                </c:pt>
                <c:pt idx="587">
                  <c:v>42225.083333333336</c:v>
                </c:pt>
                <c:pt idx="588">
                  <c:v>42226.083333333336</c:v>
                </c:pt>
                <c:pt idx="589">
                  <c:v>42227.083333333336</c:v>
                </c:pt>
                <c:pt idx="590">
                  <c:v>42228.083333333336</c:v>
                </c:pt>
                <c:pt idx="591">
                  <c:v>42229.083333333336</c:v>
                </c:pt>
                <c:pt idx="592">
                  <c:v>42230.083333333336</c:v>
                </c:pt>
                <c:pt idx="593">
                  <c:v>42231.083333333336</c:v>
                </c:pt>
                <c:pt idx="594">
                  <c:v>42232.083333333336</c:v>
                </c:pt>
                <c:pt idx="595">
                  <c:v>42233.083333333336</c:v>
                </c:pt>
                <c:pt idx="596">
                  <c:v>42234.083333333336</c:v>
                </c:pt>
                <c:pt idx="597">
                  <c:v>42235.083333333336</c:v>
                </c:pt>
                <c:pt idx="598">
                  <c:v>42236.083333333336</c:v>
                </c:pt>
                <c:pt idx="599">
                  <c:v>42237.083333333336</c:v>
                </c:pt>
                <c:pt idx="600">
                  <c:v>42238.083333333336</c:v>
                </c:pt>
                <c:pt idx="601">
                  <c:v>42239.083333333336</c:v>
                </c:pt>
                <c:pt idx="602">
                  <c:v>42240.083333333336</c:v>
                </c:pt>
                <c:pt idx="603">
                  <c:v>42241.083333333336</c:v>
                </c:pt>
                <c:pt idx="604">
                  <c:v>42242.083333333336</c:v>
                </c:pt>
                <c:pt idx="605">
                  <c:v>42243.083333333336</c:v>
                </c:pt>
                <c:pt idx="606">
                  <c:v>42244.083333333336</c:v>
                </c:pt>
                <c:pt idx="607">
                  <c:v>42245.083333333336</c:v>
                </c:pt>
                <c:pt idx="608">
                  <c:v>42246.083333333336</c:v>
                </c:pt>
                <c:pt idx="609">
                  <c:v>42247.083333333336</c:v>
                </c:pt>
                <c:pt idx="610">
                  <c:v>42248.083333333336</c:v>
                </c:pt>
                <c:pt idx="611">
                  <c:v>42249.083333333336</c:v>
                </c:pt>
                <c:pt idx="612">
                  <c:v>42250.083333333336</c:v>
                </c:pt>
                <c:pt idx="613">
                  <c:v>42251.083333333336</c:v>
                </c:pt>
                <c:pt idx="614">
                  <c:v>42252.083333333336</c:v>
                </c:pt>
                <c:pt idx="615">
                  <c:v>42253.083333333336</c:v>
                </c:pt>
                <c:pt idx="616">
                  <c:v>42254.083333333336</c:v>
                </c:pt>
                <c:pt idx="617">
                  <c:v>42255.083333333336</c:v>
                </c:pt>
                <c:pt idx="618">
                  <c:v>42256.083333333336</c:v>
                </c:pt>
                <c:pt idx="619">
                  <c:v>42257.083333333336</c:v>
                </c:pt>
                <c:pt idx="620">
                  <c:v>42258.083333333336</c:v>
                </c:pt>
                <c:pt idx="621">
                  <c:v>42259.083333333336</c:v>
                </c:pt>
                <c:pt idx="622">
                  <c:v>42260.083333333336</c:v>
                </c:pt>
                <c:pt idx="623">
                  <c:v>42261.083333333336</c:v>
                </c:pt>
                <c:pt idx="624">
                  <c:v>42262.083333333336</c:v>
                </c:pt>
                <c:pt idx="625">
                  <c:v>42263.083333333336</c:v>
                </c:pt>
                <c:pt idx="626">
                  <c:v>42264.083333333336</c:v>
                </c:pt>
                <c:pt idx="627">
                  <c:v>42265.083333333336</c:v>
                </c:pt>
                <c:pt idx="628">
                  <c:v>42266.083333333336</c:v>
                </c:pt>
                <c:pt idx="629">
                  <c:v>42267.083333333336</c:v>
                </c:pt>
                <c:pt idx="630">
                  <c:v>42268.083333333336</c:v>
                </c:pt>
                <c:pt idx="631">
                  <c:v>42269.083333333336</c:v>
                </c:pt>
                <c:pt idx="632">
                  <c:v>42270.083333333336</c:v>
                </c:pt>
                <c:pt idx="633">
                  <c:v>42271.083333333336</c:v>
                </c:pt>
                <c:pt idx="634">
                  <c:v>42272.083333333336</c:v>
                </c:pt>
                <c:pt idx="635">
                  <c:v>42273.083333333336</c:v>
                </c:pt>
                <c:pt idx="636">
                  <c:v>42274.083333333336</c:v>
                </c:pt>
                <c:pt idx="637">
                  <c:v>42275.083333333336</c:v>
                </c:pt>
                <c:pt idx="638">
                  <c:v>42276.083333333336</c:v>
                </c:pt>
                <c:pt idx="639">
                  <c:v>42277.083333333336</c:v>
                </c:pt>
                <c:pt idx="640">
                  <c:v>42278.083333333336</c:v>
                </c:pt>
                <c:pt idx="641">
                  <c:v>42279.083333333336</c:v>
                </c:pt>
                <c:pt idx="642">
                  <c:v>42280.083333333336</c:v>
                </c:pt>
                <c:pt idx="643">
                  <c:v>42281.083333333336</c:v>
                </c:pt>
                <c:pt idx="644">
                  <c:v>42282.083333333336</c:v>
                </c:pt>
                <c:pt idx="645">
                  <c:v>42283.083333333336</c:v>
                </c:pt>
                <c:pt idx="646">
                  <c:v>42284.083333333336</c:v>
                </c:pt>
                <c:pt idx="647">
                  <c:v>42285.083333333336</c:v>
                </c:pt>
                <c:pt idx="648">
                  <c:v>42286.083333333336</c:v>
                </c:pt>
                <c:pt idx="649">
                  <c:v>42287.083333333336</c:v>
                </c:pt>
                <c:pt idx="650">
                  <c:v>42288.083333333336</c:v>
                </c:pt>
                <c:pt idx="651">
                  <c:v>42289.083333333336</c:v>
                </c:pt>
                <c:pt idx="652">
                  <c:v>42290.083333333336</c:v>
                </c:pt>
                <c:pt idx="653">
                  <c:v>42291.083333333336</c:v>
                </c:pt>
                <c:pt idx="654">
                  <c:v>42292.083333333336</c:v>
                </c:pt>
                <c:pt idx="655">
                  <c:v>42293.083333333336</c:v>
                </c:pt>
                <c:pt idx="656">
                  <c:v>42294.083333333336</c:v>
                </c:pt>
                <c:pt idx="657">
                  <c:v>42295.083333333336</c:v>
                </c:pt>
                <c:pt idx="658">
                  <c:v>42296.083333333336</c:v>
                </c:pt>
                <c:pt idx="659">
                  <c:v>42297.083333333336</c:v>
                </c:pt>
                <c:pt idx="660">
                  <c:v>42298.083333333336</c:v>
                </c:pt>
                <c:pt idx="661">
                  <c:v>42299.083333333336</c:v>
                </c:pt>
                <c:pt idx="662">
                  <c:v>42300.083333333336</c:v>
                </c:pt>
                <c:pt idx="663">
                  <c:v>42301.083333333336</c:v>
                </c:pt>
                <c:pt idx="664">
                  <c:v>42302.083333333336</c:v>
                </c:pt>
                <c:pt idx="665">
                  <c:v>42303.083333333336</c:v>
                </c:pt>
                <c:pt idx="666">
                  <c:v>42304.083333333336</c:v>
                </c:pt>
                <c:pt idx="667">
                  <c:v>42305.083333333336</c:v>
                </c:pt>
                <c:pt idx="668">
                  <c:v>42306.083333333336</c:v>
                </c:pt>
                <c:pt idx="669">
                  <c:v>42307.083333333336</c:v>
                </c:pt>
                <c:pt idx="670">
                  <c:v>42308.083333333336</c:v>
                </c:pt>
                <c:pt idx="671">
                  <c:v>42309.083333333336</c:v>
                </c:pt>
                <c:pt idx="672">
                  <c:v>42310.083333333336</c:v>
                </c:pt>
                <c:pt idx="673">
                  <c:v>42311.083333333336</c:v>
                </c:pt>
                <c:pt idx="674">
                  <c:v>42312.083333333336</c:v>
                </c:pt>
                <c:pt idx="675">
                  <c:v>42313.083333333336</c:v>
                </c:pt>
                <c:pt idx="676">
                  <c:v>42314.083333333336</c:v>
                </c:pt>
                <c:pt idx="677">
                  <c:v>42315.083333333336</c:v>
                </c:pt>
                <c:pt idx="678">
                  <c:v>42316.083333333336</c:v>
                </c:pt>
                <c:pt idx="679">
                  <c:v>42317.083333333336</c:v>
                </c:pt>
                <c:pt idx="680">
                  <c:v>42318.083333333336</c:v>
                </c:pt>
                <c:pt idx="681">
                  <c:v>42319.083333333336</c:v>
                </c:pt>
                <c:pt idx="682">
                  <c:v>42320.083333333336</c:v>
                </c:pt>
                <c:pt idx="683">
                  <c:v>42321.083333333336</c:v>
                </c:pt>
                <c:pt idx="684">
                  <c:v>42322.083333333336</c:v>
                </c:pt>
                <c:pt idx="685">
                  <c:v>42323.083333333336</c:v>
                </c:pt>
                <c:pt idx="686">
                  <c:v>42324.083333333336</c:v>
                </c:pt>
                <c:pt idx="687">
                  <c:v>42325.083333333336</c:v>
                </c:pt>
                <c:pt idx="688">
                  <c:v>42326.083333333336</c:v>
                </c:pt>
                <c:pt idx="689">
                  <c:v>42327.083333333336</c:v>
                </c:pt>
                <c:pt idx="690">
                  <c:v>42328.083333333336</c:v>
                </c:pt>
                <c:pt idx="691">
                  <c:v>42329.083333333336</c:v>
                </c:pt>
                <c:pt idx="692">
                  <c:v>42330.083333333336</c:v>
                </c:pt>
                <c:pt idx="693">
                  <c:v>42331.083333333336</c:v>
                </c:pt>
                <c:pt idx="694">
                  <c:v>42332.083333333336</c:v>
                </c:pt>
                <c:pt idx="695">
                  <c:v>42333.083333333336</c:v>
                </c:pt>
                <c:pt idx="696">
                  <c:v>42334.083333333336</c:v>
                </c:pt>
                <c:pt idx="697">
                  <c:v>42335.083333333336</c:v>
                </c:pt>
                <c:pt idx="698">
                  <c:v>42336.083333333336</c:v>
                </c:pt>
                <c:pt idx="699">
                  <c:v>42337.083333333336</c:v>
                </c:pt>
                <c:pt idx="700">
                  <c:v>42338.083333333336</c:v>
                </c:pt>
                <c:pt idx="701">
                  <c:v>42339.083333333336</c:v>
                </c:pt>
                <c:pt idx="702">
                  <c:v>42340.083333333336</c:v>
                </c:pt>
                <c:pt idx="703">
                  <c:v>42341.083333333336</c:v>
                </c:pt>
                <c:pt idx="704">
                  <c:v>42342.083333333336</c:v>
                </c:pt>
                <c:pt idx="705">
                  <c:v>42343.083333333336</c:v>
                </c:pt>
                <c:pt idx="706">
                  <c:v>42344.083333333336</c:v>
                </c:pt>
                <c:pt idx="707">
                  <c:v>42345.083333333336</c:v>
                </c:pt>
                <c:pt idx="708">
                  <c:v>42346.083333333336</c:v>
                </c:pt>
                <c:pt idx="709">
                  <c:v>42347.083333333336</c:v>
                </c:pt>
                <c:pt idx="710">
                  <c:v>42348.083333333336</c:v>
                </c:pt>
                <c:pt idx="711">
                  <c:v>42349.083333333336</c:v>
                </c:pt>
                <c:pt idx="712">
                  <c:v>42350.083333333336</c:v>
                </c:pt>
                <c:pt idx="713">
                  <c:v>42351.083333333336</c:v>
                </c:pt>
                <c:pt idx="714">
                  <c:v>42352.083333333336</c:v>
                </c:pt>
                <c:pt idx="715">
                  <c:v>42353.083333333336</c:v>
                </c:pt>
                <c:pt idx="716">
                  <c:v>42354.083333333336</c:v>
                </c:pt>
                <c:pt idx="717">
                  <c:v>42355.083333333336</c:v>
                </c:pt>
                <c:pt idx="718">
                  <c:v>42356.083333333336</c:v>
                </c:pt>
                <c:pt idx="719">
                  <c:v>42357.083333333336</c:v>
                </c:pt>
                <c:pt idx="720">
                  <c:v>42358.083333333336</c:v>
                </c:pt>
                <c:pt idx="721">
                  <c:v>42359.083333333336</c:v>
                </c:pt>
                <c:pt idx="722">
                  <c:v>42360.083333333336</c:v>
                </c:pt>
                <c:pt idx="723">
                  <c:v>42361.083333333336</c:v>
                </c:pt>
                <c:pt idx="724">
                  <c:v>42362.083333333336</c:v>
                </c:pt>
                <c:pt idx="725">
                  <c:v>42363.083333333336</c:v>
                </c:pt>
                <c:pt idx="726">
                  <c:v>42364.083333333336</c:v>
                </c:pt>
                <c:pt idx="727">
                  <c:v>42365.083333333336</c:v>
                </c:pt>
                <c:pt idx="728">
                  <c:v>42366.083333333336</c:v>
                </c:pt>
                <c:pt idx="729">
                  <c:v>42367.083333333336</c:v>
                </c:pt>
                <c:pt idx="730">
                  <c:v>42368.083333333336</c:v>
                </c:pt>
                <c:pt idx="731">
                  <c:v>42369.083333333336</c:v>
                </c:pt>
                <c:pt idx="732">
                  <c:v>42370.083333333336</c:v>
                </c:pt>
                <c:pt idx="733">
                  <c:v>42371.083333333336</c:v>
                </c:pt>
                <c:pt idx="734">
                  <c:v>42372.083333333336</c:v>
                </c:pt>
                <c:pt idx="735">
                  <c:v>42373.083333333336</c:v>
                </c:pt>
                <c:pt idx="736">
                  <c:v>42374.083333333336</c:v>
                </c:pt>
                <c:pt idx="737">
                  <c:v>42375.083333333336</c:v>
                </c:pt>
                <c:pt idx="738">
                  <c:v>42376.083333333336</c:v>
                </c:pt>
                <c:pt idx="739">
                  <c:v>42377.083333333336</c:v>
                </c:pt>
                <c:pt idx="740">
                  <c:v>42378.083333333336</c:v>
                </c:pt>
                <c:pt idx="741">
                  <c:v>42379.083333333336</c:v>
                </c:pt>
                <c:pt idx="742">
                  <c:v>42380.083333333336</c:v>
                </c:pt>
                <c:pt idx="743">
                  <c:v>42381.083333333336</c:v>
                </c:pt>
                <c:pt idx="744">
                  <c:v>42382.083333333336</c:v>
                </c:pt>
                <c:pt idx="745">
                  <c:v>42383.083333333336</c:v>
                </c:pt>
                <c:pt idx="746">
                  <c:v>42384.083333333336</c:v>
                </c:pt>
                <c:pt idx="747">
                  <c:v>42385.083333333336</c:v>
                </c:pt>
                <c:pt idx="748">
                  <c:v>42386.083333333336</c:v>
                </c:pt>
                <c:pt idx="749">
                  <c:v>42387.083333333336</c:v>
                </c:pt>
                <c:pt idx="750">
                  <c:v>42388.083333333336</c:v>
                </c:pt>
                <c:pt idx="751">
                  <c:v>42389.083333333336</c:v>
                </c:pt>
                <c:pt idx="752">
                  <c:v>42390.083333333336</c:v>
                </c:pt>
                <c:pt idx="753">
                  <c:v>42391.083333333336</c:v>
                </c:pt>
                <c:pt idx="754">
                  <c:v>42392.083333333336</c:v>
                </c:pt>
                <c:pt idx="755">
                  <c:v>42393.083333333336</c:v>
                </c:pt>
                <c:pt idx="756">
                  <c:v>42394.083333333336</c:v>
                </c:pt>
                <c:pt idx="757">
                  <c:v>42395.083333333336</c:v>
                </c:pt>
                <c:pt idx="758">
                  <c:v>42396.083333333336</c:v>
                </c:pt>
                <c:pt idx="759">
                  <c:v>42397.083333333336</c:v>
                </c:pt>
                <c:pt idx="760">
                  <c:v>42398.083333333336</c:v>
                </c:pt>
                <c:pt idx="761">
                  <c:v>42399.083333333336</c:v>
                </c:pt>
                <c:pt idx="762">
                  <c:v>42400.083333333336</c:v>
                </c:pt>
                <c:pt idx="763">
                  <c:v>42401.083333333336</c:v>
                </c:pt>
                <c:pt idx="764">
                  <c:v>42402.083333333336</c:v>
                </c:pt>
                <c:pt idx="765">
                  <c:v>42403.083333333336</c:v>
                </c:pt>
                <c:pt idx="766">
                  <c:v>42404.083333333336</c:v>
                </c:pt>
                <c:pt idx="767">
                  <c:v>42405.083333333336</c:v>
                </c:pt>
                <c:pt idx="768">
                  <c:v>42406.083333333336</c:v>
                </c:pt>
                <c:pt idx="769">
                  <c:v>42407.083333333336</c:v>
                </c:pt>
                <c:pt idx="770">
                  <c:v>42408.083333333336</c:v>
                </c:pt>
                <c:pt idx="771">
                  <c:v>42409.083333333336</c:v>
                </c:pt>
                <c:pt idx="772">
                  <c:v>42410.083333333336</c:v>
                </c:pt>
                <c:pt idx="773">
                  <c:v>42411.083333333336</c:v>
                </c:pt>
                <c:pt idx="774">
                  <c:v>42412.083333333336</c:v>
                </c:pt>
                <c:pt idx="775">
                  <c:v>42413.083333333336</c:v>
                </c:pt>
                <c:pt idx="776">
                  <c:v>42414.083333333336</c:v>
                </c:pt>
                <c:pt idx="777">
                  <c:v>42415.083333333336</c:v>
                </c:pt>
                <c:pt idx="778">
                  <c:v>42416.083333333336</c:v>
                </c:pt>
                <c:pt idx="779">
                  <c:v>42417.083333333336</c:v>
                </c:pt>
                <c:pt idx="780">
                  <c:v>42418.083333333336</c:v>
                </c:pt>
                <c:pt idx="781">
                  <c:v>42419.083333333336</c:v>
                </c:pt>
                <c:pt idx="782">
                  <c:v>42420.083333333336</c:v>
                </c:pt>
                <c:pt idx="783">
                  <c:v>42421.083333333336</c:v>
                </c:pt>
                <c:pt idx="784">
                  <c:v>42422.083333333336</c:v>
                </c:pt>
                <c:pt idx="785">
                  <c:v>42423.083333333336</c:v>
                </c:pt>
                <c:pt idx="786">
                  <c:v>42424.083333333336</c:v>
                </c:pt>
                <c:pt idx="787">
                  <c:v>42425.083333333336</c:v>
                </c:pt>
                <c:pt idx="788">
                  <c:v>42426.083333333336</c:v>
                </c:pt>
                <c:pt idx="789">
                  <c:v>42427.083333333336</c:v>
                </c:pt>
                <c:pt idx="790">
                  <c:v>42428.083333333336</c:v>
                </c:pt>
                <c:pt idx="791">
                  <c:v>42429.083333333336</c:v>
                </c:pt>
                <c:pt idx="792">
                  <c:v>42430.083333333336</c:v>
                </c:pt>
                <c:pt idx="793">
                  <c:v>42431.083333333336</c:v>
                </c:pt>
                <c:pt idx="794">
                  <c:v>42432.083333333336</c:v>
                </c:pt>
                <c:pt idx="795">
                  <c:v>42433.083333333336</c:v>
                </c:pt>
                <c:pt idx="796">
                  <c:v>42434.083333333336</c:v>
                </c:pt>
                <c:pt idx="797">
                  <c:v>42435.083333333336</c:v>
                </c:pt>
                <c:pt idx="798">
                  <c:v>42436.083333333336</c:v>
                </c:pt>
                <c:pt idx="799">
                  <c:v>42437.083333333336</c:v>
                </c:pt>
                <c:pt idx="800">
                  <c:v>42438.083333333336</c:v>
                </c:pt>
                <c:pt idx="801">
                  <c:v>42439.083333333336</c:v>
                </c:pt>
                <c:pt idx="802">
                  <c:v>42440.083333333336</c:v>
                </c:pt>
                <c:pt idx="803">
                  <c:v>42441.083333333336</c:v>
                </c:pt>
                <c:pt idx="804">
                  <c:v>42442.083333333336</c:v>
                </c:pt>
                <c:pt idx="805">
                  <c:v>42443.083333333336</c:v>
                </c:pt>
                <c:pt idx="806">
                  <c:v>42444.083333333336</c:v>
                </c:pt>
                <c:pt idx="807">
                  <c:v>42445.083333333336</c:v>
                </c:pt>
                <c:pt idx="808">
                  <c:v>42446.083333333336</c:v>
                </c:pt>
                <c:pt idx="809">
                  <c:v>42447.083333333336</c:v>
                </c:pt>
                <c:pt idx="810">
                  <c:v>42448.083333333336</c:v>
                </c:pt>
                <c:pt idx="811">
                  <c:v>42449.083333333336</c:v>
                </c:pt>
                <c:pt idx="812">
                  <c:v>42450.083333333336</c:v>
                </c:pt>
                <c:pt idx="813">
                  <c:v>42451.083333333336</c:v>
                </c:pt>
                <c:pt idx="814">
                  <c:v>42452.083333333336</c:v>
                </c:pt>
                <c:pt idx="815">
                  <c:v>42453.083333333336</c:v>
                </c:pt>
                <c:pt idx="816">
                  <c:v>42454.083333333336</c:v>
                </c:pt>
                <c:pt idx="817">
                  <c:v>42455.083333333336</c:v>
                </c:pt>
                <c:pt idx="818">
                  <c:v>42456.083333333336</c:v>
                </c:pt>
                <c:pt idx="819">
                  <c:v>42457.083333333336</c:v>
                </c:pt>
                <c:pt idx="820">
                  <c:v>42458.083333333336</c:v>
                </c:pt>
                <c:pt idx="821">
                  <c:v>42459.083333333336</c:v>
                </c:pt>
                <c:pt idx="822">
                  <c:v>42460.083333333336</c:v>
                </c:pt>
                <c:pt idx="823">
                  <c:v>42461.083333333336</c:v>
                </c:pt>
                <c:pt idx="824">
                  <c:v>42462.083333333336</c:v>
                </c:pt>
                <c:pt idx="825">
                  <c:v>42463.083333333336</c:v>
                </c:pt>
                <c:pt idx="826">
                  <c:v>42464.083333333336</c:v>
                </c:pt>
                <c:pt idx="827">
                  <c:v>42465.083333333336</c:v>
                </c:pt>
                <c:pt idx="828">
                  <c:v>42466.083333333336</c:v>
                </c:pt>
                <c:pt idx="829">
                  <c:v>42467.083333333336</c:v>
                </c:pt>
                <c:pt idx="830">
                  <c:v>42468.083333333336</c:v>
                </c:pt>
                <c:pt idx="831">
                  <c:v>42469.083333333336</c:v>
                </c:pt>
                <c:pt idx="832">
                  <c:v>42470.083333333336</c:v>
                </c:pt>
                <c:pt idx="833">
                  <c:v>42471.083333333336</c:v>
                </c:pt>
                <c:pt idx="834">
                  <c:v>42472.083333333336</c:v>
                </c:pt>
                <c:pt idx="835">
                  <c:v>42473.083333333336</c:v>
                </c:pt>
                <c:pt idx="836">
                  <c:v>42474.083333333336</c:v>
                </c:pt>
                <c:pt idx="837">
                  <c:v>42475.083333333336</c:v>
                </c:pt>
                <c:pt idx="838">
                  <c:v>42476.083333333336</c:v>
                </c:pt>
                <c:pt idx="839">
                  <c:v>42477.083333333336</c:v>
                </c:pt>
                <c:pt idx="840">
                  <c:v>42478.083333333336</c:v>
                </c:pt>
                <c:pt idx="841">
                  <c:v>42479.083333333336</c:v>
                </c:pt>
                <c:pt idx="842">
                  <c:v>42480.083333333336</c:v>
                </c:pt>
                <c:pt idx="843">
                  <c:v>42481.083333333336</c:v>
                </c:pt>
                <c:pt idx="844">
                  <c:v>42482.083333333336</c:v>
                </c:pt>
                <c:pt idx="845">
                  <c:v>42483.083333333336</c:v>
                </c:pt>
                <c:pt idx="846">
                  <c:v>42484.083333333336</c:v>
                </c:pt>
                <c:pt idx="847">
                  <c:v>42485.083333333336</c:v>
                </c:pt>
                <c:pt idx="848">
                  <c:v>42486.083333333336</c:v>
                </c:pt>
                <c:pt idx="849">
                  <c:v>42487.083333333336</c:v>
                </c:pt>
                <c:pt idx="850">
                  <c:v>42488.083333333336</c:v>
                </c:pt>
                <c:pt idx="851">
                  <c:v>42489.083333333336</c:v>
                </c:pt>
                <c:pt idx="852">
                  <c:v>42490.083333333336</c:v>
                </c:pt>
                <c:pt idx="853">
                  <c:v>42491.083333333336</c:v>
                </c:pt>
                <c:pt idx="854">
                  <c:v>42492.083333333336</c:v>
                </c:pt>
                <c:pt idx="855">
                  <c:v>42493.083333333336</c:v>
                </c:pt>
                <c:pt idx="856">
                  <c:v>42494.083333333336</c:v>
                </c:pt>
                <c:pt idx="857">
                  <c:v>42495.083333333336</c:v>
                </c:pt>
                <c:pt idx="858">
                  <c:v>42496.083333333336</c:v>
                </c:pt>
                <c:pt idx="859">
                  <c:v>42497.083333333336</c:v>
                </c:pt>
                <c:pt idx="860">
                  <c:v>42498.083333333336</c:v>
                </c:pt>
                <c:pt idx="861">
                  <c:v>42499.083333333336</c:v>
                </c:pt>
                <c:pt idx="862">
                  <c:v>42500.083333333336</c:v>
                </c:pt>
                <c:pt idx="863">
                  <c:v>42501.083333333336</c:v>
                </c:pt>
                <c:pt idx="864">
                  <c:v>42502.083333333336</c:v>
                </c:pt>
                <c:pt idx="865">
                  <c:v>42503.083333333336</c:v>
                </c:pt>
                <c:pt idx="866">
                  <c:v>42504.083333333336</c:v>
                </c:pt>
                <c:pt idx="867">
                  <c:v>42505.083333333336</c:v>
                </c:pt>
                <c:pt idx="868">
                  <c:v>42506.083333333336</c:v>
                </c:pt>
                <c:pt idx="869">
                  <c:v>42507.083333333336</c:v>
                </c:pt>
                <c:pt idx="870">
                  <c:v>42508.083333333336</c:v>
                </c:pt>
                <c:pt idx="871">
                  <c:v>42509.083333333336</c:v>
                </c:pt>
                <c:pt idx="872">
                  <c:v>42510.083333333336</c:v>
                </c:pt>
                <c:pt idx="873">
                  <c:v>42511.083333333336</c:v>
                </c:pt>
                <c:pt idx="874">
                  <c:v>42512.083333333336</c:v>
                </c:pt>
                <c:pt idx="875">
                  <c:v>42513.083333333336</c:v>
                </c:pt>
                <c:pt idx="876">
                  <c:v>42514.083333333336</c:v>
                </c:pt>
                <c:pt idx="877">
                  <c:v>42515.083333333336</c:v>
                </c:pt>
                <c:pt idx="878">
                  <c:v>42516.083333333336</c:v>
                </c:pt>
                <c:pt idx="879">
                  <c:v>42517.083333333336</c:v>
                </c:pt>
                <c:pt idx="880">
                  <c:v>42518.083333333336</c:v>
                </c:pt>
                <c:pt idx="881">
                  <c:v>42519.083333333336</c:v>
                </c:pt>
                <c:pt idx="882">
                  <c:v>42520.083333333336</c:v>
                </c:pt>
                <c:pt idx="883">
                  <c:v>42521.083333333336</c:v>
                </c:pt>
                <c:pt idx="884">
                  <c:v>42522.083333333336</c:v>
                </c:pt>
                <c:pt idx="885">
                  <c:v>42523.083333333336</c:v>
                </c:pt>
                <c:pt idx="886">
                  <c:v>42524.083333333336</c:v>
                </c:pt>
                <c:pt idx="887">
                  <c:v>42525.083333333336</c:v>
                </c:pt>
                <c:pt idx="888">
                  <c:v>42526.083333333336</c:v>
                </c:pt>
                <c:pt idx="889">
                  <c:v>42527.083333333336</c:v>
                </c:pt>
                <c:pt idx="890">
                  <c:v>42528.083333333336</c:v>
                </c:pt>
                <c:pt idx="891">
                  <c:v>42529.083333333336</c:v>
                </c:pt>
                <c:pt idx="892">
                  <c:v>42530.083333333336</c:v>
                </c:pt>
                <c:pt idx="893">
                  <c:v>42531.083333333336</c:v>
                </c:pt>
                <c:pt idx="894">
                  <c:v>42532.083333333336</c:v>
                </c:pt>
                <c:pt idx="895">
                  <c:v>42533.083333333336</c:v>
                </c:pt>
                <c:pt idx="896">
                  <c:v>42534.083333333336</c:v>
                </c:pt>
                <c:pt idx="897">
                  <c:v>42535.083333333336</c:v>
                </c:pt>
                <c:pt idx="898">
                  <c:v>42536.083333333336</c:v>
                </c:pt>
                <c:pt idx="899">
                  <c:v>42537.083333333336</c:v>
                </c:pt>
                <c:pt idx="900">
                  <c:v>42538.083333333336</c:v>
                </c:pt>
                <c:pt idx="901">
                  <c:v>42539.083333333336</c:v>
                </c:pt>
                <c:pt idx="902">
                  <c:v>42540.083333333336</c:v>
                </c:pt>
                <c:pt idx="903">
                  <c:v>42541.083333333336</c:v>
                </c:pt>
                <c:pt idx="904">
                  <c:v>42542.083333333336</c:v>
                </c:pt>
                <c:pt idx="905">
                  <c:v>42543.083333333336</c:v>
                </c:pt>
                <c:pt idx="906">
                  <c:v>42544.083333333336</c:v>
                </c:pt>
                <c:pt idx="907">
                  <c:v>42545.083333333336</c:v>
                </c:pt>
                <c:pt idx="908">
                  <c:v>42546.083333333336</c:v>
                </c:pt>
                <c:pt idx="909">
                  <c:v>42547.083333333336</c:v>
                </c:pt>
                <c:pt idx="910">
                  <c:v>42548.083333333336</c:v>
                </c:pt>
                <c:pt idx="911">
                  <c:v>42549.083333333336</c:v>
                </c:pt>
                <c:pt idx="912">
                  <c:v>42550.083333333336</c:v>
                </c:pt>
                <c:pt idx="913">
                  <c:v>42551.083333333336</c:v>
                </c:pt>
                <c:pt idx="914">
                  <c:v>42552.083333333336</c:v>
                </c:pt>
                <c:pt idx="915">
                  <c:v>42553.083333333336</c:v>
                </c:pt>
                <c:pt idx="916">
                  <c:v>42554.083333333336</c:v>
                </c:pt>
                <c:pt idx="917">
                  <c:v>42555.083333333336</c:v>
                </c:pt>
                <c:pt idx="918">
                  <c:v>42556.083333333336</c:v>
                </c:pt>
                <c:pt idx="919">
                  <c:v>42557.083333333336</c:v>
                </c:pt>
                <c:pt idx="920">
                  <c:v>42558.083333333336</c:v>
                </c:pt>
                <c:pt idx="921">
                  <c:v>42559.083333333336</c:v>
                </c:pt>
                <c:pt idx="922">
                  <c:v>42560.083333333336</c:v>
                </c:pt>
                <c:pt idx="923">
                  <c:v>42561.083333333336</c:v>
                </c:pt>
                <c:pt idx="924">
                  <c:v>42562.083333333336</c:v>
                </c:pt>
                <c:pt idx="925">
                  <c:v>42563.083333333336</c:v>
                </c:pt>
                <c:pt idx="926">
                  <c:v>42564.083333333336</c:v>
                </c:pt>
                <c:pt idx="927">
                  <c:v>42565.083333333336</c:v>
                </c:pt>
                <c:pt idx="928">
                  <c:v>42566.083333333336</c:v>
                </c:pt>
                <c:pt idx="929">
                  <c:v>42567.083333333336</c:v>
                </c:pt>
                <c:pt idx="930">
                  <c:v>42568.083333333336</c:v>
                </c:pt>
                <c:pt idx="931">
                  <c:v>42569.083333333336</c:v>
                </c:pt>
                <c:pt idx="932">
                  <c:v>42570.083333333336</c:v>
                </c:pt>
                <c:pt idx="933">
                  <c:v>42571.083333333336</c:v>
                </c:pt>
                <c:pt idx="934">
                  <c:v>42572.083333333336</c:v>
                </c:pt>
                <c:pt idx="935">
                  <c:v>42573.083333333336</c:v>
                </c:pt>
                <c:pt idx="936">
                  <c:v>42574.083333333336</c:v>
                </c:pt>
                <c:pt idx="937">
                  <c:v>42575.083333333336</c:v>
                </c:pt>
                <c:pt idx="938">
                  <c:v>42576.083333333336</c:v>
                </c:pt>
                <c:pt idx="939">
                  <c:v>42577.083333333336</c:v>
                </c:pt>
                <c:pt idx="940">
                  <c:v>42578.083333333336</c:v>
                </c:pt>
                <c:pt idx="941">
                  <c:v>42579.083333333336</c:v>
                </c:pt>
                <c:pt idx="942">
                  <c:v>42580.083333333336</c:v>
                </c:pt>
                <c:pt idx="943">
                  <c:v>42581.083333333336</c:v>
                </c:pt>
                <c:pt idx="944">
                  <c:v>42582.083333333336</c:v>
                </c:pt>
                <c:pt idx="945">
                  <c:v>42583.083333333336</c:v>
                </c:pt>
                <c:pt idx="946">
                  <c:v>42584.083333333336</c:v>
                </c:pt>
                <c:pt idx="947">
                  <c:v>42585.083333333336</c:v>
                </c:pt>
                <c:pt idx="948">
                  <c:v>42586.083333333336</c:v>
                </c:pt>
                <c:pt idx="949">
                  <c:v>42587.083333333336</c:v>
                </c:pt>
                <c:pt idx="950">
                  <c:v>42588.083333333336</c:v>
                </c:pt>
                <c:pt idx="951">
                  <c:v>42589.083333333336</c:v>
                </c:pt>
                <c:pt idx="952">
                  <c:v>42590.083333333336</c:v>
                </c:pt>
                <c:pt idx="953">
                  <c:v>42591.083333333336</c:v>
                </c:pt>
                <c:pt idx="954">
                  <c:v>42592.083333333336</c:v>
                </c:pt>
                <c:pt idx="955">
                  <c:v>42593.083333333336</c:v>
                </c:pt>
                <c:pt idx="956">
                  <c:v>42594.083333333336</c:v>
                </c:pt>
                <c:pt idx="957">
                  <c:v>42595.083333333336</c:v>
                </c:pt>
                <c:pt idx="958">
                  <c:v>42596.083333333336</c:v>
                </c:pt>
                <c:pt idx="959">
                  <c:v>42597.083333333336</c:v>
                </c:pt>
                <c:pt idx="960">
                  <c:v>42598.083333333336</c:v>
                </c:pt>
                <c:pt idx="961">
                  <c:v>42599.083333333336</c:v>
                </c:pt>
                <c:pt idx="962">
                  <c:v>42600.083333333336</c:v>
                </c:pt>
                <c:pt idx="963">
                  <c:v>42601.083333333336</c:v>
                </c:pt>
                <c:pt idx="964">
                  <c:v>42602.083333333336</c:v>
                </c:pt>
                <c:pt idx="965">
                  <c:v>42603.083333333336</c:v>
                </c:pt>
                <c:pt idx="966">
                  <c:v>42604.083333333336</c:v>
                </c:pt>
                <c:pt idx="967">
                  <c:v>42605.083333333336</c:v>
                </c:pt>
                <c:pt idx="968">
                  <c:v>42606.083333333336</c:v>
                </c:pt>
                <c:pt idx="969">
                  <c:v>42607.083333333336</c:v>
                </c:pt>
                <c:pt idx="970">
                  <c:v>42608.083333333336</c:v>
                </c:pt>
                <c:pt idx="971">
                  <c:v>42609.083333333336</c:v>
                </c:pt>
                <c:pt idx="972">
                  <c:v>42610.083333333336</c:v>
                </c:pt>
                <c:pt idx="973">
                  <c:v>42611.083333333336</c:v>
                </c:pt>
                <c:pt idx="974">
                  <c:v>42612.083333333336</c:v>
                </c:pt>
                <c:pt idx="975">
                  <c:v>42613.083333333336</c:v>
                </c:pt>
                <c:pt idx="976">
                  <c:v>42614.083333333336</c:v>
                </c:pt>
                <c:pt idx="977">
                  <c:v>42615.083333333336</c:v>
                </c:pt>
                <c:pt idx="978">
                  <c:v>42616.083333333336</c:v>
                </c:pt>
                <c:pt idx="979">
                  <c:v>42617.083333333336</c:v>
                </c:pt>
                <c:pt idx="980">
                  <c:v>42618.083333333336</c:v>
                </c:pt>
                <c:pt idx="981">
                  <c:v>42619.083333333336</c:v>
                </c:pt>
                <c:pt idx="982">
                  <c:v>42620.083333333336</c:v>
                </c:pt>
                <c:pt idx="983">
                  <c:v>42621.083333333336</c:v>
                </c:pt>
                <c:pt idx="984">
                  <c:v>42622.083333333336</c:v>
                </c:pt>
                <c:pt idx="985">
                  <c:v>42623.083333333336</c:v>
                </c:pt>
                <c:pt idx="986">
                  <c:v>42624.083333333336</c:v>
                </c:pt>
                <c:pt idx="987">
                  <c:v>42625.083333333336</c:v>
                </c:pt>
                <c:pt idx="988">
                  <c:v>42626.083333333336</c:v>
                </c:pt>
                <c:pt idx="989">
                  <c:v>42627.083333333336</c:v>
                </c:pt>
                <c:pt idx="990">
                  <c:v>42628.083333333336</c:v>
                </c:pt>
                <c:pt idx="991">
                  <c:v>42629.083333333336</c:v>
                </c:pt>
                <c:pt idx="992">
                  <c:v>42630.083333333336</c:v>
                </c:pt>
                <c:pt idx="993">
                  <c:v>42631.083333333336</c:v>
                </c:pt>
                <c:pt idx="994">
                  <c:v>42632.083333333336</c:v>
                </c:pt>
                <c:pt idx="995">
                  <c:v>42633.083333333336</c:v>
                </c:pt>
                <c:pt idx="996">
                  <c:v>42634.083333333336</c:v>
                </c:pt>
                <c:pt idx="997">
                  <c:v>42635.083333333336</c:v>
                </c:pt>
                <c:pt idx="998">
                  <c:v>42636.083333333336</c:v>
                </c:pt>
                <c:pt idx="999">
                  <c:v>42637.083333333336</c:v>
                </c:pt>
              </c:numCache>
            </c:numRef>
          </c:cat>
          <c:val>
            <c:numRef>
              <c:f>'Daily Metrics'!$C$15:$C$1014</c:f>
              <c:numCache>
                <c:formatCode>\R0.00</c:formatCode>
                <c:ptCount val="1000"/>
                <c:pt idx="0">
                  <c:v>32.801811611209459</c:v>
                </c:pt>
                <c:pt idx="1">
                  <c:v>32.604266000036432</c:v>
                </c:pt>
                <c:pt idx="2">
                  <c:v>32.53807772263044</c:v>
                </c:pt>
                <c:pt idx="3">
                  <c:v>32.507733059287688</c:v>
                </c:pt>
                <c:pt idx="4">
                  <c:v>32.489845197456546</c:v>
                </c:pt>
                <c:pt idx="5">
                  <c:v>32.478671339699567</c:v>
                </c:pt>
                <c:pt idx="6">
                  <c:v>32.472896642464377</c:v>
                </c:pt>
                <c:pt idx="7">
                  <c:v>32.466916850193371</c:v>
                </c:pt>
                <c:pt idx="8">
                  <c:v>32.461153857489172</c:v>
                </c:pt>
                <c:pt idx="9">
                  <c:v>32.620938212082635</c:v>
                </c:pt>
                <c:pt idx="10">
                  <c:v>32.75776980825124</c:v>
                </c:pt>
                <c:pt idx="11">
                  <c:v>32.870434004319996</c:v>
                </c:pt>
                <c:pt idx="12">
                  <c:v>32.965799777161095</c:v>
                </c:pt>
                <c:pt idx="13">
                  <c:v>33.048826468387709</c:v>
                </c:pt>
                <c:pt idx="14">
                  <c:v>33.118910121680635</c:v>
                </c:pt>
                <c:pt idx="15">
                  <c:v>33.180867082769502</c:v>
                </c:pt>
                <c:pt idx="16">
                  <c:v>33.233982805202643</c:v>
                </c:pt>
                <c:pt idx="17">
                  <c:v>33.281242953878944</c:v>
                </c:pt>
                <c:pt idx="18">
                  <c:v>33.326349167575273</c:v>
                </c:pt>
                <c:pt idx="19">
                  <c:v>33.366448163621449</c:v>
                </c:pt>
                <c:pt idx="20">
                  <c:v>33.403473635875969</c:v>
                </c:pt>
                <c:pt idx="21">
                  <c:v>33.436066544534434</c:v>
                </c:pt>
                <c:pt idx="22">
                  <c:v>33.464376376450751</c:v>
                </c:pt>
                <c:pt idx="23">
                  <c:v>33.483522636100275</c:v>
                </c:pt>
                <c:pt idx="24">
                  <c:v>33.511227678282836</c:v>
                </c:pt>
                <c:pt idx="25">
                  <c:v>33.536507656542909</c:v>
                </c:pt>
                <c:pt idx="26">
                  <c:v>33.56000574938124</c:v>
                </c:pt>
                <c:pt idx="27">
                  <c:v>33.581626317655939</c:v>
                </c:pt>
                <c:pt idx="28">
                  <c:v>33.602168121574557</c:v>
                </c:pt>
                <c:pt idx="29">
                  <c:v>33.620666396528151</c:v>
                </c:pt>
                <c:pt idx="30">
                  <c:v>33.666386183268209</c:v>
                </c:pt>
                <c:pt idx="31">
                  <c:v>33.724998838967011</c:v>
                </c:pt>
                <c:pt idx="32">
                  <c:v>33.78371594230881</c:v>
                </c:pt>
                <c:pt idx="33">
                  <c:v>33.841979872788073</c:v>
                </c:pt>
                <c:pt idx="34">
                  <c:v>33.900261457075409</c:v>
                </c:pt>
                <c:pt idx="35">
                  <c:v>33.958390542900524</c:v>
                </c:pt>
                <c:pt idx="36">
                  <c:v>34.015880360983559</c:v>
                </c:pt>
                <c:pt idx="37">
                  <c:v>34.01737141164152</c:v>
                </c:pt>
                <c:pt idx="38">
                  <c:v>34.063187554874609</c:v>
                </c:pt>
                <c:pt idx="39">
                  <c:v>34.010588497936872</c:v>
                </c:pt>
                <c:pt idx="40">
                  <c:v>33.955087078634257</c:v>
                </c:pt>
                <c:pt idx="41">
                  <c:v>33.900472571980572</c:v>
                </c:pt>
                <c:pt idx="42">
                  <c:v>33.845243629574327</c:v>
                </c:pt>
                <c:pt idx="43">
                  <c:v>33.790242085893482</c:v>
                </c:pt>
                <c:pt idx="44">
                  <c:v>33.735121550253666</c:v>
                </c:pt>
                <c:pt idx="45">
                  <c:v>33.680462396750563</c:v>
                </c:pt>
                <c:pt idx="46">
                  <c:v>33.626123017647821</c:v>
                </c:pt>
                <c:pt idx="47">
                  <c:v>33.571651429753537</c:v>
                </c:pt>
                <c:pt idx="48">
                  <c:v>33.515317031741766</c:v>
                </c:pt>
                <c:pt idx="49">
                  <c:v>33.458944658358462</c:v>
                </c:pt>
                <c:pt idx="50">
                  <c:v>33.459757398842825</c:v>
                </c:pt>
                <c:pt idx="51">
                  <c:v>33.403654315501669</c:v>
                </c:pt>
                <c:pt idx="52">
                  <c:v>33.406527899011181</c:v>
                </c:pt>
                <c:pt idx="53">
                  <c:v>33.356859060429031</c:v>
                </c:pt>
                <c:pt idx="54">
                  <c:v>33.272429228792227</c:v>
                </c:pt>
                <c:pt idx="55">
                  <c:v>33.214599600203329</c:v>
                </c:pt>
                <c:pt idx="56">
                  <c:v>33.156475523236509</c:v>
                </c:pt>
                <c:pt idx="57">
                  <c:v>33.098762792469266</c:v>
                </c:pt>
                <c:pt idx="58">
                  <c:v>33.041392950139809</c:v>
                </c:pt>
                <c:pt idx="59">
                  <c:v>32.938434756151871</c:v>
                </c:pt>
                <c:pt idx="60">
                  <c:v>32.85976585369994</c:v>
                </c:pt>
                <c:pt idx="61">
                  <c:v>32.78956276848065</c:v>
                </c:pt>
                <c:pt idx="62">
                  <c:v>32.714599252070954</c:v>
                </c:pt>
                <c:pt idx="63">
                  <c:v>32.639561364091819</c:v>
                </c:pt>
                <c:pt idx="64">
                  <c:v>32.557455227645605</c:v>
                </c:pt>
                <c:pt idx="65">
                  <c:v>32.4764136709748</c:v>
                </c:pt>
                <c:pt idx="66">
                  <c:v>32.440459496896622</c:v>
                </c:pt>
                <c:pt idx="67">
                  <c:v>32.424080576277248</c:v>
                </c:pt>
                <c:pt idx="68">
                  <c:v>32.363943127562976</c:v>
                </c:pt>
                <c:pt idx="69">
                  <c:v>32.349102991609342</c:v>
                </c:pt>
                <c:pt idx="70">
                  <c:v>32.33525257033596</c:v>
                </c:pt>
                <c:pt idx="71">
                  <c:v>32.340221145657871</c:v>
                </c:pt>
                <c:pt idx="72">
                  <c:v>32.340946407216421</c:v>
                </c:pt>
                <c:pt idx="73">
                  <c:v>32.343943221319805</c:v>
                </c:pt>
                <c:pt idx="74">
                  <c:v>32.347135471014212</c:v>
                </c:pt>
                <c:pt idx="75">
                  <c:v>32.346295830479683</c:v>
                </c:pt>
                <c:pt idx="76">
                  <c:v>32.348596351426046</c:v>
                </c:pt>
                <c:pt idx="77">
                  <c:v>32.350925731464919</c:v>
                </c:pt>
                <c:pt idx="78">
                  <c:v>32.437274551771694</c:v>
                </c:pt>
                <c:pt idx="79">
                  <c:v>32.523862817712242</c:v>
                </c:pt>
                <c:pt idx="80">
                  <c:v>32.552748133941449</c:v>
                </c:pt>
                <c:pt idx="81">
                  <c:v>32.639415145075439</c:v>
                </c:pt>
                <c:pt idx="82">
                  <c:v>32.668278066487737</c:v>
                </c:pt>
                <c:pt idx="83">
                  <c:v>32.755311768806926</c:v>
                </c:pt>
                <c:pt idx="84">
                  <c:v>32.868253886614738</c:v>
                </c:pt>
                <c:pt idx="85">
                  <c:v>32.922900020772481</c:v>
                </c:pt>
                <c:pt idx="86">
                  <c:v>32.981381536488556</c:v>
                </c:pt>
                <c:pt idx="87">
                  <c:v>33.024082435562967</c:v>
                </c:pt>
                <c:pt idx="88">
                  <c:v>33.074535534341166</c:v>
                </c:pt>
                <c:pt idx="89">
                  <c:v>33.171487253584459</c:v>
                </c:pt>
                <c:pt idx="90">
                  <c:v>33.251135115858624</c:v>
                </c:pt>
                <c:pt idx="91">
                  <c:v>33.321194078411388</c:v>
                </c:pt>
                <c:pt idx="92">
                  <c:v>33.396478056677161</c:v>
                </c:pt>
                <c:pt idx="93">
                  <c:v>33.466542400675863</c:v>
                </c:pt>
                <c:pt idx="94">
                  <c:v>33.543957629515575</c:v>
                </c:pt>
                <c:pt idx="95">
                  <c:v>33.62896650022801</c:v>
                </c:pt>
                <c:pt idx="96">
                  <c:v>33.671253494766979</c:v>
                </c:pt>
                <c:pt idx="97">
                  <c:v>33.757903515464733</c:v>
                </c:pt>
                <c:pt idx="98">
                  <c:v>33.832617443985399</c:v>
                </c:pt>
                <c:pt idx="99">
                  <c:v>33.932712996030553</c:v>
                </c:pt>
                <c:pt idx="100">
                  <c:v>34.032348672685899</c:v>
                </c:pt>
                <c:pt idx="101">
                  <c:v>34.056071978004702</c:v>
                </c:pt>
                <c:pt idx="102">
                  <c:v>34.084157528933183</c:v>
                </c:pt>
                <c:pt idx="103">
                  <c:v>34.109759763581572</c:v>
                </c:pt>
                <c:pt idx="104">
                  <c:v>34.136531971898684</c:v>
                </c:pt>
                <c:pt idx="105">
                  <c:v>34.166052228116719</c:v>
                </c:pt>
                <c:pt idx="106">
                  <c:v>34.19265429371422</c:v>
                </c:pt>
                <c:pt idx="107">
                  <c:v>34.219714601092868</c:v>
                </c:pt>
                <c:pt idx="108">
                  <c:v>34.162934604751825</c:v>
                </c:pt>
                <c:pt idx="109">
                  <c:v>34.106574786739941</c:v>
                </c:pt>
                <c:pt idx="110">
                  <c:v>34.049899069623095</c:v>
                </c:pt>
                <c:pt idx="111">
                  <c:v>33.992897135734935</c:v>
                </c:pt>
                <c:pt idx="112">
                  <c:v>33.936290481829054</c:v>
                </c:pt>
                <c:pt idx="113">
                  <c:v>33.879137900078568</c:v>
                </c:pt>
                <c:pt idx="114">
                  <c:v>33.879405411680246</c:v>
                </c:pt>
                <c:pt idx="115">
                  <c:v>33.911671350976107</c:v>
                </c:pt>
                <c:pt idx="116">
                  <c:v>33.927025497861273</c:v>
                </c:pt>
                <c:pt idx="117">
                  <c:v>33.960676879143499</c:v>
                </c:pt>
                <c:pt idx="118">
                  <c:v>33.98800746924676</c:v>
                </c:pt>
                <c:pt idx="119">
                  <c:v>34.01293601905094</c:v>
                </c:pt>
                <c:pt idx="120">
                  <c:v>34.027230835472352</c:v>
                </c:pt>
                <c:pt idx="121">
                  <c:v>34.062178256566654</c:v>
                </c:pt>
                <c:pt idx="122">
                  <c:v>34.09582515627983</c:v>
                </c:pt>
                <c:pt idx="123">
                  <c:v>34.154214442293572</c:v>
                </c:pt>
                <c:pt idx="124">
                  <c:v>34.20509009374549</c:v>
                </c:pt>
                <c:pt idx="125">
                  <c:v>34.236622269936966</c:v>
                </c:pt>
                <c:pt idx="126">
                  <c:v>34.263444079262094</c:v>
                </c:pt>
                <c:pt idx="127">
                  <c:v>34.308054587615956</c:v>
                </c:pt>
                <c:pt idx="128">
                  <c:v>34.309229649224612</c:v>
                </c:pt>
                <c:pt idx="129">
                  <c:v>34.338135706743721</c:v>
                </c:pt>
                <c:pt idx="130">
                  <c:v>34.2538859268832</c:v>
                </c:pt>
                <c:pt idx="131">
                  <c:v>34.224273472441489</c:v>
                </c:pt>
                <c:pt idx="132">
                  <c:v>34.195856460366805</c:v>
                </c:pt>
                <c:pt idx="133">
                  <c:v>34.166165693962007</c:v>
                </c:pt>
                <c:pt idx="134">
                  <c:v>34.136646630395262</c:v>
                </c:pt>
                <c:pt idx="135">
                  <c:v>34.097747043618284</c:v>
                </c:pt>
                <c:pt idx="136">
                  <c:v>34.057954972752228</c:v>
                </c:pt>
                <c:pt idx="137">
                  <c:v>34.015986780892156</c:v>
                </c:pt>
                <c:pt idx="138">
                  <c:v>33.976766725474285</c:v>
                </c:pt>
                <c:pt idx="139">
                  <c:v>33.944422887752417</c:v>
                </c:pt>
                <c:pt idx="140">
                  <c:v>33.914776117690344</c:v>
                </c:pt>
                <c:pt idx="141">
                  <c:v>33.873674539901131</c:v>
                </c:pt>
                <c:pt idx="142">
                  <c:v>33.832479576724133</c:v>
                </c:pt>
                <c:pt idx="143">
                  <c:v>33.846630354370809</c:v>
                </c:pt>
                <c:pt idx="144">
                  <c:v>33.750873694829856</c:v>
                </c:pt>
                <c:pt idx="145">
                  <c:v>33.655410973023194</c:v>
                </c:pt>
                <c:pt idx="146">
                  <c:v>33.581512222730481</c:v>
                </c:pt>
                <c:pt idx="147">
                  <c:v>33.501185723821784</c:v>
                </c:pt>
                <c:pt idx="148">
                  <c:v>33.414821973248564</c:v>
                </c:pt>
                <c:pt idx="149">
                  <c:v>33.329242393133207</c:v>
                </c:pt>
                <c:pt idx="150">
                  <c:v>33.247174325285229</c:v>
                </c:pt>
                <c:pt idx="151">
                  <c:v>33.146096084327624</c:v>
                </c:pt>
                <c:pt idx="152">
                  <c:v>33.04512355923066</c:v>
                </c:pt>
                <c:pt idx="153">
                  <c:v>32.924256161640606</c:v>
                </c:pt>
                <c:pt idx="154">
                  <c:v>32.810003809802801</c:v>
                </c:pt>
                <c:pt idx="155">
                  <c:v>32.705809074385421</c:v>
                </c:pt>
                <c:pt idx="156">
                  <c:v>32.6060894338057</c:v>
                </c:pt>
                <c:pt idx="157">
                  <c:v>32.475167097461068</c:v>
                </c:pt>
                <c:pt idx="158">
                  <c:v>32.399610073391038</c:v>
                </c:pt>
                <c:pt idx="159">
                  <c:v>32.271669572784837</c:v>
                </c:pt>
                <c:pt idx="160">
                  <c:v>32.258015845182236</c:v>
                </c:pt>
                <c:pt idx="161">
                  <c:v>32.257120524539019</c:v>
                </c:pt>
                <c:pt idx="162">
                  <c:v>32.246797985680857</c:v>
                </c:pt>
                <c:pt idx="163">
                  <c:v>32.235617600129999</c:v>
                </c:pt>
                <c:pt idx="164">
                  <c:v>32.224823431608769</c:v>
                </c:pt>
                <c:pt idx="165">
                  <c:v>32.223889762374931</c:v>
                </c:pt>
                <c:pt idx="166">
                  <c:v>32.223242320742344</c:v>
                </c:pt>
                <c:pt idx="167">
                  <c:v>32.223283520668915</c:v>
                </c:pt>
                <c:pt idx="168">
                  <c:v>32.220241393078176</c:v>
                </c:pt>
                <c:pt idx="169">
                  <c:v>32.210114514617615</c:v>
                </c:pt>
                <c:pt idx="170">
                  <c:v>32.19640689675068</c:v>
                </c:pt>
                <c:pt idx="171">
                  <c:v>32.186180541476048</c:v>
                </c:pt>
                <c:pt idx="172">
                  <c:v>32.222750371045876</c:v>
                </c:pt>
                <c:pt idx="173">
                  <c:v>32.197765546399538</c:v>
                </c:pt>
                <c:pt idx="174">
                  <c:v>32.24587359931715</c:v>
                </c:pt>
                <c:pt idx="175">
                  <c:v>32.288701737754018</c:v>
                </c:pt>
                <c:pt idx="176">
                  <c:v>32.376041680478309</c:v>
                </c:pt>
                <c:pt idx="177">
                  <c:v>32.466434993585935</c:v>
                </c:pt>
                <c:pt idx="178">
                  <c:v>32.561078037291352</c:v>
                </c:pt>
                <c:pt idx="179">
                  <c:v>32.657217123275387</c:v>
                </c:pt>
                <c:pt idx="180">
                  <c:v>32.752755662415673</c:v>
                </c:pt>
                <c:pt idx="181">
                  <c:v>32.847868605452796</c:v>
                </c:pt>
                <c:pt idx="182">
                  <c:v>32.943878889576887</c:v>
                </c:pt>
                <c:pt idx="183">
                  <c:v>33.040330520564076</c:v>
                </c:pt>
                <c:pt idx="184">
                  <c:v>33.137407602495394</c:v>
                </c:pt>
                <c:pt idx="185">
                  <c:v>33.235199366342975</c:v>
                </c:pt>
                <c:pt idx="186">
                  <c:v>33.331125797198951</c:v>
                </c:pt>
                <c:pt idx="187">
                  <c:v>33.432870628893859</c:v>
                </c:pt>
                <c:pt idx="188">
                  <c:v>33.534408270690186</c:v>
                </c:pt>
                <c:pt idx="189">
                  <c:v>33.633397223882199</c:v>
                </c:pt>
                <c:pt idx="190">
                  <c:v>33.731519949146318</c:v>
                </c:pt>
                <c:pt idx="191">
                  <c:v>33.818733575545963</c:v>
                </c:pt>
                <c:pt idx="192">
                  <c:v>33.914883154750534</c:v>
                </c:pt>
                <c:pt idx="193">
                  <c:v>34.01246465174988</c:v>
                </c:pt>
                <c:pt idx="194">
                  <c:v>34.109370239515172</c:v>
                </c:pt>
                <c:pt idx="195">
                  <c:v>34.205786395400878</c:v>
                </c:pt>
                <c:pt idx="196">
                  <c:v>34.303744628762765</c:v>
                </c:pt>
                <c:pt idx="197">
                  <c:v>34.402410734629399</c:v>
                </c:pt>
                <c:pt idx="198">
                  <c:v>34.414924341855681</c:v>
                </c:pt>
                <c:pt idx="199">
                  <c:v>34.513722540648573</c:v>
                </c:pt>
                <c:pt idx="200">
                  <c:v>34.613719454405015</c:v>
                </c:pt>
                <c:pt idx="201">
                  <c:v>34.635225656735216</c:v>
                </c:pt>
                <c:pt idx="202">
                  <c:v>34.69649661019097</c:v>
                </c:pt>
                <c:pt idx="203">
                  <c:v>34.764511615235925</c:v>
                </c:pt>
                <c:pt idx="204">
                  <c:v>34.811740688407262</c:v>
                </c:pt>
                <c:pt idx="205">
                  <c:v>34.778351797698548</c:v>
                </c:pt>
                <c:pt idx="206">
                  <c:v>34.778094945300047</c:v>
                </c:pt>
                <c:pt idx="207">
                  <c:v>34.691876102218153</c:v>
                </c:pt>
                <c:pt idx="208">
                  <c:v>34.605239859005671</c:v>
                </c:pt>
                <c:pt idx="209">
                  <c:v>34.51880881152406</c:v>
                </c:pt>
                <c:pt idx="210">
                  <c:v>34.43262011022258</c:v>
                </c:pt>
                <c:pt idx="211">
                  <c:v>34.345993053953755</c:v>
                </c:pt>
                <c:pt idx="212">
                  <c:v>34.259798982345458</c:v>
                </c:pt>
                <c:pt idx="213">
                  <c:v>34.173475759247374</c:v>
                </c:pt>
                <c:pt idx="214">
                  <c:v>34.086641804247577</c:v>
                </c:pt>
                <c:pt idx="215">
                  <c:v>33.999762918484926</c:v>
                </c:pt>
                <c:pt idx="216">
                  <c:v>33.912859447950659</c:v>
                </c:pt>
                <c:pt idx="217">
                  <c:v>33.825421474581347</c:v>
                </c:pt>
                <c:pt idx="218">
                  <c:v>33.738200375698568</c:v>
                </c:pt>
                <c:pt idx="219">
                  <c:v>33.738300933284648</c:v>
                </c:pt>
                <c:pt idx="220">
                  <c:v>33.738371886296562</c:v>
                </c:pt>
                <c:pt idx="221">
                  <c:v>33.652223428891666</c:v>
                </c:pt>
                <c:pt idx="222">
                  <c:v>33.566251366506549</c:v>
                </c:pt>
                <c:pt idx="223">
                  <c:v>33.480713801222301</c:v>
                </c:pt>
                <c:pt idx="224">
                  <c:v>33.394601968802938</c:v>
                </c:pt>
                <c:pt idx="225">
                  <c:v>33.309059591477563</c:v>
                </c:pt>
                <c:pt idx="226">
                  <c:v>33.222586109247509</c:v>
                </c:pt>
                <c:pt idx="227">
                  <c:v>33.135957430823055</c:v>
                </c:pt>
                <c:pt idx="228">
                  <c:v>33.136136188496174</c:v>
                </c:pt>
                <c:pt idx="229">
                  <c:v>33.050288387840489</c:v>
                </c:pt>
                <c:pt idx="230">
                  <c:v>32.964306376549693</c:v>
                </c:pt>
                <c:pt idx="231">
                  <c:v>32.965040816407829</c:v>
                </c:pt>
                <c:pt idx="232">
                  <c:v>32.878938900410873</c:v>
                </c:pt>
                <c:pt idx="233">
                  <c:v>32.821131451711011</c:v>
                </c:pt>
                <c:pt idx="234">
                  <c:v>32.76428092673693</c:v>
                </c:pt>
                <c:pt idx="235">
                  <c:v>32.792829197272034</c:v>
                </c:pt>
                <c:pt idx="236">
                  <c:v>32.735686369694548</c:v>
                </c:pt>
                <c:pt idx="237">
                  <c:v>32.766808173718417</c:v>
                </c:pt>
                <c:pt idx="238">
                  <c:v>32.796514986279789</c:v>
                </c:pt>
                <c:pt idx="239">
                  <c:v>32.777257740298893</c:v>
                </c:pt>
                <c:pt idx="240">
                  <c:v>32.723434136436879</c:v>
                </c:pt>
                <c:pt idx="241">
                  <c:v>32.666458624311261</c:v>
                </c:pt>
                <c:pt idx="242">
                  <c:v>32.60975676271832</c:v>
                </c:pt>
                <c:pt idx="243">
                  <c:v>32.553708769044285</c:v>
                </c:pt>
                <c:pt idx="244">
                  <c:v>32.497803578677114</c:v>
                </c:pt>
                <c:pt idx="245">
                  <c:v>32.44074862625726</c:v>
                </c:pt>
                <c:pt idx="246">
                  <c:v>32.382938246298657</c:v>
                </c:pt>
                <c:pt idx="247">
                  <c:v>32.326778016541695</c:v>
                </c:pt>
                <c:pt idx="248">
                  <c:v>32.270191422509683</c:v>
                </c:pt>
                <c:pt idx="249">
                  <c:v>32.12666199606268</c:v>
                </c:pt>
                <c:pt idx="250">
                  <c:v>31.982931194037128</c:v>
                </c:pt>
                <c:pt idx="251">
                  <c:v>31.9255997602755</c:v>
                </c:pt>
                <c:pt idx="252">
                  <c:v>31.867622787923025</c:v>
                </c:pt>
                <c:pt idx="253">
                  <c:v>31.953289687104252</c:v>
                </c:pt>
                <c:pt idx="254">
                  <c:v>32.039318456591296</c:v>
                </c:pt>
                <c:pt idx="255">
                  <c:v>32.125070981270781</c:v>
                </c:pt>
                <c:pt idx="256">
                  <c:v>32.21129316567125</c:v>
                </c:pt>
                <c:pt idx="257">
                  <c:v>32.298066870030688</c:v>
                </c:pt>
                <c:pt idx="258">
                  <c:v>32.384352389373383</c:v>
                </c:pt>
                <c:pt idx="259">
                  <c:v>32.470200755558189</c:v>
                </c:pt>
                <c:pt idx="260">
                  <c:v>32.556163331275862</c:v>
                </c:pt>
                <c:pt idx="261">
                  <c:v>32.642477941491812</c:v>
                </c:pt>
                <c:pt idx="262">
                  <c:v>32.728163574898154</c:v>
                </c:pt>
                <c:pt idx="263">
                  <c:v>32.785554693036737</c:v>
                </c:pt>
                <c:pt idx="264">
                  <c:v>32.842754377745422</c:v>
                </c:pt>
                <c:pt idx="265">
                  <c:v>32.899918384403477</c:v>
                </c:pt>
                <c:pt idx="266">
                  <c:v>32.95703374616086</c:v>
                </c:pt>
                <c:pt idx="267">
                  <c:v>33.012445121724546</c:v>
                </c:pt>
                <c:pt idx="268">
                  <c:v>32.985058613503803</c:v>
                </c:pt>
                <c:pt idx="269">
                  <c:v>33.004814788122069</c:v>
                </c:pt>
                <c:pt idx="270">
                  <c:v>33.058997866778427</c:v>
                </c:pt>
                <c:pt idx="271">
                  <c:v>33.116447722735359</c:v>
                </c:pt>
                <c:pt idx="272">
                  <c:v>33.173137871884826</c:v>
                </c:pt>
                <c:pt idx="273">
                  <c:v>33.229138202880812</c:v>
                </c:pt>
                <c:pt idx="274">
                  <c:v>33.28536160572277</c:v>
                </c:pt>
                <c:pt idx="275">
                  <c:v>33.342303189456892</c:v>
                </c:pt>
                <c:pt idx="276">
                  <c:v>33.400293926199048</c:v>
                </c:pt>
                <c:pt idx="277">
                  <c:v>33.457419579272823</c:v>
                </c:pt>
                <c:pt idx="278">
                  <c:v>33.514859595800623</c:v>
                </c:pt>
                <c:pt idx="279">
                  <c:v>33.571963893351359</c:v>
                </c:pt>
                <c:pt idx="280">
                  <c:v>33.628990540014293</c:v>
                </c:pt>
                <c:pt idx="281">
                  <c:v>33.828825571973887</c:v>
                </c:pt>
                <c:pt idx="282">
                  <c:v>34.026983596658134</c:v>
                </c:pt>
                <c:pt idx="283">
                  <c:v>34.084540619533321</c:v>
                </c:pt>
                <c:pt idx="284">
                  <c:v>34.14218034586694</c:v>
                </c:pt>
                <c:pt idx="285">
                  <c:v>34.198752987063067</c:v>
                </c:pt>
                <c:pt idx="286">
                  <c:v>34.255710503310041</c:v>
                </c:pt>
                <c:pt idx="287">
                  <c:v>34.313738050895999</c:v>
                </c:pt>
                <c:pt idx="288">
                  <c:v>34.370247534866202</c:v>
                </c:pt>
                <c:pt idx="289">
                  <c:v>34.428273142914513</c:v>
                </c:pt>
                <c:pt idx="290">
                  <c:v>34.485630328749806</c:v>
                </c:pt>
                <c:pt idx="291">
                  <c:v>34.542896453705858</c:v>
                </c:pt>
                <c:pt idx="292">
                  <c:v>34.600620206791412</c:v>
                </c:pt>
                <c:pt idx="293">
                  <c:v>34.657757610217416</c:v>
                </c:pt>
                <c:pt idx="294">
                  <c:v>34.712633408963917</c:v>
                </c:pt>
                <c:pt idx="295">
                  <c:v>34.769254034821408</c:v>
                </c:pt>
                <c:pt idx="296">
                  <c:v>34.824056394414683</c:v>
                </c:pt>
                <c:pt idx="297">
                  <c:v>34.881842156286794</c:v>
                </c:pt>
                <c:pt idx="298">
                  <c:v>35.022103993590626</c:v>
                </c:pt>
                <c:pt idx="299">
                  <c:v>35.163250172848095</c:v>
                </c:pt>
                <c:pt idx="300">
                  <c:v>35.304529543087007</c:v>
                </c:pt>
                <c:pt idx="301">
                  <c:v>35.448509977983605</c:v>
                </c:pt>
                <c:pt idx="302">
                  <c:v>35.5923689561427</c:v>
                </c:pt>
                <c:pt idx="303">
                  <c:v>35.73540978485655</c:v>
                </c:pt>
                <c:pt idx="304">
                  <c:v>35.878199091122987</c:v>
                </c:pt>
                <c:pt idx="305">
                  <c:v>36.021600609308798</c:v>
                </c:pt>
                <c:pt idx="306">
                  <c:v>36.165819637246273</c:v>
                </c:pt>
                <c:pt idx="307">
                  <c:v>36.309919517392103</c:v>
                </c:pt>
                <c:pt idx="308">
                  <c:v>36.45483295491784</c:v>
                </c:pt>
                <c:pt idx="309">
                  <c:v>36.686528228847365</c:v>
                </c:pt>
                <c:pt idx="310">
                  <c:v>36.918185947846446</c:v>
                </c:pt>
                <c:pt idx="311">
                  <c:v>36.948097791780043</c:v>
                </c:pt>
                <c:pt idx="312">
                  <c:v>36.98119961003146</c:v>
                </c:pt>
                <c:pt idx="313">
                  <c:v>37.010889396270926</c:v>
                </c:pt>
                <c:pt idx="314">
                  <c:v>37.040573095089101</c:v>
                </c:pt>
                <c:pt idx="315">
                  <c:v>37.074500180170475</c:v>
                </c:pt>
                <c:pt idx="316">
                  <c:v>37.103277531811514</c:v>
                </c:pt>
                <c:pt idx="317">
                  <c:v>37.131397146711222</c:v>
                </c:pt>
                <c:pt idx="318">
                  <c:v>37.15831706618787</c:v>
                </c:pt>
                <c:pt idx="319">
                  <c:v>37.185911408882866</c:v>
                </c:pt>
                <c:pt idx="320">
                  <c:v>37.215013915889244</c:v>
                </c:pt>
                <c:pt idx="321">
                  <c:v>37.243473974512547</c:v>
                </c:pt>
                <c:pt idx="322">
                  <c:v>37.270702725482259</c:v>
                </c:pt>
                <c:pt idx="323">
                  <c:v>37.29968205722404</c:v>
                </c:pt>
                <c:pt idx="324">
                  <c:v>37.329902550938982</c:v>
                </c:pt>
                <c:pt idx="325">
                  <c:v>37.355643255775092</c:v>
                </c:pt>
                <c:pt idx="326">
                  <c:v>37.537414210859232</c:v>
                </c:pt>
                <c:pt idx="327">
                  <c:v>37.722872285525789</c:v>
                </c:pt>
                <c:pt idx="328">
                  <c:v>37.911017189402124</c:v>
                </c:pt>
                <c:pt idx="329">
                  <c:v>38.085063736317728</c:v>
                </c:pt>
                <c:pt idx="330">
                  <c:v>38.25743911247762</c:v>
                </c:pt>
                <c:pt idx="331">
                  <c:v>38.4598366425734</c:v>
                </c:pt>
                <c:pt idx="332">
                  <c:v>38.665205229795696</c:v>
                </c:pt>
                <c:pt idx="333">
                  <c:v>38.864626099400262</c:v>
                </c:pt>
                <c:pt idx="334">
                  <c:v>39.064075566318579</c:v>
                </c:pt>
                <c:pt idx="335">
                  <c:v>39.257755406287366</c:v>
                </c:pt>
                <c:pt idx="336">
                  <c:v>39.437974231597877</c:v>
                </c:pt>
                <c:pt idx="337">
                  <c:v>39.567455110624834</c:v>
                </c:pt>
                <c:pt idx="338">
                  <c:v>39.678497075499827</c:v>
                </c:pt>
                <c:pt idx="339">
                  <c:v>39.705289218162129</c:v>
                </c:pt>
                <c:pt idx="340">
                  <c:v>39.748620119353475</c:v>
                </c:pt>
                <c:pt idx="341">
                  <c:v>39.825876638118515</c:v>
                </c:pt>
                <c:pt idx="342">
                  <c:v>39.857138132752162</c:v>
                </c:pt>
                <c:pt idx="343">
                  <c:v>39.95380651075606</c:v>
                </c:pt>
                <c:pt idx="344">
                  <c:v>40.049444619886621</c:v>
                </c:pt>
                <c:pt idx="345">
                  <c:v>40.10854106712074</c:v>
                </c:pt>
                <c:pt idx="346">
                  <c:v>40.12662513588409</c:v>
                </c:pt>
                <c:pt idx="347">
                  <c:v>40.154111327647797</c:v>
                </c:pt>
                <c:pt idx="348">
                  <c:v>40.178084941308406</c:v>
                </c:pt>
                <c:pt idx="349">
                  <c:v>40.202016672339575</c:v>
                </c:pt>
                <c:pt idx="350">
                  <c:v>40.229378147662189</c:v>
                </c:pt>
                <c:pt idx="351">
                  <c:v>40.260237579614788</c:v>
                </c:pt>
                <c:pt idx="352">
                  <c:v>40.291954998689938</c:v>
                </c:pt>
                <c:pt idx="353">
                  <c:v>40.313652267544782</c:v>
                </c:pt>
                <c:pt idx="354">
                  <c:v>40.341244938486405</c:v>
                </c:pt>
                <c:pt idx="355">
                  <c:v>40.365823768650415</c:v>
                </c:pt>
                <c:pt idx="356">
                  <c:v>40.237378897828314</c:v>
                </c:pt>
                <c:pt idx="357">
                  <c:v>40.186227631749531</c:v>
                </c:pt>
                <c:pt idx="358">
                  <c:v>40.130137745568646</c:v>
                </c:pt>
                <c:pt idx="359">
                  <c:v>40.105310178866183</c:v>
                </c:pt>
                <c:pt idx="360">
                  <c:v>40.082100310431386</c:v>
                </c:pt>
                <c:pt idx="361">
                  <c:v>40.025827489051338</c:v>
                </c:pt>
                <c:pt idx="362">
                  <c:v>39.967117311106229</c:v>
                </c:pt>
                <c:pt idx="363">
                  <c:v>39.915723092639787</c:v>
                </c:pt>
                <c:pt idx="364">
                  <c:v>39.864845262570071</c:v>
                </c:pt>
                <c:pt idx="365">
                  <c:v>39.733195218600947</c:v>
                </c:pt>
                <c:pt idx="366">
                  <c:v>39.613122508767177</c:v>
                </c:pt>
                <c:pt idx="367">
                  <c:v>39.544976635083295</c:v>
                </c:pt>
                <c:pt idx="368">
                  <c:v>39.494070452018882</c:v>
                </c:pt>
                <c:pt idx="369">
                  <c:v>39.440102031544924</c:v>
                </c:pt>
                <c:pt idx="370">
                  <c:v>39.369713797695113</c:v>
                </c:pt>
                <c:pt idx="371">
                  <c:v>39.323726391293278</c:v>
                </c:pt>
                <c:pt idx="372">
                  <c:v>39.323264203474466</c:v>
                </c:pt>
                <c:pt idx="373">
                  <c:v>39.3438552484441</c:v>
                </c:pt>
                <c:pt idx="374">
                  <c:v>39.365012082565549</c:v>
                </c:pt>
                <c:pt idx="375">
                  <c:v>39.420149290684392</c:v>
                </c:pt>
                <c:pt idx="376">
                  <c:v>39.52087332198996</c:v>
                </c:pt>
                <c:pt idx="377">
                  <c:v>39.612011351343412</c:v>
                </c:pt>
                <c:pt idx="378">
                  <c:v>39.709218512267547</c:v>
                </c:pt>
                <c:pt idx="379">
                  <c:v>39.804567537302752</c:v>
                </c:pt>
                <c:pt idx="380">
                  <c:v>39.89579864551019</c:v>
                </c:pt>
                <c:pt idx="381">
                  <c:v>39.983288242110348</c:v>
                </c:pt>
                <c:pt idx="382">
                  <c:v>40.071702712801901</c:v>
                </c:pt>
                <c:pt idx="383">
                  <c:v>40.168574394483898</c:v>
                </c:pt>
                <c:pt idx="384">
                  <c:v>40.260685158094503</c:v>
                </c:pt>
                <c:pt idx="385">
                  <c:v>40.358707559689016</c:v>
                </c:pt>
                <c:pt idx="386">
                  <c:v>40.455108761447406</c:v>
                </c:pt>
                <c:pt idx="387">
                  <c:v>40.46773914343202</c:v>
                </c:pt>
                <c:pt idx="388">
                  <c:v>40.484551906904741</c:v>
                </c:pt>
                <c:pt idx="389">
                  <c:v>40.484357492057448</c:v>
                </c:pt>
                <c:pt idx="390">
                  <c:v>40.484319067579669</c:v>
                </c:pt>
                <c:pt idx="391">
                  <c:v>40.484898555218187</c:v>
                </c:pt>
                <c:pt idx="392">
                  <c:v>40.485326438501552</c:v>
                </c:pt>
                <c:pt idx="393">
                  <c:v>40.48523239883145</c:v>
                </c:pt>
                <c:pt idx="394">
                  <c:v>40.484713516269402</c:v>
                </c:pt>
                <c:pt idx="395">
                  <c:v>40.570659330670487</c:v>
                </c:pt>
                <c:pt idx="396">
                  <c:v>40.657190323383546</c:v>
                </c:pt>
                <c:pt idx="397">
                  <c:v>40.742702780878581</c:v>
                </c:pt>
                <c:pt idx="398">
                  <c:v>40.828279639277312</c:v>
                </c:pt>
                <c:pt idx="399">
                  <c:v>40.914740861726955</c:v>
                </c:pt>
                <c:pt idx="400">
                  <c:v>41.00122930049924</c:v>
                </c:pt>
                <c:pt idx="401">
                  <c:v>41.087724210810372</c:v>
                </c:pt>
                <c:pt idx="402">
                  <c:v>41.174501589677973</c:v>
                </c:pt>
                <c:pt idx="403">
                  <c:v>41.174517470384757</c:v>
                </c:pt>
                <c:pt idx="404">
                  <c:v>41.174552872077427</c:v>
                </c:pt>
                <c:pt idx="405">
                  <c:v>41.174445190203521</c:v>
                </c:pt>
                <c:pt idx="406">
                  <c:v>41.174365241592241</c:v>
                </c:pt>
                <c:pt idx="407">
                  <c:v>41.058706322034894</c:v>
                </c:pt>
                <c:pt idx="408">
                  <c:v>40.943566962917039</c:v>
                </c:pt>
                <c:pt idx="409">
                  <c:v>40.827631523122832</c:v>
                </c:pt>
                <c:pt idx="410">
                  <c:v>40.712375757368513</c:v>
                </c:pt>
                <c:pt idx="411">
                  <c:v>40.597939655798449</c:v>
                </c:pt>
                <c:pt idx="412">
                  <c:v>40.482263593258367</c:v>
                </c:pt>
                <c:pt idx="413">
                  <c:v>40.367110110993536</c:v>
                </c:pt>
                <c:pt idx="414">
                  <c:v>40.250666198167771</c:v>
                </c:pt>
                <c:pt idx="415">
                  <c:v>40.135318234513676</c:v>
                </c:pt>
                <c:pt idx="416">
                  <c:v>40.019996045379571</c:v>
                </c:pt>
                <c:pt idx="417">
                  <c:v>39.904685441503695</c:v>
                </c:pt>
                <c:pt idx="418">
                  <c:v>39.788773173061557</c:v>
                </c:pt>
                <c:pt idx="419">
                  <c:v>39.673436304861347</c:v>
                </c:pt>
                <c:pt idx="420">
                  <c:v>39.645238750990409</c:v>
                </c:pt>
                <c:pt idx="421">
                  <c:v>39.530928834538493</c:v>
                </c:pt>
                <c:pt idx="422">
                  <c:v>39.41744091219585</c:v>
                </c:pt>
                <c:pt idx="423">
                  <c:v>39.302044380603057</c:v>
                </c:pt>
                <c:pt idx="424">
                  <c:v>39.186726952567533</c:v>
                </c:pt>
                <c:pt idx="425">
                  <c:v>39.072599246620818</c:v>
                </c:pt>
                <c:pt idx="426">
                  <c:v>38.958086027631744</c:v>
                </c:pt>
                <c:pt idx="427">
                  <c:v>38.843179221598689</c:v>
                </c:pt>
                <c:pt idx="428">
                  <c:v>38.728272989080047</c:v>
                </c:pt>
                <c:pt idx="429">
                  <c:v>38.613495268589482</c:v>
                </c:pt>
                <c:pt idx="430">
                  <c:v>38.50223967681309</c:v>
                </c:pt>
                <c:pt idx="431">
                  <c:v>38.389505619547627</c:v>
                </c:pt>
                <c:pt idx="432">
                  <c:v>38.275469897310721</c:v>
                </c:pt>
                <c:pt idx="433">
                  <c:v>38.275199667225138</c:v>
                </c:pt>
                <c:pt idx="434">
                  <c:v>38.275326558023473</c:v>
                </c:pt>
                <c:pt idx="435">
                  <c:v>38.275294406299821</c:v>
                </c:pt>
                <c:pt idx="436">
                  <c:v>38.2752631349205</c:v>
                </c:pt>
                <c:pt idx="437">
                  <c:v>38.39064811388436</c:v>
                </c:pt>
                <c:pt idx="438">
                  <c:v>38.505487951052899</c:v>
                </c:pt>
                <c:pt idx="439">
                  <c:v>38.621360422843622</c:v>
                </c:pt>
                <c:pt idx="440">
                  <c:v>38.736204984492183</c:v>
                </c:pt>
                <c:pt idx="441">
                  <c:v>38.850474454483688</c:v>
                </c:pt>
                <c:pt idx="442">
                  <c:v>38.966627875948213</c:v>
                </c:pt>
                <c:pt idx="443">
                  <c:v>39.081262550241405</c:v>
                </c:pt>
                <c:pt idx="444">
                  <c:v>39.19683926413957</c:v>
                </c:pt>
                <c:pt idx="445">
                  <c:v>39.311949958764572</c:v>
                </c:pt>
                <c:pt idx="446">
                  <c:v>39.427547578557359</c:v>
                </c:pt>
                <c:pt idx="447">
                  <c:v>39.542846710733457</c:v>
                </c:pt>
                <c:pt idx="448">
                  <c:v>39.658176074002057</c:v>
                </c:pt>
                <c:pt idx="449">
                  <c:v>39.659884709062716</c:v>
                </c:pt>
                <c:pt idx="450">
                  <c:v>39.574690793844603</c:v>
                </c:pt>
                <c:pt idx="451">
                  <c:v>39.573908224012442</c:v>
                </c:pt>
                <c:pt idx="452">
                  <c:v>39.572615520305554</c:v>
                </c:pt>
                <c:pt idx="453">
                  <c:v>39.572969758380488</c:v>
                </c:pt>
                <c:pt idx="454">
                  <c:v>39.574287453619625</c:v>
                </c:pt>
                <c:pt idx="455">
                  <c:v>39.573221612122339</c:v>
                </c:pt>
                <c:pt idx="456">
                  <c:v>39.573387403584498</c:v>
                </c:pt>
                <c:pt idx="457">
                  <c:v>39.574955447489067</c:v>
                </c:pt>
                <c:pt idx="458">
                  <c:v>39.576235522447035</c:v>
                </c:pt>
                <c:pt idx="459">
                  <c:v>39.578140252963074</c:v>
                </c:pt>
                <c:pt idx="460">
                  <c:v>39.575712420710381</c:v>
                </c:pt>
                <c:pt idx="461">
                  <c:v>39.575140892136638</c:v>
                </c:pt>
                <c:pt idx="462">
                  <c:v>39.573984987213564</c:v>
                </c:pt>
                <c:pt idx="463">
                  <c:v>39.557211470860793</c:v>
                </c:pt>
                <c:pt idx="464">
                  <c:v>39.55737757278844</c:v>
                </c:pt>
                <c:pt idx="465">
                  <c:v>39.557447849232169</c:v>
                </c:pt>
                <c:pt idx="466">
                  <c:v>39.557705999227601</c:v>
                </c:pt>
                <c:pt idx="467">
                  <c:v>39.557948293632244</c:v>
                </c:pt>
                <c:pt idx="468">
                  <c:v>39.558524335480655</c:v>
                </c:pt>
                <c:pt idx="469">
                  <c:v>39.558475827100132</c:v>
                </c:pt>
                <c:pt idx="470">
                  <c:v>39.574412941782739</c:v>
                </c:pt>
                <c:pt idx="471">
                  <c:v>39.591931888336873</c:v>
                </c:pt>
                <c:pt idx="472">
                  <c:v>39.609981382109133</c:v>
                </c:pt>
                <c:pt idx="473">
                  <c:v>39.631896761386479</c:v>
                </c:pt>
                <c:pt idx="474">
                  <c:v>39.656048409179853</c:v>
                </c:pt>
                <c:pt idx="475">
                  <c:v>39.681655767331065</c:v>
                </c:pt>
                <c:pt idx="476">
                  <c:v>39.706591546933424</c:v>
                </c:pt>
                <c:pt idx="477">
                  <c:v>39.735204378646145</c:v>
                </c:pt>
                <c:pt idx="478">
                  <c:v>39.649628234854909</c:v>
                </c:pt>
                <c:pt idx="479">
                  <c:v>39.792879684654856</c:v>
                </c:pt>
                <c:pt idx="480">
                  <c:v>39.821836653741784</c:v>
                </c:pt>
                <c:pt idx="481">
                  <c:v>39.824821748188818</c:v>
                </c:pt>
                <c:pt idx="482">
                  <c:v>39.856580732587233</c:v>
                </c:pt>
                <c:pt idx="483">
                  <c:v>39.889108598005784</c:v>
                </c:pt>
                <c:pt idx="484">
                  <c:v>39.917757035255505</c:v>
                </c:pt>
                <c:pt idx="485">
                  <c:v>39.9485114248522</c:v>
                </c:pt>
                <c:pt idx="486">
                  <c:v>39.977303992063007</c:v>
                </c:pt>
                <c:pt idx="487">
                  <c:v>40.005667907268759</c:v>
                </c:pt>
                <c:pt idx="488">
                  <c:v>40.006615731571621</c:v>
                </c:pt>
                <c:pt idx="489">
                  <c:v>40.034139514820843</c:v>
                </c:pt>
                <c:pt idx="490">
                  <c:v>40.064350865166055</c:v>
                </c:pt>
                <c:pt idx="491">
                  <c:v>40.097634641786719</c:v>
                </c:pt>
                <c:pt idx="492">
                  <c:v>40.098508539821204</c:v>
                </c:pt>
                <c:pt idx="493">
                  <c:v>40.114686314967543</c:v>
                </c:pt>
                <c:pt idx="494">
                  <c:v>40.0018923150893</c:v>
                </c:pt>
                <c:pt idx="495">
                  <c:v>39.887908936802319</c:v>
                </c:pt>
                <c:pt idx="496">
                  <c:v>39.774036108424276</c:v>
                </c:pt>
                <c:pt idx="497">
                  <c:v>39.659615913485894</c:v>
                </c:pt>
                <c:pt idx="498">
                  <c:v>39.545024826823557</c:v>
                </c:pt>
                <c:pt idx="499">
                  <c:v>39.430211683203041</c:v>
                </c:pt>
                <c:pt idx="500">
                  <c:v>39.300109358112742</c:v>
                </c:pt>
                <c:pt idx="501">
                  <c:v>39.168616033028989</c:v>
                </c:pt>
                <c:pt idx="502">
                  <c:v>39.035158831302383</c:v>
                </c:pt>
                <c:pt idx="503">
                  <c:v>38.899093100681441</c:v>
                </c:pt>
                <c:pt idx="504">
                  <c:v>38.760992485709508</c:v>
                </c:pt>
                <c:pt idx="505">
                  <c:v>38.626827593729203</c:v>
                </c:pt>
                <c:pt idx="506">
                  <c:v>38.489816688192064</c:v>
                </c:pt>
                <c:pt idx="507">
                  <c:v>38.490288601725652</c:v>
                </c:pt>
                <c:pt idx="508">
                  <c:v>38.46189083186087</c:v>
                </c:pt>
                <c:pt idx="509">
                  <c:v>38.317833780177821</c:v>
                </c:pt>
                <c:pt idx="510">
                  <c:v>38.288771933342638</c:v>
                </c:pt>
                <c:pt idx="511">
                  <c:v>38.286629616943401</c:v>
                </c:pt>
                <c:pt idx="512">
                  <c:v>38.255034163707336</c:v>
                </c:pt>
                <c:pt idx="513">
                  <c:v>38.223218498269581</c:v>
                </c:pt>
                <c:pt idx="514">
                  <c:v>38.194262977825339</c:v>
                </c:pt>
                <c:pt idx="515">
                  <c:v>38.164722228883036</c:v>
                </c:pt>
                <c:pt idx="516">
                  <c:v>38.135630067526691</c:v>
                </c:pt>
                <c:pt idx="517">
                  <c:v>38.106659471880327</c:v>
                </c:pt>
                <c:pt idx="518">
                  <c:v>38.104461557979235</c:v>
                </c:pt>
                <c:pt idx="519">
                  <c:v>38.074602256562677</c:v>
                </c:pt>
                <c:pt idx="520">
                  <c:v>38.043907332130836</c:v>
                </c:pt>
                <c:pt idx="521">
                  <c:v>38.011020110686523</c:v>
                </c:pt>
                <c:pt idx="522">
                  <c:v>38.010591841211088</c:v>
                </c:pt>
                <c:pt idx="523">
                  <c:v>37.897358463474724</c:v>
                </c:pt>
                <c:pt idx="524">
                  <c:v>37.895935282745228</c:v>
                </c:pt>
                <c:pt idx="525">
                  <c:v>38.038256335547281</c:v>
                </c:pt>
                <c:pt idx="526">
                  <c:v>38.181246221413815</c:v>
                </c:pt>
                <c:pt idx="527">
                  <c:v>38.323984043572629</c:v>
                </c:pt>
                <c:pt idx="528">
                  <c:v>38.46629051959426</c:v>
                </c:pt>
                <c:pt idx="529">
                  <c:v>38.610117165492078</c:v>
                </c:pt>
                <c:pt idx="530">
                  <c:v>38.752934275670739</c:v>
                </c:pt>
                <c:pt idx="531">
                  <c:v>38.896793640239302</c:v>
                </c:pt>
                <c:pt idx="532">
                  <c:v>39.04004855290421</c:v>
                </c:pt>
                <c:pt idx="533">
                  <c:v>39.180690306555043</c:v>
                </c:pt>
                <c:pt idx="534">
                  <c:v>39.323306600253737</c:v>
                </c:pt>
                <c:pt idx="535">
                  <c:v>39.459356837490418</c:v>
                </c:pt>
                <c:pt idx="536">
                  <c:v>39.599925038903514</c:v>
                </c:pt>
                <c:pt idx="537">
                  <c:v>39.599671529011019</c:v>
                </c:pt>
                <c:pt idx="538">
                  <c:v>39.743611037150671</c:v>
                </c:pt>
                <c:pt idx="539">
                  <c:v>39.886602528707243</c:v>
                </c:pt>
                <c:pt idx="540">
                  <c:v>40.02819132116678</c:v>
                </c:pt>
                <c:pt idx="541">
                  <c:v>40.029547373567496</c:v>
                </c:pt>
                <c:pt idx="542">
                  <c:v>40.0311483290292</c:v>
                </c:pt>
                <c:pt idx="543">
                  <c:v>40.033725125797638</c:v>
                </c:pt>
                <c:pt idx="544">
                  <c:v>40.035599242326711</c:v>
                </c:pt>
                <c:pt idx="545">
                  <c:v>40.036525459382233</c:v>
                </c:pt>
                <c:pt idx="546">
                  <c:v>40.037389134944988</c:v>
                </c:pt>
                <c:pt idx="547">
                  <c:v>40.037434194306961</c:v>
                </c:pt>
                <c:pt idx="548">
                  <c:v>40.038275254219393</c:v>
                </c:pt>
                <c:pt idx="549">
                  <c:v>40.038544573735543</c:v>
                </c:pt>
                <c:pt idx="550">
                  <c:v>40.039650264730007</c:v>
                </c:pt>
                <c:pt idx="551">
                  <c:v>40.04157589335783</c:v>
                </c:pt>
                <c:pt idx="552">
                  <c:v>40.044676298180192</c:v>
                </c:pt>
                <c:pt idx="553">
                  <c:v>40.046717353643437</c:v>
                </c:pt>
                <c:pt idx="554">
                  <c:v>40.047893384097137</c:v>
                </c:pt>
                <c:pt idx="555">
                  <c:v>39.978298459942742</c:v>
                </c:pt>
                <c:pt idx="556">
                  <c:v>39.890114777434171</c:v>
                </c:pt>
                <c:pt idx="557">
                  <c:v>39.80347787075376</c:v>
                </c:pt>
                <c:pt idx="558">
                  <c:v>39.723133683123834</c:v>
                </c:pt>
                <c:pt idx="559">
                  <c:v>39.626413856460772</c:v>
                </c:pt>
                <c:pt idx="560">
                  <c:v>39.536550366412854</c:v>
                </c:pt>
                <c:pt idx="561">
                  <c:v>39.441452618318301</c:v>
                </c:pt>
                <c:pt idx="562">
                  <c:v>39.346565505402054</c:v>
                </c:pt>
                <c:pt idx="563">
                  <c:v>39.244556769646373</c:v>
                </c:pt>
                <c:pt idx="564">
                  <c:v>39.138334711988215</c:v>
                </c:pt>
                <c:pt idx="565">
                  <c:v>39.037224034579417</c:v>
                </c:pt>
                <c:pt idx="566">
                  <c:v>38.94187401934358</c:v>
                </c:pt>
                <c:pt idx="567">
                  <c:v>38.844822883012895</c:v>
                </c:pt>
                <c:pt idx="568">
                  <c:v>38.742310355042626</c:v>
                </c:pt>
                <c:pt idx="569">
                  <c:v>38.634658045434286</c:v>
                </c:pt>
                <c:pt idx="570">
                  <c:v>38.518246799084714</c:v>
                </c:pt>
                <c:pt idx="571">
                  <c:v>38.54449787267572</c:v>
                </c:pt>
                <c:pt idx="572">
                  <c:v>38.578488102467411</c:v>
                </c:pt>
                <c:pt idx="573">
                  <c:v>38.609347390235804</c:v>
                </c:pt>
                <c:pt idx="574">
                  <c:v>38.640704592273053</c:v>
                </c:pt>
                <c:pt idx="575">
                  <c:v>38.669872250708714</c:v>
                </c:pt>
                <c:pt idx="576">
                  <c:v>38.701090107852977</c:v>
                </c:pt>
                <c:pt idx="577">
                  <c:v>38.733984021115326</c:v>
                </c:pt>
                <c:pt idx="578">
                  <c:v>38.76834551807395</c:v>
                </c:pt>
                <c:pt idx="579">
                  <c:v>38.808022764272245</c:v>
                </c:pt>
                <c:pt idx="580">
                  <c:v>38.849952336644556</c:v>
                </c:pt>
                <c:pt idx="581">
                  <c:v>38.893245047502333</c:v>
                </c:pt>
                <c:pt idx="582">
                  <c:v>38.922037878376457</c:v>
                </c:pt>
                <c:pt idx="583">
                  <c:v>38.953170767422151</c:v>
                </c:pt>
                <c:pt idx="584">
                  <c:v>38.983277251904887</c:v>
                </c:pt>
                <c:pt idx="585">
                  <c:v>38.950914029310489</c:v>
                </c:pt>
                <c:pt idx="586">
                  <c:v>38.934734847247135</c:v>
                </c:pt>
                <c:pt idx="587">
                  <c:v>38.915006886644356</c:v>
                </c:pt>
                <c:pt idx="588">
                  <c:v>38.881981139809987</c:v>
                </c:pt>
                <c:pt idx="589">
                  <c:v>38.860684908311732</c:v>
                </c:pt>
                <c:pt idx="590">
                  <c:v>38.821856980909018</c:v>
                </c:pt>
                <c:pt idx="591">
                  <c:v>38.785984516368721</c:v>
                </c:pt>
                <c:pt idx="592">
                  <c:v>38.752584146241887</c:v>
                </c:pt>
                <c:pt idx="593">
                  <c:v>38.730477096445242</c:v>
                </c:pt>
                <c:pt idx="594">
                  <c:v>38.705496476853142</c:v>
                </c:pt>
                <c:pt idx="595">
                  <c:v>38.676767760187367</c:v>
                </c:pt>
                <c:pt idx="596">
                  <c:v>38.642284876777907</c:v>
                </c:pt>
                <c:pt idx="597">
                  <c:v>38.620166232027486</c:v>
                </c:pt>
                <c:pt idx="598">
                  <c:v>38.603849823817853</c:v>
                </c:pt>
                <c:pt idx="599">
                  <c:v>38.58501868012965</c:v>
                </c:pt>
                <c:pt idx="600">
                  <c:v>38.573859936563061</c:v>
                </c:pt>
                <c:pt idx="601">
                  <c:v>38.582885070244167</c:v>
                </c:pt>
                <c:pt idx="602">
                  <c:v>38.586002928319431</c:v>
                </c:pt>
                <c:pt idx="603">
                  <c:v>38.435371966435767</c:v>
                </c:pt>
                <c:pt idx="604">
                  <c:v>38.286965813031863</c:v>
                </c:pt>
                <c:pt idx="605">
                  <c:v>38.14071283534998</c:v>
                </c:pt>
                <c:pt idx="606">
                  <c:v>37.991429600594046</c:v>
                </c:pt>
                <c:pt idx="607">
                  <c:v>37.840017875061953</c:v>
                </c:pt>
                <c:pt idx="608">
                  <c:v>37.687524565201208</c:v>
                </c:pt>
                <c:pt idx="609">
                  <c:v>37.530568344232655</c:v>
                </c:pt>
                <c:pt idx="610">
                  <c:v>37.368664425257535</c:v>
                </c:pt>
                <c:pt idx="611">
                  <c:v>37.205499357873052</c:v>
                </c:pt>
                <c:pt idx="612">
                  <c:v>37.055766649817272</c:v>
                </c:pt>
                <c:pt idx="613">
                  <c:v>36.906237165809237</c:v>
                </c:pt>
                <c:pt idx="614">
                  <c:v>36.758037100336274</c:v>
                </c:pt>
                <c:pt idx="615">
                  <c:v>36.603057997683429</c:v>
                </c:pt>
                <c:pt idx="616">
                  <c:v>36.446442886716987</c:v>
                </c:pt>
                <c:pt idx="617">
                  <c:v>36.446212483114017</c:v>
                </c:pt>
                <c:pt idx="618">
                  <c:v>36.451178563682923</c:v>
                </c:pt>
                <c:pt idx="619">
                  <c:v>36.477304241286106</c:v>
                </c:pt>
                <c:pt idx="620">
                  <c:v>36.510607060269457</c:v>
                </c:pt>
                <c:pt idx="621">
                  <c:v>36.541703062480352</c:v>
                </c:pt>
                <c:pt idx="622">
                  <c:v>36.574965411038541</c:v>
                </c:pt>
                <c:pt idx="623">
                  <c:v>36.608906218550636</c:v>
                </c:pt>
                <c:pt idx="624">
                  <c:v>36.647359777950463</c:v>
                </c:pt>
                <c:pt idx="625">
                  <c:v>36.679317299264717</c:v>
                </c:pt>
                <c:pt idx="626">
                  <c:v>36.712829898660139</c:v>
                </c:pt>
                <c:pt idx="627">
                  <c:v>36.731722960829337</c:v>
                </c:pt>
                <c:pt idx="628">
                  <c:v>36.750731126323849</c:v>
                </c:pt>
                <c:pt idx="629">
                  <c:v>36.770612576377424</c:v>
                </c:pt>
                <c:pt idx="630">
                  <c:v>36.811518320712267</c:v>
                </c:pt>
                <c:pt idx="631">
                  <c:v>36.831066184419107</c:v>
                </c:pt>
                <c:pt idx="632">
                  <c:v>36.654526129982081</c:v>
                </c:pt>
                <c:pt idx="633">
                  <c:v>36.626991058052077</c:v>
                </c:pt>
                <c:pt idx="634">
                  <c:v>36.5964779131059</c:v>
                </c:pt>
                <c:pt idx="635">
                  <c:v>36.566580588840324</c:v>
                </c:pt>
                <c:pt idx="636">
                  <c:v>36.538080642518253</c:v>
                </c:pt>
                <c:pt idx="637">
                  <c:v>36.510420530990309</c:v>
                </c:pt>
                <c:pt idx="638">
                  <c:v>36.482546990558369</c:v>
                </c:pt>
                <c:pt idx="639">
                  <c:v>36.454853166516614</c:v>
                </c:pt>
                <c:pt idx="640">
                  <c:v>36.426907511590002</c:v>
                </c:pt>
                <c:pt idx="641">
                  <c:v>36.401893444210216</c:v>
                </c:pt>
                <c:pt idx="642">
                  <c:v>36.374760875154685</c:v>
                </c:pt>
                <c:pt idx="643">
                  <c:v>36.344141372006817</c:v>
                </c:pt>
                <c:pt idx="644">
                  <c:v>36.315016560698453</c:v>
                </c:pt>
                <c:pt idx="645">
                  <c:v>36.284342836757681</c:v>
                </c:pt>
                <c:pt idx="646">
                  <c:v>36.458154314360335</c:v>
                </c:pt>
                <c:pt idx="647">
                  <c:v>36.477877866966779</c:v>
                </c:pt>
                <c:pt idx="648">
                  <c:v>36.49989785329857</c:v>
                </c:pt>
                <c:pt idx="649">
                  <c:v>36.504590711678176</c:v>
                </c:pt>
                <c:pt idx="650">
                  <c:v>36.51331771952588</c:v>
                </c:pt>
                <c:pt idx="651">
                  <c:v>36.525231999281395</c:v>
                </c:pt>
                <c:pt idx="652">
                  <c:v>36.53361773000433</c:v>
                </c:pt>
                <c:pt idx="653">
                  <c:v>36.539872742653657</c:v>
                </c:pt>
                <c:pt idx="654">
                  <c:v>36.54605499629011</c:v>
                </c:pt>
                <c:pt idx="655">
                  <c:v>36.558461394322563</c:v>
                </c:pt>
                <c:pt idx="656">
                  <c:v>36.56767550949845</c:v>
                </c:pt>
                <c:pt idx="657">
                  <c:v>36.580718512938603</c:v>
                </c:pt>
                <c:pt idx="658">
                  <c:v>36.59282560259453</c:v>
                </c:pt>
                <c:pt idx="659">
                  <c:v>36.612377399733752</c:v>
                </c:pt>
                <c:pt idx="660">
                  <c:v>36.61318919012583</c:v>
                </c:pt>
                <c:pt idx="661">
                  <c:v>36.612892183315331</c:v>
                </c:pt>
                <c:pt idx="662">
                  <c:v>36.720845365528326</c:v>
                </c:pt>
                <c:pt idx="663">
                  <c:v>36.835251584787521</c:v>
                </c:pt>
                <c:pt idx="664">
                  <c:v>36.951716682101861</c:v>
                </c:pt>
                <c:pt idx="665">
                  <c:v>37.06755480221225</c:v>
                </c:pt>
                <c:pt idx="666">
                  <c:v>37.183715449914537</c:v>
                </c:pt>
                <c:pt idx="667">
                  <c:v>37.242956589974206</c:v>
                </c:pt>
                <c:pt idx="668">
                  <c:v>37.358867963093203</c:v>
                </c:pt>
                <c:pt idx="669">
                  <c:v>37.475386005060315</c:v>
                </c:pt>
                <c:pt idx="670">
                  <c:v>37.534953094729957</c:v>
                </c:pt>
                <c:pt idx="671">
                  <c:v>37.647130045583154</c:v>
                </c:pt>
                <c:pt idx="672">
                  <c:v>37.762115403872528</c:v>
                </c:pt>
                <c:pt idx="673">
                  <c:v>37.878802511436348</c:v>
                </c:pt>
                <c:pt idx="674">
                  <c:v>37.937812307040076</c:v>
                </c:pt>
                <c:pt idx="675">
                  <c:v>38.052910812843017</c:v>
                </c:pt>
                <c:pt idx="676">
                  <c:v>37.966643145344143</c:v>
                </c:pt>
                <c:pt idx="677">
                  <c:v>37.822168139968404</c:v>
                </c:pt>
                <c:pt idx="678">
                  <c:v>37.736416080770596</c:v>
                </c:pt>
                <c:pt idx="679">
                  <c:v>37.765663703920232</c:v>
                </c:pt>
                <c:pt idx="680">
                  <c:v>37.621448192505795</c:v>
                </c:pt>
                <c:pt idx="681">
                  <c:v>37.476781593417542</c:v>
                </c:pt>
                <c:pt idx="682">
                  <c:v>37.331066149748899</c:v>
                </c:pt>
                <c:pt idx="683">
                  <c:v>37.186631061053852</c:v>
                </c:pt>
                <c:pt idx="684">
                  <c:v>37.042514187348921</c:v>
                </c:pt>
                <c:pt idx="685">
                  <c:v>36.899054152704785</c:v>
                </c:pt>
                <c:pt idx="686">
                  <c:v>36.756405525011253</c:v>
                </c:pt>
                <c:pt idx="687">
                  <c:v>36.611957613742497</c:v>
                </c:pt>
                <c:pt idx="688">
                  <c:v>36.467391241919316</c:v>
                </c:pt>
                <c:pt idx="689">
                  <c:v>36.323569365956892</c:v>
                </c:pt>
                <c:pt idx="690">
                  <c:v>36.180187287217294</c:v>
                </c:pt>
                <c:pt idx="691">
                  <c:v>36.037300539006687</c:v>
                </c:pt>
                <c:pt idx="692">
                  <c:v>35.979106365556284</c:v>
                </c:pt>
                <c:pt idx="693">
                  <c:v>36.12307316980305</c:v>
                </c:pt>
                <c:pt idx="694">
                  <c:v>36.065487294367557</c:v>
                </c:pt>
                <c:pt idx="695">
                  <c:v>36.007935311144678</c:v>
                </c:pt>
                <c:pt idx="696">
                  <c:v>35.899358188213014</c:v>
                </c:pt>
                <c:pt idx="697">
                  <c:v>35.840704295265063</c:v>
                </c:pt>
                <c:pt idx="698">
                  <c:v>35.7253593092275</c:v>
                </c:pt>
                <c:pt idx="699">
                  <c:v>35.610431659937746</c:v>
                </c:pt>
                <c:pt idx="700">
                  <c:v>35.609828655836139</c:v>
                </c:pt>
                <c:pt idx="701">
                  <c:v>35.551971868975407</c:v>
                </c:pt>
                <c:pt idx="702">
                  <c:v>35.497466396920437</c:v>
                </c:pt>
                <c:pt idx="703">
                  <c:v>35.438449049388417</c:v>
                </c:pt>
                <c:pt idx="704">
                  <c:v>35.438914774770261</c:v>
                </c:pt>
                <c:pt idx="705">
                  <c:v>35.385754800954977</c:v>
                </c:pt>
                <c:pt idx="706">
                  <c:v>35.340744131933135</c:v>
                </c:pt>
                <c:pt idx="707">
                  <c:v>35.542649944927497</c:v>
                </c:pt>
                <c:pt idx="708">
                  <c:v>35.54364377213313</c:v>
                </c:pt>
                <c:pt idx="709">
                  <c:v>35.434792170722332</c:v>
                </c:pt>
                <c:pt idx="710">
                  <c:v>35.494364432806556</c:v>
                </c:pt>
                <c:pt idx="711">
                  <c:v>35.55450054598262</c:v>
                </c:pt>
                <c:pt idx="712">
                  <c:v>35.565670393259929</c:v>
                </c:pt>
                <c:pt idx="713">
                  <c:v>35.628295045651832</c:v>
                </c:pt>
                <c:pt idx="714">
                  <c:v>35.68740150980102</c:v>
                </c:pt>
                <c:pt idx="715">
                  <c:v>35.698366422136253</c:v>
                </c:pt>
                <c:pt idx="716">
                  <c:v>35.713802381661552</c:v>
                </c:pt>
                <c:pt idx="717">
                  <c:v>35.721720865348153</c:v>
                </c:pt>
                <c:pt idx="718">
                  <c:v>35.728481905966568</c:v>
                </c:pt>
                <c:pt idx="719">
                  <c:v>35.743987800471849</c:v>
                </c:pt>
                <c:pt idx="720">
                  <c:v>35.75414009094834</c:v>
                </c:pt>
                <c:pt idx="721">
                  <c:v>35.759546786948128</c:v>
                </c:pt>
                <c:pt idx="722">
                  <c:v>35.767234036985251</c:v>
                </c:pt>
                <c:pt idx="723">
                  <c:v>35.764390893225361</c:v>
                </c:pt>
                <c:pt idx="724">
                  <c:v>35.963747985284172</c:v>
                </c:pt>
                <c:pt idx="725">
                  <c:v>36.162179474628068</c:v>
                </c:pt>
                <c:pt idx="726">
                  <c:v>36.41337639349468</c:v>
                </c:pt>
                <c:pt idx="727">
                  <c:v>36.670000467463225</c:v>
                </c:pt>
                <c:pt idx="728">
                  <c:v>36.92823688618941</c:v>
                </c:pt>
                <c:pt idx="729">
                  <c:v>36.984633170264992</c:v>
                </c:pt>
                <c:pt idx="730">
                  <c:v>36.983671745233728</c:v>
                </c:pt>
                <c:pt idx="731">
                  <c:v>36.984210587203776</c:v>
                </c:pt>
                <c:pt idx="732">
                  <c:v>36.981269136737261</c:v>
                </c:pt>
                <c:pt idx="733">
                  <c:v>36.981700354711883</c:v>
                </c:pt>
                <c:pt idx="734">
                  <c:v>36.978368515853688</c:v>
                </c:pt>
                <c:pt idx="735">
                  <c:v>36.971946140875595</c:v>
                </c:pt>
                <c:pt idx="736">
                  <c:v>36.957936378346247</c:v>
                </c:pt>
                <c:pt idx="737">
                  <c:v>36.95588851486837</c:v>
                </c:pt>
                <c:pt idx="738">
                  <c:v>37.098240187917021</c:v>
                </c:pt>
                <c:pt idx="739">
                  <c:v>37.233173277336576</c:v>
                </c:pt>
                <c:pt idx="740">
                  <c:v>37.374101898149817</c:v>
                </c:pt>
                <c:pt idx="741">
                  <c:v>37.515654966633186</c:v>
                </c:pt>
                <c:pt idx="742">
                  <c:v>37.707744018650232</c:v>
                </c:pt>
                <c:pt idx="743">
                  <c:v>37.846516698387582</c:v>
                </c:pt>
                <c:pt idx="744">
                  <c:v>37.987967955511586</c:v>
                </c:pt>
                <c:pt idx="745">
                  <c:v>38.177712106847942</c:v>
                </c:pt>
                <c:pt idx="746">
                  <c:v>38.361509830940051</c:v>
                </c:pt>
                <c:pt idx="747">
                  <c:v>38.554509485934751</c:v>
                </c:pt>
                <c:pt idx="748">
                  <c:v>38.748460692346292</c:v>
                </c:pt>
                <c:pt idx="749">
                  <c:v>38.934030009509407</c:v>
                </c:pt>
                <c:pt idx="750">
                  <c:v>39.123097838353949</c:v>
                </c:pt>
                <c:pt idx="751">
                  <c:v>39.060574368770155</c:v>
                </c:pt>
                <c:pt idx="752">
                  <c:v>39.255698287394992</c:v>
                </c:pt>
                <c:pt idx="753">
                  <c:v>39.026737196648817</c:v>
                </c:pt>
                <c:pt idx="754">
                  <c:v>38.797318907853722</c:v>
                </c:pt>
                <c:pt idx="755">
                  <c:v>38.570831394230979</c:v>
                </c:pt>
                <c:pt idx="756">
                  <c:v>38.342561058192523</c:v>
                </c:pt>
                <c:pt idx="757">
                  <c:v>38.114433157925717</c:v>
                </c:pt>
                <c:pt idx="758">
                  <c:v>37.884369433487251</c:v>
                </c:pt>
                <c:pt idx="759">
                  <c:v>37.853969292448603</c:v>
                </c:pt>
                <c:pt idx="760">
                  <c:v>37.799255114341932</c:v>
                </c:pt>
                <c:pt idx="761">
                  <c:v>37.741967701794806</c:v>
                </c:pt>
                <c:pt idx="762">
                  <c:v>37.685458633501824</c:v>
                </c:pt>
                <c:pt idx="763">
                  <c:v>37.628852742500847</c:v>
                </c:pt>
                <c:pt idx="764">
                  <c:v>37.602754750064577</c:v>
                </c:pt>
                <c:pt idx="765">
                  <c:v>37.575793552849774</c:v>
                </c:pt>
                <c:pt idx="766">
                  <c:v>37.551230877839515</c:v>
                </c:pt>
                <c:pt idx="767">
                  <c:v>37.32456320961429</c:v>
                </c:pt>
                <c:pt idx="768">
                  <c:v>37.095423890876027</c:v>
                </c:pt>
                <c:pt idx="769">
                  <c:v>36.869217610747825</c:v>
                </c:pt>
                <c:pt idx="770">
                  <c:v>36.640242002693775</c:v>
                </c:pt>
                <c:pt idx="771">
                  <c:v>36.641143377605793</c:v>
                </c:pt>
                <c:pt idx="772">
                  <c:v>36.669436704060786</c:v>
                </c:pt>
                <c:pt idx="773">
                  <c:v>36.697633845954776</c:v>
                </c:pt>
                <c:pt idx="774">
                  <c:v>36.72796061787399</c:v>
                </c:pt>
                <c:pt idx="775">
                  <c:v>36.757315449543775</c:v>
                </c:pt>
                <c:pt idx="776">
                  <c:v>36.787333143370894</c:v>
                </c:pt>
                <c:pt idx="777">
                  <c:v>36.816294660240267</c:v>
                </c:pt>
                <c:pt idx="778">
                  <c:v>36.846139197798998</c:v>
                </c:pt>
                <c:pt idx="779">
                  <c:v>36.645051778527652</c:v>
                </c:pt>
                <c:pt idx="780">
                  <c:v>36.673776223724055</c:v>
                </c:pt>
                <c:pt idx="781">
                  <c:v>36.959537095371068</c:v>
                </c:pt>
                <c:pt idx="782">
                  <c:v>36.757443896411552</c:v>
                </c:pt>
                <c:pt idx="783">
                  <c:v>37.017819619901552</c:v>
                </c:pt>
                <c:pt idx="784">
                  <c:v>37.277566018979606</c:v>
                </c:pt>
                <c:pt idx="785">
                  <c:v>37.534255570195938</c:v>
                </c:pt>
                <c:pt idx="786">
                  <c:v>37.619850540027301</c:v>
                </c:pt>
                <c:pt idx="787">
                  <c:v>37.696532244423956</c:v>
                </c:pt>
                <c:pt idx="788">
                  <c:v>37.830339570549057</c:v>
                </c:pt>
                <c:pt idx="789">
                  <c:v>37.973461686544873</c:v>
                </c:pt>
                <c:pt idx="790">
                  <c:v>38.162211734328018</c:v>
                </c:pt>
                <c:pt idx="791">
                  <c:v>38.32176745590138</c:v>
                </c:pt>
                <c:pt idx="792">
                  <c:v>38.484879709713212</c:v>
                </c:pt>
                <c:pt idx="793">
                  <c:v>38.65397418136164</c:v>
                </c:pt>
                <c:pt idx="794">
                  <c:v>38.797083826512171</c:v>
                </c:pt>
                <c:pt idx="795">
                  <c:v>38.947973493290391</c:v>
                </c:pt>
                <c:pt idx="796">
                  <c:v>39.107111609568065</c:v>
                </c:pt>
                <c:pt idx="797">
                  <c:v>39.27726722557432</c:v>
                </c:pt>
                <c:pt idx="798">
                  <c:v>39.397946362285097</c:v>
                </c:pt>
                <c:pt idx="799">
                  <c:v>39.533816450964167</c:v>
                </c:pt>
                <c:pt idx="800">
                  <c:v>39.79189994045656</c:v>
                </c:pt>
                <c:pt idx="801">
                  <c:v>39.8195916160088</c:v>
                </c:pt>
                <c:pt idx="802">
                  <c:v>39.820950287180182</c:v>
                </c:pt>
                <c:pt idx="803">
                  <c:v>39.822655009705016</c:v>
                </c:pt>
                <c:pt idx="804">
                  <c:v>39.824566991274118</c:v>
                </c:pt>
                <c:pt idx="805">
                  <c:v>39.825507004327939</c:v>
                </c:pt>
                <c:pt idx="806">
                  <c:v>39.826057731658992</c:v>
                </c:pt>
                <c:pt idx="807">
                  <c:v>39.827095605811422</c:v>
                </c:pt>
                <c:pt idx="808">
                  <c:v>39.828092504115816</c:v>
                </c:pt>
                <c:pt idx="809">
                  <c:v>40.05642833515563</c:v>
                </c:pt>
                <c:pt idx="810">
                  <c:v>40.057031110394306</c:v>
                </c:pt>
                <c:pt idx="811">
                  <c:v>40.059422243222109</c:v>
                </c:pt>
                <c:pt idx="812">
                  <c:v>40.289669002449394</c:v>
                </c:pt>
                <c:pt idx="813">
                  <c:v>40.285965023638603</c:v>
                </c:pt>
                <c:pt idx="814">
                  <c:v>40.255144842293461</c:v>
                </c:pt>
                <c:pt idx="815">
                  <c:v>40.183858510166644</c:v>
                </c:pt>
                <c:pt idx="816">
                  <c:v>40.301193304269937</c:v>
                </c:pt>
                <c:pt idx="817">
                  <c:v>40.406662746521086</c:v>
                </c:pt>
                <c:pt idx="818">
                  <c:v>40.45881149939958</c:v>
                </c:pt>
                <c:pt idx="819">
                  <c:v>40.495296260862112</c:v>
                </c:pt>
                <c:pt idx="820">
                  <c:v>40.503985691472401</c:v>
                </c:pt>
                <c:pt idx="821">
                  <c:v>40.458660588570865</c:v>
                </c:pt>
                <c:pt idx="822">
                  <c:v>40.411594096353618</c:v>
                </c:pt>
                <c:pt idx="823">
                  <c:v>40.362720886615456</c:v>
                </c:pt>
                <c:pt idx="824">
                  <c:v>40.318599940841118</c:v>
                </c:pt>
                <c:pt idx="825">
                  <c:v>40.262200021677906</c:v>
                </c:pt>
                <c:pt idx="826">
                  <c:v>40.270102714133408</c:v>
                </c:pt>
                <c:pt idx="827">
                  <c:v>40.290273196119422</c:v>
                </c:pt>
                <c:pt idx="828">
                  <c:v>40.429483087038321</c:v>
                </c:pt>
                <c:pt idx="829">
                  <c:v>40.325521690278869</c:v>
                </c:pt>
                <c:pt idx="830">
                  <c:v>40.100378112040488</c:v>
                </c:pt>
                <c:pt idx="831">
                  <c:v>39.875775146919956</c:v>
                </c:pt>
                <c:pt idx="832">
                  <c:v>39.653943111121215</c:v>
                </c:pt>
                <c:pt idx="833">
                  <c:v>39.430147206369114</c:v>
                </c:pt>
                <c:pt idx="834">
                  <c:v>39.199319030175324</c:v>
                </c:pt>
                <c:pt idx="835">
                  <c:v>38.970967500605418</c:v>
                </c:pt>
                <c:pt idx="836">
                  <c:v>38.744588318045821</c:v>
                </c:pt>
                <c:pt idx="837">
                  <c:v>38.518796181217212</c:v>
                </c:pt>
                <c:pt idx="838">
                  <c:v>38.290567869612659</c:v>
                </c:pt>
                <c:pt idx="839">
                  <c:v>38.066625216237334</c:v>
                </c:pt>
                <c:pt idx="840">
                  <c:v>37.840188137240119</c:v>
                </c:pt>
                <c:pt idx="841">
                  <c:v>37.611207020951504</c:v>
                </c:pt>
                <c:pt idx="842">
                  <c:v>37.356727523343011</c:v>
                </c:pt>
                <c:pt idx="843">
                  <c:v>37.09834368133113</c:v>
                </c:pt>
                <c:pt idx="844">
                  <c:v>36.868192485850045</c:v>
                </c:pt>
                <c:pt idx="845">
                  <c:v>36.678864819597706</c:v>
                </c:pt>
                <c:pt idx="846">
                  <c:v>36.471478876133709</c:v>
                </c:pt>
                <c:pt idx="847">
                  <c:v>36.284774931914995</c:v>
                </c:pt>
                <c:pt idx="848">
                  <c:v>36.095804924470933</c:v>
                </c:pt>
                <c:pt idx="849">
                  <c:v>35.913817133078275</c:v>
                </c:pt>
                <c:pt idx="850">
                  <c:v>35.74219885253865</c:v>
                </c:pt>
                <c:pt idx="851">
                  <c:v>35.654401179871762</c:v>
                </c:pt>
                <c:pt idx="852">
                  <c:v>35.564621252768781</c:v>
                </c:pt>
                <c:pt idx="853">
                  <c:v>35.470087188679678</c:v>
                </c:pt>
                <c:pt idx="854">
                  <c:v>35.366806277895918</c:v>
                </c:pt>
                <c:pt idx="855">
                  <c:v>35.268175529580844</c:v>
                </c:pt>
                <c:pt idx="856">
                  <c:v>35.096066523772279</c:v>
                </c:pt>
                <c:pt idx="857">
                  <c:v>34.901164529704154</c:v>
                </c:pt>
                <c:pt idx="858">
                  <c:v>34.637958653923164</c:v>
                </c:pt>
                <c:pt idx="859">
                  <c:v>34.601274228873422</c:v>
                </c:pt>
                <c:pt idx="860">
                  <c:v>34.565372820547537</c:v>
                </c:pt>
                <c:pt idx="861">
                  <c:v>34.792124066778719</c:v>
                </c:pt>
                <c:pt idx="862">
                  <c:v>35.014082386370333</c:v>
                </c:pt>
                <c:pt idx="863">
                  <c:v>35.239323230914003</c:v>
                </c:pt>
                <c:pt idx="864">
                  <c:v>35.469400098908181</c:v>
                </c:pt>
                <c:pt idx="865">
                  <c:v>35.697923028288955</c:v>
                </c:pt>
                <c:pt idx="866">
                  <c:v>35.925137826148131</c:v>
                </c:pt>
                <c:pt idx="867">
                  <c:v>36.152714798939655</c:v>
                </c:pt>
                <c:pt idx="868">
                  <c:v>36.38195055750009</c:v>
                </c:pt>
                <c:pt idx="869">
                  <c:v>36.609193228420885</c:v>
                </c:pt>
                <c:pt idx="870">
                  <c:v>36.837858126732307</c:v>
                </c:pt>
                <c:pt idx="871">
                  <c:v>37.066617343903559</c:v>
                </c:pt>
                <c:pt idx="872">
                  <c:v>37.322296631202001</c:v>
                </c:pt>
                <c:pt idx="873">
                  <c:v>37.585972705227867</c:v>
                </c:pt>
                <c:pt idx="874">
                  <c:v>37.848061367858122</c:v>
                </c:pt>
                <c:pt idx="875">
                  <c:v>38.111764500946293</c:v>
                </c:pt>
                <c:pt idx="876">
                  <c:v>38.143247885511911</c:v>
                </c:pt>
                <c:pt idx="877">
                  <c:v>38.150258159186798</c:v>
                </c:pt>
                <c:pt idx="878">
                  <c:v>38.154359737438519</c:v>
                </c:pt>
                <c:pt idx="879">
                  <c:v>38.158842244354929</c:v>
                </c:pt>
                <c:pt idx="880">
                  <c:v>38.161389465279505</c:v>
                </c:pt>
                <c:pt idx="881">
                  <c:v>38.162737857227953</c:v>
                </c:pt>
                <c:pt idx="882">
                  <c:v>38.163307325255865</c:v>
                </c:pt>
                <c:pt idx="883">
                  <c:v>38.169205440334672</c:v>
                </c:pt>
                <c:pt idx="884">
                  <c:v>38.173606778243126</c:v>
                </c:pt>
                <c:pt idx="885">
                  <c:v>38.177488555832497</c:v>
                </c:pt>
                <c:pt idx="886">
                  <c:v>38.181835064797632</c:v>
                </c:pt>
                <c:pt idx="887">
                  <c:v>38.186474714482607</c:v>
                </c:pt>
                <c:pt idx="888">
                  <c:v>38.188781097863661</c:v>
                </c:pt>
                <c:pt idx="889">
                  <c:v>38.191962016806357</c:v>
                </c:pt>
                <c:pt idx="890">
                  <c:v>38.455033173043965</c:v>
                </c:pt>
                <c:pt idx="891">
                  <c:v>38.193021847266905</c:v>
                </c:pt>
                <c:pt idx="892">
                  <c:v>37.961350196427617</c:v>
                </c:pt>
                <c:pt idx="893">
                  <c:v>37.728943530220327</c:v>
                </c:pt>
                <c:pt idx="894">
                  <c:v>37.46933926091392</c:v>
                </c:pt>
                <c:pt idx="895">
                  <c:v>37.236744237742798</c:v>
                </c:pt>
                <c:pt idx="896">
                  <c:v>37.004227413343678</c:v>
                </c:pt>
                <c:pt idx="897">
                  <c:v>36.771505356733186</c:v>
                </c:pt>
                <c:pt idx="898">
                  <c:v>36.510763464312575</c:v>
                </c:pt>
                <c:pt idx="899">
                  <c:v>36.279907521952062</c:v>
                </c:pt>
                <c:pt idx="900">
                  <c:v>36.047593574703164</c:v>
                </c:pt>
                <c:pt idx="901">
                  <c:v>35.787426999353492</c:v>
                </c:pt>
                <c:pt idx="902">
                  <c:v>35.555337300183872</c:v>
                </c:pt>
                <c:pt idx="903">
                  <c:v>35.323482328991595</c:v>
                </c:pt>
                <c:pt idx="904">
                  <c:v>35.092387578590277</c:v>
                </c:pt>
                <c:pt idx="905">
                  <c:v>35.091483923144864</c:v>
                </c:pt>
                <c:pt idx="906">
                  <c:v>35.035064106709221</c:v>
                </c:pt>
                <c:pt idx="907">
                  <c:v>35.005075917638806</c:v>
                </c:pt>
                <c:pt idx="908">
                  <c:v>34.977751618723261</c:v>
                </c:pt>
                <c:pt idx="909">
                  <c:v>34.947584406752007</c:v>
                </c:pt>
                <c:pt idx="910">
                  <c:v>34.918168820222064</c:v>
                </c:pt>
                <c:pt idx="911">
                  <c:v>34.890115125817474</c:v>
                </c:pt>
                <c:pt idx="912">
                  <c:v>34.861248881000087</c:v>
                </c:pt>
                <c:pt idx="913">
                  <c:v>34.827884708577329</c:v>
                </c:pt>
                <c:pt idx="914">
                  <c:v>34.79866880018448</c:v>
                </c:pt>
                <c:pt idx="915">
                  <c:v>34.770500556860426</c:v>
                </c:pt>
                <c:pt idx="916">
                  <c:v>34.738588646628479</c:v>
                </c:pt>
                <c:pt idx="917">
                  <c:v>34.708747643200994</c:v>
                </c:pt>
                <c:pt idx="918">
                  <c:v>34.67896300403158</c:v>
                </c:pt>
                <c:pt idx="919">
                  <c:v>34.652184909762084</c:v>
                </c:pt>
                <c:pt idx="920">
                  <c:v>34.652594287336946</c:v>
                </c:pt>
                <c:pt idx="921">
                  <c:v>34.914777472893462</c:v>
                </c:pt>
                <c:pt idx="922">
                  <c:v>35.146868719913265</c:v>
                </c:pt>
                <c:pt idx="923">
                  <c:v>35.379187772544768</c:v>
                </c:pt>
                <c:pt idx="924">
                  <c:v>35.638727961377441</c:v>
                </c:pt>
                <c:pt idx="925">
                  <c:v>35.871417818980007</c:v>
                </c:pt>
                <c:pt idx="926">
                  <c:v>36.103780275492731</c:v>
                </c:pt>
                <c:pt idx="927">
                  <c:v>36.336718108356656</c:v>
                </c:pt>
                <c:pt idx="928">
                  <c:v>36.597237423452889</c:v>
                </c:pt>
                <c:pt idx="929">
                  <c:v>36.82833715536249</c:v>
                </c:pt>
                <c:pt idx="930">
                  <c:v>37.06006896634976</c:v>
                </c:pt>
                <c:pt idx="931">
                  <c:v>37.320373835736589</c:v>
                </c:pt>
                <c:pt idx="932">
                  <c:v>37.552933365183968</c:v>
                </c:pt>
                <c:pt idx="933">
                  <c:v>37.784582952507144</c:v>
                </c:pt>
                <c:pt idx="934">
                  <c:v>38.016072863550136</c:v>
                </c:pt>
                <c:pt idx="935">
                  <c:v>38.016472227745844</c:v>
                </c:pt>
                <c:pt idx="936">
                  <c:v>38.305251636577459</c:v>
                </c:pt>
                <c:pt idx="937">
                  <c:v>38.59323891526639</c:v>
                </c:pt>
                <c:pt idx="938">
                  <c:v>38.880994535278994</c:v>
                </c:pt>
                <c:pt idx="939">
                  <c:v>39.170319604894942</c:v>
                </c:pt>
                <c:pt idx="940">
                  <c:v>39.459021359036086</c:v>
                </c:pt>
                <c:pt idx="941">
                  <c:v>39.747945834914468</c:v>
                </c:pt>
                <c:pt idx="942">
                  <c:v>40.037918515541335</c:v>
                </c:pt>
                <c:pt idx="943">
                  <c:v>40.328617137245949</c:v>
                </c:pt>
                <c:pt idx="944">
                  <c:v>40.617470593412094</c:v>
                </c:pt>
                <c:pt idx="945">
                  <c:v>40.906670866878606</c:v>
                </c:pt>
                <c:pt idx="946">
                  <c:v>41.197003305949764</c:v>
                </c:pt>
                <c:pt idx="947">
                  <c:v>41.485605080605858</c:v>
                </c:pt>
                <c:pt idx="948">
                  <c:v>41.775330441330894</c:v>
                </c:pt>
                <c:pt idx="949">
                  <c:v>42.062492993559857</c:v>
                </c:pt>
                <c:pt idx="950">
                  <c:v>42.062389866758096</c:v>
                </c:pt>
                <c:pt idx="951">
                  <c:v>42.062164760446656</c:v>
                </c:pt>
                <c:pt idx="952">
                  <c:v>42.062009983968643</c:v>
                </c:pt>
                <c:pt idx="953">
                  <c:v>42.061355078540622</c:v>
                </c:pt>
                <c:pt idx="954">
                  <c:v>41.802400844841856</c:v>
                </c:pt>
                <c:pt idx="955">
                  <c:v>41.5612397353513</c:v>
                </c:pt>
                <c:pt idx="956">
                  <c:v>41.31389378533251</c:v>
                </c:pt>
                <c:pt idx="957">
                  <c:v>41.053404702578881</c:v>
                </c:pt>
                <c:pt idx="958">
                  <c:v>40.798527873692628</c:v>
                </c:pt>
                <c:pt idx="959">
                  <c:v>40.563440585641196</c:v>
                </c:pt>
                <c:pt idx="960">
                  <c:v>40.319929088993995</c:v>
                </c:pt>
                <c:pt idx="961">
                  <c:v>40.071105921989322</c:v>
                </c:pt>
                <c:pt idx="962">
                  <c:v>39.822303157827953</c:v>
                </c:pt>
                <c:pt idx="963">
                  <c:v>39.573494006241823</c:v>
                </c:pt>
                <c:pt idx="964">
                  <c:v>39.325299489621479</c:v>
                </c:pt>
                <c:pt idx="965">
                  <c:v>39.072864921504006</c:v>
                </c:pt>
                <c:pt idx="966">
                  <c:v>38.827242991287804</c:v>
                </c:pt>
                <c:pt idx="967">
                  <c:v>38.827457348709132</c:v>
                </c:pt>
                <c:pt idx="968">
                  <c:v>38.555836074179098</c:v>
                </c:pt>
                <c:pt idx="969">
                  <c:v>38.289562279557238</c:v>
                </c:pt>
                <c:pt idx="970">
                  <c:v>38.023898068102532</c:v>
                </c:pt>
                <c:pt idx="971">
                  <c:v>37.760548514240909</c:v>
                </c:pt>
                <c:pt idx="972">
                  <c:v>37.496592471973379</c:v>
                </c:pt>
                <c:pt idx="973">
                  <c:v>37.233569219822201</c:v>
                </c:pt>
                <c:pt idx="974">
                  <c:v>36.969538222086982</c:v>
                </c:pt>
                <c:pt idx="975">
                  <c:v>36.705598578319169</c:v>
                </c:pt>
                <c:pt idx="976">
                  <c:v>36.441093951059614</c:v>
                </c:pt>
                <c:pt idx="977">
                  <c:v>36.179315339878713</c:v>
                </c:pt>
                <c:pt idx="978">
                  <c:v>35.916990504108547</c:v>
                </c:pt>
                <c:pt idx="979">
                  <c:v>35.653349729922866</c:v>
                </c:pt>
                <c:pt idx="980">
                  <c:v>35.388972226008519</c:v>
                </c:pt>
                <c:pt idx="981">
                  <c:v>35.126882194794611</c:v>
                </c:pt>
                <c:pt idx="982">
                  <c:v>35.127261770754785</c:v>
                </c:pt>
                <c:pt idx="983">
                  <c:v>35.127585781416116</c:v>
                </c:pt>
                <c:pt idx="984">
                  <c:v>35.329467061691034</c:v>
                </c:pt>
                <c:pt idx="985">
                  <c:v>35.513550686139574</c:v>
                </c:pt>
                <c:pt idx="986">
                  <c:v>35.703083735494921</c:v>
                </c:pt>
                <c:pt idx="987">
                  <c:v>35.905495826314478</c:v>
                </c:pt>
                <c:pt idx="988">
                  <c:v>36.101435048261571</c:v>
                </c:pt>
                <c:pt idx="989">
                  <c:v>36.279502268238588</c:v>
                </c:pt>
                <c:pt idx="990">
                  <c:v>36.466153976844758</c:v>
                </c:pt>
                <c:pt idx="991">
                  <c:v>36.656885253012895</c:v>
                </c:pt>
                <c:pt idx="992">
                  <c:v>36.847715123594412</c:v>
                </c:pt>
                <c:pt idx="993">
                  <c:v>37.039640777741504</c:v>
                </c:pt>
                <c:pt idx="994">
                  <c:v>37.229435490276174</c:v>
                </c:pt>
                <c:pt idx="995">
                  <c:v>37.424845729413889</c:v>
                </c:pt>
                <c:pt idx="996">
                  <c:v>37.613901244281436</c:v>
                </c:pt>
                <c:pt idx="997">
                  <c:v>37.555506581744517</c:v>
                </c:pt>
                <c:pt idx="998">
                  <c:v>37.769088105498668</c:v>
                </c:pt>
                <c:pt idx="999">
                  <c:v>37.978895920813812</c:v>
                </c:pt>
              </c:numCache>
            </c:numRef>
          </c:val>
          <c:smooth val="0"/>
          <c:extLst>
            <c:ext xmlns:c16="http://schemas.microsoft.com/office/drawing/2014/chart" uri="{C3380CC4-5D6E-409C-BE32-E72D297353CC}">
              <c16:uniqueId val="{00000001-375D-45EA-AC64-4BDC73BD0E78}"/>
            </c:ext>
          </c:extLst>
        </c:ser>
        <c:dLbls>
          <c:showLegendKey val="0"/>
          <c:showVal val="0"/>
          <c:showCatName val="0"/>
          <c:showSerName val="0"/>
          <c:showPercent val="0"/>
          <c:showBubbleSize val="0"/>
        </c:dLbls>
        <c:smooth val="0"/>
        <c:axId val="1634580335"/>
        <c:axId val="357999887"/>
      </c:lineChart>
      <c:dateAx>
        <c:axId val="1634580335"/>
        <c:scaling>
          <c:orientation val="minMax"/>
        </c:scaling>
        <c:delete val="0"/>
        <c:axPos val="b"/>
        <c:numFmt formatCode="yyyy\-mm\-d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99887"/>
        <c:crosses val="autoZero"/>
        <c:auto val="0"/>
        <c:lblOffset val="100"/>
        <c:baseTimeUnit val="days"/>
      </c:dateAx>
      <c:valAx>
        <c:axId val="35799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Price per unit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R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80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'Daily Metrics'!$D$14</c:f>
              <c:strCache>
                <c:ptCount val="1"/>
                <c:pt idx="0">
                  <c:v>Quantity Sold</c:v>
                </c:pt>
              </c:strCache>
            </c:strRef>
          </c:tx>
          <c:spPr>
            <a:solidFill>
              <a:schemeClr val="accent1"/>
            </a:solidFill>
            <a:ln>
              <a:noFill/>
            </a:ln>
            <a:effectLst/>
          </c:spPr>
          <c:invertIfNegative val="0"/>
          <c:cat>
            <c:numRef>
              <c:f>'Daily Metrics'!$A$15:$A$1014</c:f>
              <c:numCache>
                <c:formatCode>yyyy\-mm\-dd</c:formatCode>
                <c:ptCount val="1000"/>
                <c:pt idx="0">
                  <c:v>41638.083333333336</c:v>
                </c:pt>
                <c:pt idx="1">
                  <c:v>41639.083333333336</c:v>
                </c:pt>
                <c:pt idx="2">
                  <c:v>41640.083333333336</c:v>
                </c:pt>
                <c:pt idx="3">
                  <c:v>41641.083333333336</c:v>
                </c:pt>
                <c:pt idx="4">
                  <c:v>41642.083333333336</c:v>
                </c:pt>
                <c:pt idx="5">
                  <c:v>41643.083333333336</c:v>
                </c:pt>
                <c:pt idx="6">
                  <c:v>41644.083333333336</c:v>
                </c:pt>
                <c:pt idx="7">
                  <c:v>41645.083333333336</c:v>
                </c:pt>
                <c:pt idx="8">
                  <c:v>41646.083333333336</c:v>
                </c:pt>
                <c:pt idx="9">
                  <c:v>41647.083333333336</c:v>
                </c:pt>
                <c:pt idx="10">
                  <c:v>41648.083333333336</c:v>
                </c:pt>
                <c:pt idx="11">
                  <c:v>41649.083333333336</c:v>
                </c:pt>
                <c:pt idx="12">
                  <c:v>41650.083333333336</c:v>
                </c:pt>
                <c:pt idx="13">
                  <c:v>41651.083333333336</c:v>
                </c:pt>
                <c:pt idx="14">
                  <c:v>41652.083333333336</c:v>
                </c:pt>
                <c:pt idx="15">
                  <c:v>41653.083333333336</c:v>
                </c:pt>
                <c:pt idx="16">
                  <c:v>41654.083333333336</c:v>
                </c:pt>
                <c:pt idx="17">
                  <c:v>41655.083333333336</c:v>
                </c:pt>
                <c:pt idx="18">
                  <c:v>41656.083333333336</c:v>
                </c:pt>
                <c:pt idx="19">
                  <c:v>41657.083333333336</c:v>
                </c:pt>
                <c:pt idx="20">
                  <c:v>41658.083333333336</c:v>
                </c:pt>
                <c:pt idx="21">
                  <c:v>41659.083333333336</c:v>
                </c:pt>
                <c:pt idx="22">
                  <c:v>41660.083333333336</c:v>
                </c:pt>
                <c:pt idx="23">
                  <c:v>41661.083333333336</c:v>
                </c:pt>
                <c:pt idx="24">
                  <c:v>41662.083333333336</c:v>
                </c:pt>
                <c:pt idx="25">
                  <c:v>41663.083333333336</c:v>
                </c:pt>
                <c:pt idx="26">
                  <c:v>41664.083333333336</c:v>
                </c:pt>
                <c:pt idx="27">
                  <c:v>41665.083333333336</c:v>
                </c:pt>
                <c:pt idx="28">
                  <c:v>41666.083333333336</c:v>
                </c:pt>
                <c:pt idx="29">
                  <c:v>41667.083333333336</c:v>
                </c:pt>
                <c:pt idx="30">
                  <c:v>41668.083333333336</c:v>
                </c:pt>
                <c:pt idx="31">
                  <c:v>41669.083333333336</c:v>
                </c:pt>
                <c:pt idx="32">
                  <c:v>41670.083333333336</c:v>
                </c:pt>
                <c:pt idx="33">
                  <c:v>41671.083333333336</c:v>
                </c:pt>
                <c:pt idx="34">
                  <c:v>41672.083333333336</c:v>
                </c:pt>
                <c:pt idx="35">
                  <c:v>41673.083333333336</c:v>
                </c:pt>
                <c:pt idx="36">
                  <c:v>41674.083333333336</c:v>
                </c:pt>
                <c:pt idx="37">
                  <c:v>41675.083333333336</c:v>
                </c:pt>
                <c:pt idx="38">
                  <c:v>41676.083333333336</c:v>
                </c:pt>
                <c:pt idx="39">
                  <c:v>41677.083333333336</c:v>
                </c:pt>
                <c:pt idx="40">
                  <c:v>41678.083333333336</c:v>
                </c:pt>
                <c:pt idx="41">
                  <c:v>41679.083333333336</c:v>
                </c:pt>
                <c:pt idx="42">
                  <c:v>41680.083333333336</c:v>
                </c:pt>
                <c:pt idx="43">
                  <c:v>41681.083333333336</c:v>
                </c:pt>
                <c:pt idx="44">
                  <c:v>41682.083333333336</c:v>
                </c:pt>
                <c:pt idx="45">
                  <c:v>41683.083333333336</c:v>
                </c:pt>
                <c:pt idx="46">
                  <c:v>41684.083333333336</c:v>
                </c:pt>
                <c:pt idx="47">
                  <c:v>41685.083333333336</c:v>
                </c:pt>
                <c:pt idx="48">
                  <c:v>41686.083333333336</c:v>
                </c:pt>
                <c:pt idx="49">
                  <c:v>41687.083333333336</c:v>
                </c:pt>
                <c:pt idx="50">
                  <c:v>41688.083333333336</c:v>
                </c:pt>
                <c:pt idx="51">
                  <c:v>41689.083333333336</c:v>
                </c:pt>
                <c:pt idx="52">
                  <c:v>41690.083333333336</c:v>
                </c:pt>
                <c:pt idx="53">
                  <c:v>41691.083333333336</c:v>
                </c:pt>
                <c:pt idx="54">
                  <c:v>41692.083333333336</c:v>
                </c:pt>
                <c:pt idx="55">
                  <c:v>41693.083333333336</c:v>
                </c:pt>
                <c:pt idx="56">
                  <c:v>41694.083333333336</c:v>
                </c:pt>
                <c:pt idx="57">
                  <c:v>41695.083333333336</c:v>
                </c:pt>
                <c:pt idx="58">
                  <c:v>41696.083333333336</c:v>
                </c:pt>
                <c:pt idx="59">
                  <c:v>41697.083333333336</c:v>
                </c:pt>
                <c:pt idx="60">
                  <c:v>41698.083333333336</c:v>
                </c:pt>
                <c:pt idx="61">
                  <c:v>41699.083333333336</c:v>
                </c:pt>
                <c:pt idx="62">
                  <c:v>41700.083333333336</c:v>
                </c:pt>
                <c:pt idx="63">
                  <c:v>41701.083333333336</c:v>
                </c:pt>
                <c:pt idx="64">
                  <c:v>41702.083333333336</c:v>
                </c:pt>
                <c:pt idx="65">
                  <c:v>41703.083333333336</c:v>
                </c:pt>
                <c:pt idx="66">
                  <c:v>41704.083333333336</c:v>
                </c:pt>
                <c:pt idx="67">
                  <c:v>41705.083333333336</c:v>
                </c:pt>
                <c:pt idx="68">
                  <c:v>41706.083333333336</c:v>
                </c:pt>
                <c:pt idx="69">
                  <c:v>41707.083333333336</c:v>
                </c:pt>
                <c:pt idx="70">
                  <c:v>41708.083333333336</c:v>
                </c:pt>
                <c:pt idx="71">
                  <c:v>41709.083333333336</c:v>
                </c:pt>
                <c:pt idx="72">
                  <c:v>41710.083333333336</c:v>
                </c:pt>
                <c:pt idx="73">
                  <c:v>41711.083333333336</c:v>
                </c:pt>
                <c:pt idx="74">
                  <c:v>41712.083333333336</c:v>
                </c:pt>
                <c:pt idx="75">
                  <c:v>41713.083333333336</c:v>
                </c:pt>
                <c:pt idx="76">
                  <c:v>41714.083333333336</c:v>
                </c:pt>
                <c:pt idx="77">
                  <c:v>41715.083333333336</c:v>
                </c:pt>
                <c:pt idx="78">
                  <c:v>41716.083333333336</c:v>
                </c:pt>
                <c:pt idx="79">
                  <c:v>41717.083333333336</c:v>
                </c:pt>
                <c:pt idx="80">
                  <c:v>41718.083333333336</c:v>
                </c:pt>
                <c:pt idx="81">
                  <c:v>41719.083333333336</c:v>
                </c:pt>
                <c:pt idx="82">
                  <c:v>41720.083333333336</c:v>
                </c:pt>
                <c:pt idx="83">
                  <c:v>41721.083333333336</c:v>
                </c:pt>
                <c:pt idx="84">
                  <c:v>41722.083333333336</c:v>
                </c:pt>
                <c:pt idx="85">
                  <c:v>41723.083333333336</c:v>
                </c:pt>
                <c:pt idx="86">
                  <c:v>41724.083333333336</c:v>
                </c:pt>
                <c:pt idx="87">
                  <c:v>41725.083333333336</c:v>
                </c:pt>
                <c:pt idx="88">
                  <c:v>41726.083333333336</c:v>
                </c:pt>
                <c:pt idx="89">
                  <c:v>41727.083333333336</c:v>
                </c:pt>
                <c:pt idx="90">
                  <c:v>41728.083333333336</c:v>
                </c:pt>
                <c:pt idx="91">
                  <c:v>41729.083333333336</c:v>
                </c:pt>
                <c:pt idx="92">
                  <c:v>41730.083333333336</c:v>
                </c:pt>
                <c:pt idx="93">
                  <c:v>41731.083333333336</c:v>
                </c:pt>
                <c:pt idx="94">
                  <c:v>41732.083333333336</c:v>
                </c:pt>
                <c:pt idx="95">
                  <c:v>41733.083333333336</c:v>
                </c:pt>
                <c:pt idx="96">
                  <c:v>41734.083333333336</c:v>
                </c:pt>
                <c:pt idx="97">
                  <c:v>41735.083333333336</c:v>
                </c:pt>
                <c:pt idx="98">
                  <c:v>41736.083333333336</c:v>
                </c:pt>
                <c:pt idx="99">
                  <c:v>41737.083333333336</c:v>
                </c:pt>
                <c:pt idx="100">
                  <c:v>41738.083333333336</c:v>
                </c:pt>
                <c:pt idx="101">
                  <c:v>41739.083333333336</c:v>
                </c:pt>
                <c:pt idx="102">
                  <c:v>41740.083333333336</c:v>
                </c:pt>
                <c:pt idx="103">
                  <c:v>41741.083333333336</c:v>
                </c:pt>
                <c:pt idx="104">
                  <c:v>41742.083333333336</c:v>
                </c:pt>
                <c:pt idx="105">
                  <c:v>41743.083333333336</c:v>
                </c:pt>
                <c:pt idx="106">
                  <c:v>41744.083333333336</c:v>
                </c:pt>
                <c:pt idx="107">
                  <c:v>41745.083333333336</c:v>
                </c:pt>
                <c:pt idx="108">
                  <c:v>41746.083333333336</c:v>
                </c:pt>
                <c:pt idx="109">
                  <c:v>41747.083333333336</c:v>
                </c:pt>
                <c:pt idx="110">
                  <c:v>41748.083333333336</c:v>
                </c:pt>
                <c:pt idx="111">
                  <c:v>41749.083333333336</c:v>
                </c:pt>
                <c:pt idx="112">
                  <c:v>41750.083333333336</c:v>
                </c:pt>
                <c:pt idx="113">
                  <c:v>41751.083333333336</c:v>
                </c:pt>
                <c:pt idx="114">
                  <c:v>41752.083333333336</c:v>
                </c:pt>
                <c:pt idx="115">
                  <c:v>41753.083333333336</c:v>
                </c:pt>
                <c:pt idx="116">
                  <c:v>41754.083333333336</c:v>
                </c:pt>
                <c:pt idx="117">
                  <c:v>41755.083333333336</c:v>
                </c:pt>
                <c:pt idx="118">
                  <c:v>41756.083333333336</c:v>
                </c:pt>
                <c:pt idx="119">
                  <c:v>41757.083333333336</c:v>
                </c:pt>
                <c:pt idx="120">
                  <c:v>41758.083333333336</c:v>
                </c:pt>
                <c:pt idx="121">
                  <c:v>41759.083333333336</c:v>
                </c:pt>
                <c:pt idx="122">
                  <c:v>41760.083333333336</c:v>
                </c:pt>
                <c:pt idx="123">
                  <c:v>41761.083333333336</c:v>
                </c:pt>
                <c:pt idx="124">
                  <c:v>41762.083333333336</c:v>
                </c:pt>
                <c:pt idx="125">
                  <c:v>41763.083333333336</c:v>
                </c:pt>
                <c:pt idx="126">
                  <c:v>41764.083333333336</c:v>
                </c:pt>
                <c:pt idx="127">
                  <c:v>41765.083333333336</c:v>
                </c:pt>
                <c:pt idx="128">
                  <c:v>41766.083333333336</c:v>
                </c:pt>
                <c:pt idx="129">
                  <c:v>41767.083333333336</c:v>
                </c:pt>
                <c:pt idx="130">
                  <c:v>41768.083333333336</c:v>
                </c:pt>
                <c:pt idx="131">
                  <c:v>41769.083333333336</c:v>
                </c:pt>
                <c:pt idx="132">
                  <c:v>41770.083333333336</c:v>
                </c:pt>
                <c:pt idx="133">
                  <c:v>41771.083333333336</c:v>
                </c:pt>
                <c:pt idx="134">
                  <c:v>41772.083333333336</c:v>
                </c:pt>
                <c:pt idx="135">
                  <c:v>41773.083333333336</c:v>
                </c:pt>
                <c:pt idx="136">
                  <c:v>41774.083333333336</c:v>
                </c:pt>
                <c:pt idx="137">
                  <c:v>41775.083333333336</c:v>
                </c:pt>
                <c:pt idx="138">
                  <c:v>41776.083333333336</c:v>
                </c:pt>
                <c:pt idx="139">
                  <c:v>41777.083333333336</c:v>
                </c:pt>
                <c:pt idx="140">
                  <c:v>41778.083333333336</c:v>
                </c:pt>
                <c:pt idx="141">
                  <c:v>41779.083333333336</c:v>
                </c:pt>
                <c:pt idx="142">
                  <c:v>41780.083333333336</c:v>
                </c:pt>
                <c:pt idx="143">
                  <c:v>41781.083333333336</c:v>
                </c:pt>
                <c:pt idx="144">
                  <c:v>41782.083333333336</c:v>
                </c:pt>
                <c:pt idx="145">
                  <c:v>41783.083333333336</c:v>
                </c:pt>
                <c:pt idx="146">
                  <c:v>41784.083333333336</c:v>
                </c:pt>
                <c:pt idx="147">
                  <c:v>41785.083333333336</c:v>
                </c:pt>
                <c:pt idx="148">
                  <c:v>41786.083333333336</c:v>
                </c:pt>
                <c:pt idx="149">
                  <c:v>41787.083333333336</c:v>
                </c:pt>
                <c:pt idx="150">
                  <c:v>41788.083333333336</c:v>
                </c:pt>
                <c:pt idx="151">
                  <c:v>41789.083333333336</c:v>
                </c:pt>
                <c:pt idx="152">
                  <c:v>41790.083333333336</c:v>
                </c:pt>
                <c:pt idx="153">
                  <c:v>41791.083333333336</c:v>
                </c:pt>
                <c:pt idx="154">
                  <c:v>41792.083333333336</c:v>
                </c:pt>
                <c:pt idx="155">
                  <c:v>41793.083333333336</c:v>
                </c:pt>
                <c:pt idx="156">
                  <c:v>41794.083333333336</c:v>
                </c:pt>
                <c:pt idx="157">
                  <c:v>41795.083333333336</c:v>
                </c:pt>
                <c:pt idx="158">
                  <c:v>41796.083333333336</c:v>
                </c:pt>
                <c:pt idx="159">
                  <c:v>41797.083333333336</c:v>
                </c:pt>
                <c:pt idx="160">
                  <c:v>41798.083333333336</c:v>
                </c:pt>
                <c:pt idx="161">
                  <c:v>41799.083333333336</c:v>
                </c:pt>
                <c:pt idx="162">
                  <c:v>41800.083333333336</c:v>
                </c:pt>
                <c:pt idx="163">
                  <c:v>41801.083333333336</c:v>
                </c:pt>
                <c:pt idx="164">
                  <c:v>41802.083333333336</c:v>
                </c:pt>
                <c:pt idx="165">
                  <c:v>41803.083333333336</c:v>
                </c:pt>
                <c:pt idx="166">
                  <c:v>41804.083333333336</c:v>
                </c:pt>
                <c:pt idx="167">
                  <c:v>41805.083333333336</c:v>
                </c:pt>
                <c:pt idx="168">
                  <c:v>41806.083333333336</c:v>
                </c:pt>
                <c:pt idx="169">
                  <c:v>41807.083333333336</c:v>
                </c:pt>
                <c:pt idx="170">
                  <c:v>41808.083333333336</c:v>
                </c:pt>
                <c:pt idx="171">
                  <c:v>41809.083333333336</c:v>
                </c:pt>
                <c:pt idx="172">
                  <c:v>41810.083333333336</c:v>
                </c:pt>
                <c:pt idx="173">
                  <c:v>41811.083333333336</c:v>
                </c:pt>
                <c:pt idx="174">
                  <c:v>41812.083333333336</c:v>
                </c:pt>
                <c:pt idx="175">
                  <c:v>41813.083333333336</c:v>
                </c:pt>
                <c:pt idx="176">
                  <c:v>41814.083333333336</c:v>
                </c:pt>
                <c:pt idx="177">
                  <c:v>41815.083333333336</c:v>
                </c:pt>
                <c:pt idx="178">
                  <c:v>41816.083333333336</c:v>
                </c:pt>
                <c:pt idx="179">
                  <c:v>41817.083333333336</c:v>
                </c:pt>
                <c:pt idx="180">
                  <c:v>41818.083333333336</c:v>
                </c:pt>
                <c:pt idx="181">
                  <c:v>41819.083333333336</c:v>
                </c:pt>
                <c:pt idx="182">
                  <c:v>41820.083333333336</c:v>
                </c:pt>
                <c:pt idx="183">
                  <c:v>41821.083333333336</c:v>
                </c:pt>
                <c:pt idx="184">
                  <c:v>41822.083333333336</c:v>
                </c:pt>
                <c:pt idx="185">
                  <c:v>41823.083333333336</c:v>
                </c:pt>
                <c:pt idx="186">
                  <c:v>41824.083333333336</c:v>
                </c:pt>
                <c:pt idx="187">
                  <c:v>41825.083333333336</c:v>
                </c:pt>
                <c:pt idx="188">
                  <c:v>41826.083333333336</c:v>
                </c:pt>
                <c:pt idx="189">
                  <c:v>41827.083333333336</c:v>
                </c:pt>
                <c:pt idx="190">
                  <c:v>41828.083333333336</c:v>
                </c:pt>
                <c:pt idx="191">
                  <c:v>41829.083333333336</c:v>
                </c:pt>
                <c:pt idx="192">
                  <c:v>41830.083333333336</c:v>
                </c:pt>
                <c:pt idx="193">
                  <c:v>41831.083333333336</c:v>
                </c:pt>
                <c:pt idx="194">
                  <c:v>41832.083333333336</c:v>
                </c:pt>
                <c:pt idx="195">
                  <c:v>41833.083333333336</c:v>
                </c:pt>
                <c:pt idx="196">
                  <c:v>41834.083333333336</c:v>
                </c:pt>
                <c:pt idx="197">
                  <c:v>41835.083333333336</c:v>
                </c:pt>
                <c:pt idx="198">
                  <c:v>41836.083333333336</c:v>
                </c:pt>
                <c:pt idx="199">
                  <c:v>41837.083333333336</c:v>
                </c:pt>
                <c:pt idx="200">
                  <c:v>41838.083333333336</c:v>
                </c:pt>
                <c:pt idx="201">
                  <c:v>41839.083333333336</c:v>
                </c:pt>
                <c:pt idx="202">
                  <c:v>41840.083333333336</c:v>
                </c:pt>
                <c:pt idx="203">
                  <c:v>41841.083333333336</c:v>
                </c:pt>
                <c:pt idx="204">
                  <c:v>41842.083333333336</c:v>
                </c:pt>
                <c:pt idx="205">
                  <c:v>41843.083333333336</c:v>
                </c:pt>
                <c:pt idx="206">
                  <c:v>41844.083333333336</c:v>
                </c:pt>
                <c:pt idx="207">
                  <c:v>41845.083333333336</c:v>
                </c:pt>
                <c:pt idx="208">
                  <c:v>41846.083333333336</c:v>
                </c:pt>
                <c:pt idx="209">
                  <c:v>41847.083333333336</c:v>
                </c:pt>
                <c:pt idx="210">
                  <c:v>41848.083333333336</c:v>
                </c:pt>
                <c:pt idx="211">
                  <c:v>41849.083333333336</c:v>
                </c:pt>
                <c:pt idx="212">
                  <c:v>41850.083333333336</c:v>
                </c:pt>
                <c:pt idx="213">
                  <c:v>41851.083333333336</c:v>
                </c:pt>
                <c:pt idx="214">
                  <c:v>41852.083333333336</c:v>
                </c:pt>
                <c:pt idx="215">
                  <c:v>41853.083333333336</c:v>
                </c:pt>
                <c:pt idx="216">
                  <c:v>41854.083333333336</c:v>
                </c:pt>
                <c:pt idx="217">
                  <c:v>41855.083333333336</c:v>
                </c:pt>
                <c:pt idx="218">
                  <c:v>41856.083333333336</c:v>
                </c:pt>
                <c:pt idx="219">
                  <c:v>41857.083333333336</c:v>
                </c:pt>
                <c:pt idx="220">
                  <c:v>41858.083333333336</c:v>
                </c:pt>
                <c:pt idx="221">
                  <c:v>41859.083333333336</c:v>
                </c:pt>
                <c:pt idx="222">
                  <c:v>41860.083333333336</c:v>
                </c:pt>
                <c:pt idx="223">
                  <c:v>41861.083333333336</c:v>
                </c:pt>
                <c:pt idx="224">
                  <c:v>41862.083333333336</c:v>
                </c:pt>
                <c:pt idx="225">
                  <c:v>41863.083333333336</c:v>
                </c:pt>
                <c:pt idx="226">
                  <c:v>41864.083333333336</c:v>
                </c:pt>
                <c:pt idx="227">
                  <c:v>41865.083333333336</c:v>
                </c:pt>
                <c:pt idx="228">
                  <c:v>41866.083333333336</c:v>
                </c:pt>
                <c:pt idx="229">
                  <c:v>41867.083333333336</c:v>
                </c:pt>
                <c:pt idx="230">
                  <c:v>41868.083333333336</c:v>
                </c:pt>
                <c:pt idx="231">
                  <c:v>41869.083333333336</c:v>
                </c:pt>
                <c:pt idx="232">
                  <c:v>41870.083333333336</c:v>
                </c:pt>
                <c:pt idx="233">
                  <c:v>41871.083333333336</c:v>
                </c:pt>
                <c:pt idx="234">
                  <c:v>41872.083333333336</c:v>
                </c:pt>
                <c:pt idx="235">
                  <c:v>41873.083333333336</c:v>
                </c:pt>
                <c:pt idx="236">
                  <c:v>41874.083333333336</c:v>
                </c:pt>
                <c:pt idx="237">
                  <c:v>41875.083333333336</c:v>
                </c:pt>
                <c:pt idx="238">
                  <c:v>41876.083333333336</c:v>
                </c:pt>
                <c:pt idx="239">
                  <c:v>41877.083333333336</c:v>
                </c:pt>
                <c:pt idx="240">
                  <c:v>41878.083333333336</c:v>
                </c:pt>
                <c:pt idx="241">
                  <c:v>41879.083333333336</c:v>
                </c:pt>
                <c:pt idx="242">
                  <c:v>41880.083333333336</c:v>
                </c:pt>
                <c:pt idx="243">
                  <c:v>41881.083333333336</c:v>
                </c:pt>
                <c:pt idx="244">
                  <c:v>41882.083333333336</c:v>
                </c:pt>
                <c:pt idx="245">
                  <c:v>41883.083333333336</c:v>
                </c:pt>
                <c:pt idx="246">
                  <c:v>41884.083333333336</c:v>
                </c:pt>
                <c:pt idx="247">
                  <c:v>41885.083333333336</c:v>
                </c:pt>
                <c:pt idx="248">
                  <c:v>41886.083333333336</c:v>
                </c:pt>
                <c:pt idx="249">
                  <c:v>41887.083333333336</c:v>
                </c:pt>
                <c:pt idx="250">
                  <c:v>41888.083333333336</c:v>
                </c:pt>
                <c:pt idx="251">
                  <c:v>41889.083333333336</c:v>
                </c:pt>
                <c:pt idx="252">
                  <c:v>41890.083333333336</c:v>
                </c:pt>
                <c:pt idx="253">
                  <c:v>41891.083333333336</c:v>
                </c:pt>
                <c:pt idx="254">
                  <c:v>41892.083333333336</c:v>
                </c:pt>
                <c:pt idx="255">
                  <c:v>41893.083333333336</c:v>
                </c:pt>
                <c:pt idx="256">
                  <c:v>41894.083333333336</c:v>
                </c:pt>
                <c:pt idx="257">
                  <c:v>41895.083333333336</c:v>
                </c:pt>
                <c:pt idx="258">
                  <c:v>41896.083333333336</c:v>
                </c:pt>
                <c:pt idx="259">
                  <c:v>41897.083333333336</c:v>
                </c:pt>
                <c:pt idx="260">
                  <c:v>41898.083333333336</c:v>
                </c:pt>
                <c:pt idx="261">
                  <c:v>41899.083333333336</c:v>
                </c:pt>
                <c:pt idx="262">
                  <c:v>41900.083333333336</c:v>
                </c:pt>
                <c:pt idx="263">
                  <c:v>41901.083333333336</c:v>
                </c:pt>
                <c:pt idx="264">
                  <c:v>41902.083333333336</c:v>
                </c:pt>
                <c:pt idx="265">
                  <c:v>41903.083333333336</c:v>
                </c:pt>
                <c:pt idx="266">
                  <c:v>41904.083333333336</c:v>
                </c:pt>
                <c:pt idx="267">
                  <c:v>41905.083333333336</c:v>
                </c:pt>
                <c:pt idx="268">
                  <c:v>41906.083333333336</c:v>
                </c:pt>
                <c:pt idx="269">
                  <c:v>41907.083333333336</c:v>
                </c:pt>
                <c:pt idx="270">
                  <c:v>41908.083333333336</c:v>
                </c:pt>
                <c:pt idx="271">
                  <c:v>41909.083333333336</c:v>
                </c:pt>
                <c:pt idx="272">
                  <c:v>41910.083333333336</c:v>
                </c:pt>
                <c:pt idx="273">
                  <c:v>41911.083333333336</c:v>
                </c:pt>
                <c:pt idx="274">
                  <c:v>41912.083333333336</c:v>
                </c:pt>
                <c:pt idx="275">
                  <c:v>41913.083333333336</c:v>
                </c:pt>
                <c:pt idx="276">
                  <c:v>41914.083333333336</c:v>
                </c:pt>
                <c:pt idx="277">
                  <c:v>41915.083333333336</c:v>
                </c:pt>
                <c:pt idx="278">
                  <c:v>41916.083333333336</c:v>
                </c:pt>
                <c:pt idx="279">
                  <c:v>41917.083333333336</c:v>
                </c:pt>
                <c:pt idx="280">
                  <c:v>41918.083333333336</c:v>
                </c:pt>
                <c:pt idx="281">
                  <c:v>41919.083333333336</c:v>
                </c:pt>
                <c:pt idx="282">
                  <c:v>41920.083333333336</c:v>
                </c:pt>
                <c:pt idx="283">
                  <c:v>41921.083333333336</c:v>
                </c:pt>
                <c:pt idx="284">
                  <c:v>41922.083333333336</c:v>
                </c:pt>
                <c:pt idx="285">
                  <c:v>41923.083333333336</c:v>
                </c:pt>
                <c:pt idx="286">
                  <c:v>41924.083333333336</c:v>
                </c:pt>
                <c:pt idx="287">
                  <c:v>41925.083333333336</c:v>
                </c:pt>
                <c:pt idx="288">
                  <c:v>41926.083333333336</c:v>
                </c:pt>
                <c:pt idx="289">
                  <c:v>41927.083333333336</c:v>
                </c:pt>
                <c:pt idx="290">
                  <c:v>41928.083333333336</c:v>
                </c:pt>
                <c:pt idx="291">
                  <c:v>41929.083333333336</c:v>
                </c:pt>
                <c:pt idx="292">
                  <c:v>41930.083333333336</c:v>
                </c:pt>
                <c:pt idx="293">
                  <c:v>41931.083333333336</c:v>
                </c:pt>
                <c:pt idx="294">
                  <c:v>41932.083333333336</c:v>
                </c:pt>
                <c:pt idx="295">
                  <c:v>41933.083333333336</c:v>
                </c:pt>
                <c:pt idx="296">
                  <c:v>41934.083333333336</c:v>
                </c:pt>
                <c:pt idx="297">
                  <c:v>41935.083333333336</c:v>
                </c:pt>
                <c:pt idx="298">
                  <c:v>41936.083333333336</c:v>
                </c:pt>
                <c:pt idx="299">
                  <c:v>41937.083333333336</c:v>
                </c:pt>
                <c:pt idx="300">
                  <c:v>41938.083333333336</c:v>
                </c:pt>
                <c:pt idx="301">
                  <c:v>41939.083333333336</c:v>
                </c:pt>
                <c:pt idx="302">
                  <c:v>41940.083333333336</c:v>
                </c:pt>
                <c:pt idx="303">
                  <c:v>41941.083333333336</c:v>
                </c:pt>
                <c:pt idx="304">
                  <c:v>41942.083333333336</c:v>
                </c:pt>
                <c:pt idx="305">
                  <c:v>41943.083333333336</c:v>
                </c:pt>
                <c:pt idx="306">
                  <c:v>41944.083333333336</c:v>
                </c:pt>
                <c:pt idx="307">
                  <c:v>41945.083333333336</c:v>
                </c:pt>
                <c:pt idx="308">
                  <c:v>41946.083333333336</c:v>
                </c:pt>
                <c:pt idx="309">
                  <c:v>41947.083333333336</c:v>
                </c:pt>
                <c:pt idx="310">
                  <c:v>41948.083333333336</c:v>
                </c:pt>
                <c:pt idx="311">
                  <c:v>41949.083333333336</c:v>
                </c:pt>
                <c:pt idx="312">
                  <c:v>41950.083333333336</c:v>
                </c:pt>
                <c:pt idx="313">
                  <c:v>41951.083333333336</c:v>
                </c:pt>
                <c:pt idx="314">
                  <c:v>41952.083333333336</c:v>
                </c:pt>
                <c:pt idx="315">
                  <c:v>41953.083333333336</c:v>
                </c:pt>
                <c:pt idx="316">
                  <c:v>41954.083333333336</c:v>
                </c:pt>
                <c:pt idx="317">
                  <c:v>41955.083333333336</c:v>
                </c:pt>
                <c:pt idx="318">
                  <c:v>41956.083333333336</c:v>
                </c:pt>
                <c:pt idx="319">
                  <c:v>41957.083333333336</c:v>
                </c:pt>
                <c:pt idx="320">
                  <c:v>41958.083333333336</c:v>
                </c:pt>
                <c:pt idx="321">
                  <c:v>41959.083333333336</c:v>
                </c:pt>
                <c:pt idx="322">
                  <c:v>41960.083333333336</c:v>
                </c:pt>
                <c:pt idx="323">
                  <c:v>41961.083333333336</c:v>
                </c:pt>
                <c:pt idx="324">
                  <c:v>41962.083333333336</c:v>
                </c:pt>
                <c:pt idx="325">
                  <c:v>41963.083333333336</c:v>
                </c:pt>
                <c:pt idx="326">
                  <c:v>41964.083333333336</c:v>
                </c:pt>
                <c:pt idx="327">
                  <c:v>41965.083333333336</c:v>
                </c:pt>
                <c:pt idx="328">
                  <c:v>41966.083333333336</c:v>
                </c:pt>
                <c:pt idx="329">
                  <c:v>41967.083333333336</c:v>
                </c:pt>
                <c:pt idx="330">
                  <c:v>41968.083333333336</c:v>
                </c:pt>
                <c:pt idx="331">
                  <c:v>41969.083333333336</c:v>
                </c:pt>
                <c:pt idx="332">
                  <c:v>41970.083333333336</c:v>
                </c:pt>
                <c:pt idx="333">
                  <c:v>41971.083333333336</c:v>
                </c:pt>
                <c:pt idx="334">
                  <c:v>41972.083333333336</c:v>
                </c:pt>
                <c:pt idx="335">
                  <c:v>41973.083333333336</c:v>
                </c:pt>
                <c:pt idx="336">
                  <c:v>41974.083333333336</c:v>
                </c:pt>
                <c:pt idx="337">
                  <c:v>41975.083333333336</c:v>
                </c:pt>
                <c:pt idx="338">
                  <c:v>41976.083333333336</c:v>
                </c:pt>
                <c:pt idx="339">
                  <c:v>41977.083333333336</c:v>
                </c:pt>
                <c:pt idx="340">
                  <c:v>41978.083333333336</c:v>
                </c:pt>
                <c:pt idx="341">
                  <c:v>41979.083333333336</c:v>
                </c:pt>
                <c:pt idx="342">
                  <c:v>41980.083333333336</c:v>
                </c:pt>
                <c:pt idx="343">
                  <c:v>41981.083333333336</c:v>
                </c:pt>
                <c:pt idx="344">
                  <c:v>41982.083333333336</c:v>
                </c:pt>
                <c:pt idx="345">
                  <c:v>41983.083333333336</c:v>
                </c:pt>
                <c:pt idx="346">
                  <c:v>41984.083333333336</c:v>
                </c:pt>
                <c:pt idx="347">
                  <c:v>41985.083333333336</c:v>
                </c:pt>
                <c:pt idx="348">
                  <c:v>41986.083333333336</c:v>
                </c:pt>
                <c:pt idx="349">
                  <c:v>41987.083333333336</c:v>
                </c:pt>
                <c:pt idx="350">
                  <c:v>41988.083333333336</c:v>
                </c:pt>
                <c:pt idx="351">
                  <c:v>41989.083333333336</c:v>
                </c:pt>
                <c:pt idx="352">
                  <c:v>41990.083333333336</c:v>
                </c:pt>
                <c:pt idx="353">
                  <c:v>41991.083333333336</c:v>
                </c:pt>
                <c:pt idx="354">
                  <c:v>41992.083333333336</c:v>
                </c:pt>
                <c:pt idx="355">
                  <c:v>41993.083333333336</c:v>
                </c:pt>
                <c:pt idx="356">
                  <c:v>41994.083333333336</c:v>
                </c:pt>
                <c:pt idx="357">
                  <c:v>41995.083333333336</c:v>
                </c:pt>
                <c:pt idx="358">
                  <c:v>41996.083333333336</c:v>
                </c:pt>
                <c:pt idx="359">
                  <c:v>41997.083333333336</c:v>
                </c:pt>
                <c:pt idx="360">
                  <c:v>41998.083333333336</c:v>
                </c:pt>
                <c:pt idx="361">
                  <c:v>41999.083333333336</c:v>
                </c:pt>
                <c:pt idx="362">
                  <c:v>42000.083333333336</c:v>
                </c:pt>
                <c:pt idx="363">
                  <c:v>42001.083333333336</c:v>
                </c:pt>
                <c:pt idx="364">
                  <c:v>42002.083333333336</c:v>
                </c:pt>
                <c:pt idx="365">
                  <c:v>42003.083333333336</c:v>
                </c:pt>
                <c:pt idx="366">
                  <c:v>42004.083333333336</c:v>
                </c:pt>
                <c:pt idx="367">
                  <c:v>42005.083333333336</c:v>
                </c:pt>
                <c:pt idx="368">
                  <c:v>42006.083333333336</c:v>
                </c:pt>
                <c:pt idx="369">
                  <c:v>42007.083333333336</c:v>
                </c:pt>
                <c:pt idx="370">
                  <c:v>42008.083333333336</c:v>
                </c:pt>
                <c:pt idx="371">
                  <c:v>42009.083333333336</c:v>
                </c:pt>
                <c:pt idx="372">
                  <c:v>42010.083333333336</c:v>
                </c:pt>
                <c:pt idx="373">
                  <c:v>42011.083333333336</c:v>
                </c:pt>
                <c:pt idx="374">
                  <c:v>42012.083333333336</c:v>
                </c:pt>
                <c:pt idx="375">
                  <c:v>42013.083333333336</c:v>
                </c:pt>
                <c:pt idx="376">
                  <c:v>42014.083333333336</c:v>
                </c:pt>
                <c:pt idx="377">
                  <c:v>42015.083333333336</c:v>
                </c:pt>
                <c:pt idx="378">
                  <c:v>42016.083333333336</c:v>
                </c:pt>
                <c:pt idx="379">
                  <c:v>42017.083333333336</c:v>
                </c:pt>
                <c:pt idx="380">
                  <c:v>42018.083333333336</c:v>
                </c:pt>
                <c:pt idx="381">
                  <c:v>42019.083333333336</c:v>
                </c:pt>
                <c:pt idx="382">
                  <c:v>42020.083333333336</c:v>
                </c:pt>
                <c:pt idx="383">
                  <c:v>42021.083333333336</c:v>
                </c:pt>
                <c:pt idx="384">
                  <c:v>42022.083333333336</c:v>
                </c:pt>
                <c:pt idx="385">
                  <c:v>42023.083333333336</c:v>
                </c:pt>
                <c:pt idx="386">
                  <c:v>42024.083333333336</c:v>
                </c:pt>
                <c:pt idx="387">
                  <c:v>42025.083333333336</c:v>
                </c:pt>
                <c:pt idx="388">
                  <c:v>42026.083333333336</c:v>
                </c:pt>
                <c:pt idx="389">
                  <c:v>42027.083333333336</c:v>
                </c:pt>
                <c:pt idx="390">
                  <c:v>42028.083333333336</c:v>
                </c:pt>
                <c:pt idx="391">
                  <c:v>42029.083333333336</c:v>
                </c:pt>
                <c:pt idx="392">
                  <c:v>42030.083333333336</c:v>
                </c:pt>
                <c:pt idx="393">
                  <c:v>42031.083333333336</c:v>
                </c:pt>
                <c:pt idx="394">
                  <c:v>42032.083333333336</c:v>
                </c:pt>
                <c:pt idx="395">
                  <c:v>42033.083333333336</c:v>
                </c:pt>
                <c:pt idx="396">
                  <c:v>42034.083333333336</c:v>
                </c:pt>
                <c:pt idx="397">
                  <c:v>42035.083333333336</c:v>
                </c:pt>
                <c:pt idx="398">
                  <c:v>42036.083333333336</c:v>
                </c:pt>
                <c:pt idx="399">
                  <c:v>42037.083333333336</c:v>
                </c:pt>
                <c:pt idx="400">
                  <c:v>42038.083333333336</c:v>
                </c:pt>
                <c:pt idx="401">
                  <c:v>42039.083333333336</c:v>
                </c:pt>
                <c:pt idx="402">
                  <c:v>42040.083333333336</c:v>
                </c:pt>
                <c:pt idx="403">
                  <c:v>42041.083333333336</c:v>
                </c:pt>
                <c:pt idx="404">
                  <c:v>42042.083333333336</c:v>
                </c:pt>
                <c:pt idx="405">
                  <c:v>42043.083333333336</c:v>
                </c:pt>
                <c:pt idx="406">
                  <c:v>42044.083333333336</c:v>
                </c:pt>
                <c:pt idx="407">
                  <c:v>42045.083333333336</c:v>
                </c:pt>
                <c:pt idx="408">
                  <c:v>42046.083333333336</c:v>
                </c:pt>
                <c:pt idx="409">
                  <c:v>42047.083333333336</c:v>
                </c:pt>
                <c:pt idx="410">
                  <c:v>42048.083333333336</c:v>
                </c:pt>
                <c:pt idx="411">
                  <c:v>42049.083333333336</c:v>
                </c:pt>
                <c:pt idx="412">
                  <c:v>42050.083333333336</c:v>
                </c:pt>
                <c:pt idx="413">
                  <c:v>42051.083333333336</c:v>
                </c:pt>
                <c:pt idx="414">
                  <c:v>42052.083333333336</c:v>
                </c:pt>
                <c:pt idx="415">
                  <c:v>42053.083333333336</c:v>
                </c:pt>
                <c:pt idx="416">
                  <c:v>42054.083333333336</c:v>
                </c:pt>
                <c:pt idx="417">
                  <c:v>42055.083333333336</c:v>
                </c:pt>
                <c:pt idx="418">
                  <c:v>42056.083333333336</c:v>
                </c:pt>
                <c:pt idx="419">
                  <c:v>42057.083333333336</c:v>
                </c:pt>
                <c:pt idx="420">
                  <c:v>42058.083333333336</c:v>
                </c:pt>
                <c:pt idx="421">
                  <c:v>42059.083333333336</c:v>
                </c:pt>
                <c:pt idx="422">
                  <c:v>42060.083333333336</c:v>
                </c:pt>
                <c:pt idx="423">
                  <c:v>42061.083333333336</c:v>
                </c:pt>
                <c:pt idx="424">
                  <c:v>42062.083333333336</c:v>
                </c:pt>
                <c:pt idx="425">
                  <c:v>42063.083333333336</c:v>
                </c:pt>
                <c:pt idx="426">
                  <c:v>42064.083333333336</c:v>
                </c:pt>
                <c:pt idx="427">
                  <c:v>42065.083333333336</c:v>
                </c:pt>
                <c:pt idx="428">
                  <c:v>42066.083333333336</c:v>
                </c:pt>
                <c:pt idx="429">
                  <c:v>42067.083333333336</c:v>
                </c:pt>
                <c:pt idx="430">
                  <c:v>42068.083333333336</c:v>
                </c:pt>
                <c:pt idx="431">
                  <c:v>42069.083333333336</c:v>
                </c:pt>
                <c:pt idx="432">
                  <c:v>42070.083333333336</c:v>
                </c:pt>
                <c:pt idx="433">
                  <c:v>42071.083333333336</c:v>
                </c:pt>
                <c:pt idx="434">
                  <c:v>42072.083333333336</c:v>
                </c:pt>
                <c:pt idx="435">
                  <c:v>42073.083333333336</c:v>
                </c:pt>
                <c:pt idx="436">
                  <c:v>42074.083333333336</c:v>
                </c:pt>
                <c:pt idx="437">
                  <c:v>42075.083333333336</c:v>
                </c:pt>
                <c:pt idx="438">
                  <c:v>42076.083333333336</c:v>
                </c:pt>
                <c:pt idx="439">
                  <c:v>42077.083333333336</c:v>
                </c:pt>
                <c:pt idx="440">
                  <c:v>42078.083333333336</c:v>
                </c:pt>
                <c:pt idx="441">
                  <c:v>42079.083333333336</c:v>
                </c:pt>
                <c:pt idx="442">
                  <c:v>42080.083333333336</c:v>
                </c:pt>
                <c:pt idx="443">
                  <c:v>42081.083333333336</c:v>
                </c:pt>
                <c:pt idx="444">
                  <c:v>42082.083333333336</c:v>
                </c:pt>
                <c:pt idx="445">
                  <c:v>42083.083333333336</c:v>
                </c:pt>
                <c:pt idx="446">
                  <c:v>42084.083333333336</c:v>
                </c:pt>
                <c:pt idx="447">
                  <c:v>42085.083333333336</c:v>
                </c:pt>
                <c:pt idx="448">
                  <c:v>42086.083333333336</c:v>
                </c:pt>
                <c:pt idx="449">
                  <c:v>42087.083333333336</c:v>
                </c:pt>
                <c:pt idx="450">
                  <c:v>42088.083333333336</c:v>
                </c:pt>
                <c:pt idx="451">
                  <c:v>42089.083333333336</c:v>
                </c:pt>
                <c:pt idx="452">
                  <c:v>42090.083333333336</c:v>
                </c:pt>
                <c:pt idx="453">
                  <c:v>42091.083333333336</c:v>
                </c:pt>
                <c:pt idx="454">
                  <c:v>42092.083333333336</c:v>
                </c:pt>
                <c:pt idx="455">
                  <c:v>42093.083333333336</c:v>
                </c:pt>
                <c:pt idx="456">
                  <c:v>42094.083333333336</c:v>
                </c:pt>
                <c:pt idx="457">
                  <c:v>42095.083333333336</c:v>
                </c:pt>
                <c:pt idx="458">
                  <c:v>42096.083333333336</c:v>
                </c:pt>
                <c:pt idx="459">
                  <c:v>42097.083333333336</c:v>
                </c:pt>
                <c:pt idx="460">
                  <c:v>42098.083333333336</c:v>
                </c:pt>
                <c:pt idx="461">
                  <c:v>42099.083333333336</c:v>
                </c:pt>
                <c:pt idx="462">
                  <c:v>42100.083333333336</c:v>
                </c:pt>
                <c:pt idx="463">
                  <c:v>42101.083333333336</c:v>
                </c:pt>
                <c:pt idx="464">
                  <c:v>42102.083333333336</c:v>
                </c:pt>
                <c:pt idx="465">
                  <c:v>42103.083333333336</c:v>
                </c:pt>
                <c:pt idx="466">
                  <c:v>42104.083333333336</c:v>
                </c:pt>
                <c:pt idx="467">
                  <c:v>42105.083333333336</c:v>
                </c:pt>
                <c:pt idx="468">
                  <c:v>42106.083333333336</c:v>
                </c:pt>
                <c:pt idx="469">
                  <c:v>42107.083333333336</c:v>
                </c:pt>
                <c:pt idx="470">
                  <c:v>42108.083333333336</c:v>
                </c:pt>
                <c:pt idx="471">
                  <c:v>42109.083333333336</c:v>
                </c:pt>
                <c:pt idx="472">
                  <c:v>42110.083333333336</c:v>
                </c:pt>
                <c:pt idx="473">
                  <c:v>42111.083333333336</c:v>
                </c:pt>
                <c:pt idx="474">
                  <c:v>42112.083333333336</c:v>
                </c:pt>
                <c:pt idx="475">
                  <c:v>42113.083333333336</c:v>
                </c:pt>
                <c:pt idx="476">
                  <c:v>42114.083333333336</c:v>
                </c:pt>
                <c:pt idx="477">
                  <c:v>42115.083333333336</c:v>
                </c:pt>
                <c:pt idx="478">
                  <c:v>42116.083333333336</c:v>
                </c:pt>
                <c:pt idx="479">
                  <c:v>42117.083333333336</c:v>
                </c:pt>
                <c:pt idx="480">
                  <c:v>42118.083333333336</c:v>
                </c:pt>
                <c:pt idx="481">
                  <c:v>42119.083333333336</c:v>
                </c:pt>
                <c:pt idx="482">
                  <c:v>42120.083333333336</c:v>
                </c:pt>
                <c:pt idx="483">
                  <c:v>42121.083333333336</c:v>
                </c:pt>
                <c:pt idx="484">
                  <c:v>42122.083333333336</c:v>
                </c:pt>
                <c:pt idx="485">
                  <c:v>42123.083333333336</c:v>
                </c:pt>
                <c:pt idx="486">
                  <c:v>42124.083333333336</c:v>
                </c:pt>
                <c:pt idx="487">
                  <c:v>42125.083333333336</c:v>
                </c:pt>
                <c:pt idx="488">
                  <c:v>42126.083333333336</c:v>
                </c:pt>
                <c:pt idx="489">
                  <c:v>42127.083333333336</c:v>
                </c:pt>
                <c:pt idx="490">
                  <c:v>42128.083333333336</c:v>
                </c:pt>
                <c:pt idx="491">
                  <c:v>42129.083333333336</c:v>
                </c:pt>
                <c:pt idx="492">
                  <c:v>42130.083333333336</c:v>
                </c:pt>
                <c:pt idx="493">
                  <c:v>42131.083333333336</c:v>
                </c:pt>
                <c:pt idx="494">
                  <c:v>42132.083333333336</c:v>
                </c:pt>
                <c:pt idx="495">
                  <c:v>42133.083333333336</c:v>
                </c:pt>
                <c:pt idx="496">
                  <c:v>42134.083333333336</c:v>
                </c:pt>
                <c:pt idx="497">
                  <c:v>42135.083333333336</c:v>
                </c:pt>
                <c:pt idx="498">
                  <c:v>42136.083333333336</c:v>
                </c:pt>
                <c:pt idx="499">
                  <c:v>42137.083333333336</c:v>
                </c:pt>
                <c:pt idx="500">
                  <c:v>42138.083333333336</c:v>
                </c:pt>
                <c:pt idx="501">
                  <c:v>42139.083333333336</c:v>
                </c:pt>
                <c:pt idx="502">
                  <c:v>42140.083333333336</c:v>
                </c:pt>
                <c:pt idx="503">
                  <c:v>42141.083333333336</c:v>
                </c:pt>
                <c:pt idx="504">
                  <c:v>42142.083333333336</c:v>
                </c:pt>
                <c:pt idx="505">
                  <c:v>42143.083333333336</c:v>
                </c:pt>
                <c:pt idx="506">
                  <c:v>42144.083333333336</c:v>
                </c:pt>
                <c:pt idx="507">
                  <c:v>42145.083333333336</c:v>
                </c:pt>
                <c:pt idx="508">
                  <c:v>42146.083333333336</c:v>
                </c:pt>
                <c:pt idx="509">
                  <c:v>42147.083333333336</c:v>
                </c:pt>
                <c:pt idx="510">
                  <c:v>42148.083333333336</c:v>
                </c:pt>
                <c:pt idx="511">
                  <c:v>42149.083333333336</c:v>
                </c:pt>
                <c:pt idx="512">
                  <c:v>42150.083333333336</c:v>
                </c:pt>
                <c:pt idx="513">
                  <c:v>42151.083333333336</c:v>
                </c:pt>
                <c:pt idx="514">
                  <c:v>42152.083333333336</c:v>
                </c:pt>
                <c:pt idx="515">
                  <c:v>42153.083333333336</c:v>
                </c:pt>
                <c:pt idx="516">
                  <c:v>42154.083333333336</c:v>
                </c:pt>
                <c:pt idx="517">
                  <c:v>42155.083333333336</c:v>
                </c:pt>
                <c:pt idx="518">
                  <c:v>42156.083333333336</c:v>
                </c:pt>
                <c:pt idx="519">
                  <c:v>42157.083333333336</c:v>
                </c:pt>
                <c:pt idx="520">
                  <c:v>42158.083333333336</c:v>
                </c:pt>
                <c:pt idx="521">
                  <c:v>42159.083333333336</c:v>
                </c:pt>
                <c:pt idx="522">
                  <c:v>42160.083333333336</c:v>
                </c:pt>
                <c:pt idx="523">
                  <c:v>42161.083333333336</c:v>
                </c:pt>
                <c:pt idx="524">
                  <c:v>42162.083333333336</c:v>
                </c:pt>
                <c:pt idx="525">
                  <c:v>42163.083333333336</c:v>
                </c:pt>
                <c:pt idx="526">
                  <c:v>42164.083333333336</c:v>
                </c:pt>
                <c:pt idx="527">
                  <c:v>42165.083333333336</c:v>
                </c:pt>
                <c:pt idx="528">
                  <c:v>42166.083333333336</c:v>
                </c:pt>
                <c:pt idx="529">
                  <c:v>42167.083333333336</c:v>
                </c:pt>
                <c:pt idx="530">
                  <c:v>42168.083333333336</c:v>
                </c:pt>
                <c:pt idx="531">
                  <c:v>42169.083333333336</c:v>
                </c:pt>
                <c:pt idx="532">
                  <c:v>42170.083333333336</c:v>
                </c:pt>
                <c:pt idx="533">
                  <c:v>42171.083333333336</c:v>
                </c:pt>
                <c:pt idx="534">
                  <c:v>42172.083333333336</c:v>
                </c:pt>
                <c:pt idx="535">
                  <c:v>42173.083333333336</c:v>
                </c:pt>
                <c:pt idx="536">
                  <c:v>42174.083333333336</c:v>
                </c:pt>
                <c:pt idx="537">
                  <c:v>42175.083333333336</c:v>
                </c:pt>
                <c:pt idx="538">
                  <c:v>42176.083333333336</c:v>
                </c:pt>
                <c:pt idx="539">
                  <c:v>42177.083333333336</c:v>
                </c:pt>
                <c:pt idx="540">
                  <c:v>42178.083333333336</c:v>
                </c:pt>
                <c:pt idx="541">
                  <c:v>42179.083333333336</c:v>
                </c:pt>
                <c:pt idx="542">
                  <c:v>42180.083333333336</c:v>
                </c:pt>
                <c:pt idx="543">
                  <c:v>42181.083333333336</c:v>
                </c:pt>
                <c:pt idx="544">
                  <c:v>42182.083333333336</c:v>
                </c:pt>
                <c:pt idx="545">
                  <c:v>42183.083333333336</c:v>
                </c:pt>
                <c:pt idx="546">
                  <c:v>42184.083333333336</c:v>
                </c:pt>
                <c:pt idx="547">
                  <c:v>42185.083333333336</c:v>
                </c:pt>
                <c:pt idx="548">
                  <c:v>42186.083333333336</c:v>
                </c:pt>
                <c:pt idx="549">
                  <c:v>42187.083333333336</c:v>
                </c:pt>
                <c:pt idx="550">
                  <c:v>42188.083333333336</c:v>
                </c:pt>
                <c:pt idx="551">
                  <c:v>42189.083333333336</c:v>
                </c:pt>
                <c:pt idx="552">
                  <c:v>42190.083333333336</c:v>
                </c:pt>
                <c:pt idx="553">
                  <c:v>42191.083333333336</c:v>
                </c:pt>
                <c:pt idx="554">
                  <c:v>42192.083333333336</c:v>
                </c:pt>
                <c:pt idx="555">
                  <c:v>42193.083333333336</c:v>
                </c:pt>
                <c:pt idx="556">
                  <c:v>42194.083333333336</c:v>
                </c:pt>
                <c:pt idx="557">
                  <c:v>42195.083333333336</c:v>
                </c:pt>
                <c:pt idx="558">
                  <c:v>42196.083333333336</c:v>
                </c:pt>
                <c:pt idx="559">
                  <c:v>42197.083333333336</c:v>
                </c:pt>
                <c:pt idx="560">
                  <c:v>42198.083333333336</c:v>
                </c:pt>
                <c:pt idx="561">
                  <c:v>42199.083333333336</c:v>
                </c:pt>
                <c:pt idx="562">
                  <c:v>42200.083333333336</c:v>
                </c:pt>
                <c:pt idx="563">
                  <c:v>42201.083333333336</c:v>
                </c:pt>
                <c:pt idx="564">
                  <c:v>42202.083333333336</c:v>
                </c:pt>
                <c:pt idx="565">
                  <c:v>42203.083333333336</c:v>
                </c:pt>
                <c:pt idx="566">
                  <c:v>42204.083333333336</c:v>
                </c:pt>
                <c:pt idx="567">
                  <c:v>42205.083333333336</c:v>
                </c:pt>
                <c:pt idx="568">
                  <c:v>42206.083333333336</c:v>
                </c:pt>
                <c:pt idx="569">
                  <c:v>42207.083333333336</c:v>
                </c:pt>
                <c:pt idx="570">
                  <c:v>42208.083333333336</c:v>
                </c:pt>
                <c:pt idx="571">
                  <c:v>42209.083333333336</c:v>
                </c:pt>
                <c:pt idx="572">
                  <c:v>42210.083333333336</c:v>
                </c:pt>
                <c:pt idx="573">
                  <c:v>42211.083333333336</c:v>
                </c:pt>
                <c:pt idx="574">
                  <c:v>42212.083333333336</c:v>
                </c:pt>
                <c:pt idx="575">
                  <c:v>42213.083333333336</c:v>
                </c:pt>
                <c:pt idx="576">
                  <c:v>42214.083333333336</c:v>
                </c:pt>
                <c:pt idx="577">
                  <c:v>42215.083333333336</c:v>
                </c:pt>
                <c:pt idx="578">
                  <c:v>42216.083333333336</c:v>
                </c:pt>
                <c:pt idx="579">
                  <c:v>42217.083333333336</c:v>
                </c:pt>
                <c:pt idx="580">
                  <c:v>42218.083333333336</c:v>
                </c:pt>
                <c:pt idx="581">
                  <c:v>42219.083333333336</c:v>
                </c:pt>
                <c:pt idx="582">
                  <c:v>42220.083333333336</c:v>
                </c:pt>
                <c:pt idx="583">
                  <c:v>42221.083333333336</c:v>
                </c:pt>
                <c:pt idx="584">
                  <c:v>42222.083333333336</c:v>
                </c:pt>
                <c:pt idx="585">
                  <c:v>42223.083333333336</c:v>
                </c:pt>
                <c:pt idx="586">
                  <c:v>42224.083333333336</c:v>
                </c:pt>
                <c:pt idx="587">
                  <c:v>42225.083333333336</c:v>
                </c:pt>
                <c:pt idx="588">
                  <c:v>42226.083333333336</c:v>
                </c:pt>
                <c:pt idx="589">
                  <c:v>42227.083333333336</c:v>
                </c:pt>
                <c:pt idx="590">
                  <c:v>42228.083333333336</c:v>
                </c:pt>
                <c:pt idx="591">
                  <c:v>42229.083333333336</c:v>
                </c:pt>
                <c:pt idx="592">
                  <c:v>42230.083333333336</c:v>
                </c:pt>
                <c:pt idx="593">
                  <c:v>42231.083333333336</c:v>
                </c:pt>
                <c:pt idx="594">
                  <c:v>42232.083333333336</c:v>
                </c:pt>
                <c:pt idx="595">
                  <c:v>42233.083333333336</c:v>
                </c:pt>
                <c:pt idx="596">
                  <c:v>42234.083333333336</c:v>
                </c:pt>
                <c:pt idx="597">
                  <c:v>42235.083333333336</c:v>
                </c:pt>
                <c:pt idx="598">
                  <c:v>42236.083333333336</c:v>
                </c:pt>
                <c:pt idx="599">
                  <c:v>42237.083333333336</c:v>
                </c:pt>
                <c:pt idx="600">
                  <c:v>42238.083333333336</c:v>
                </c:pt>
                <c:pt idx="601">
                  <c:v>42239.083333333336</c:v>
                </c:pt>
                <c:pt idx="602">
                  <c:v>42240.083333333336</c:v>
                </c:pt>
                <c:pt idx="603">
                  <c:v>42241.083333333336</c:v>
                </c:pt>
                <c:pt idx="604">
                  <c:v>42242.083333333336</c:v>
                </c:pt>
                <c:pt idx="605">
                  <c:v>42243.083333333336</c:v>
                </c:pt>
                <c:pt idx="606">
                  <c:v>42244.083333333336</c:v>
                </c:pt>
                <c:pt idx="607">
                  <c:v>42245.083333333336</c:v>
                </c:pt>
                <c:pt idx="608">
                  <c:v>42246.083333333336</c:v>
                </c:pt>
                <c:pt idx="609">
                  <c:v>42247.083333333336</c:v>
                </c:pt>
                <c:pt idx="610">
                  <c:v>42248.083333333336</c:v>
                </c:pt>
                <c:pt idx="611">
                  <c:v>42249.083333333336</c:v>
                </c:pt>
                <c:pt idx="612">
                  <c:v>42250.083333333336</c:v>
                </c:pt>
                <c:pt idx="613">
                  <c:v>42251.083333333336</c:v>
                </c:pt>
                <c:pt idx="614">
                  <c:v>42252.083333333336</c:v>
                </c:pt>
                <c:pt idx="615">
                  <c:v>42253.083333333336</c:v>
                </c:pt>
                <c:pt idx="616">
                  <c:v>42254.083333333336</c:v>
                </c:pt>
                <c:pt idx="617">
                  <c:v>42255.083333333336</c:v>
                </c:pt>
                <c:pt idx="618">
                  <c:v>42256.083333333336</c:v>
                </c:pt>
                <c:pt idx="619">
                  <c:v>42257.083333333336</c:v>
                </c:pt>
                <c:pt idx="620">
                  <c:v>42258.083333333336</c:v>
                </c:pt>
                <c:pt idx="621">
                  <c:v>42259.083333333336</c:v>
                </c:pt>
                <c:pt idx="622">
                  <c:v>42260.083333333336</c:v>
                </c:pt>
                <c:pt idx="623">
                  <c:v>42261.083333333336</c:v>
                </c:pt>
                <c:pt idx="624">
                  <c:v>42262.083333333336</c:v>
                </c:pt>
                <c:pt idx="625">
                  <c:v>42263.083333333336</c:v>
                </c:pt>
                <c:pt idx="626">
                  <c:v>42264.083333333336</c:v>
                </c:pt>
                <c:pt idx="627">
                  <c:v>42265.083333333336</c:v>
                </c:pt>
                <c:pt idx="628">
                  <c:v>42266.083333333336</c:v>
                </c:pt>
                <c:pt idx="629">
                  <c:v>42267.083333333336</c:v>
                </c:pt>
                <c:pt idx="630">
                  <c:v>42268.083333333336</c:v>
                </c:pt>
                <c:pt idx="631">
                  <c:v>42269.083333333336</c:v>
                </c:pt>
                <c:pt idx="632">
                  <c:v>42270.083333333336</c:v>
                </c:pt>
                <c:pt idx="633">
                  <c:v>42271.083333333336</c:v>
                </c:pt>
                <c:pt idx="634">
                  <c:v>42272.083333333336</c:v>
                </c:pt>
                <c:pt idx="635">
                  <c:v>42273.083333333336</c:v>
                </c:pt>
                <c:pt idx="636">
                  <c:v>42274.083333333336</c:v>
                </c:pt>
                <c:pt idx="637">
                  <c:v>42275.083333333336</c:v>
                </c:pt>
                <c:pt idx="638">
                  <c:v>42276.083333333336</c:v>
                </c:pt>
                <c:pt idx="639">
                  <c:v>42277.083333333336</c:v>
                </c:pt>
                <c:pt idx="640">
                  <c:v>42278.083333333336</c:v>
                </c:pt>
                <c:pt idx="641">
                  <c:v>42279.083333333336</c:v>
                </c:pt>
                <c:pt idx="642">
                  <c:v>42280.083333333336</c:v>
                </c:pt>
                <c:pt idx="643">
                  <c:v>42281.083333333336</c:v>
                </c:pt>
                <c:pt idx="644">
                  <c:v>42282.083333333336</c:v>
                </c:pt>
                <c:pt idx="645">
                  <c:v>42283.083333333336</c:v>
                </c:pt>
                <c:pt idx="646">
                  <c:v>42284.083333333336</c:v>
                </c:pt>
                <c:pt idx="647">
                  <c:v>42285.083333333336</c:v>
                </c:pt>
                <c:pt idx="648">
                  <c:v>42286.083333333336</c:v>
                </c:pt>
                <c:pt idx="649">
                  <c:v>42287.083333333336</c:v>
                </c:pt>
                <c:pt idx="650">
                  <c:v>42288.083333333336</c:v>
                </c:pt>
                <c:pt idx="651">
                  <c:v>42289.083333333336</c:v>
                </c:pt>
                <c:pt idx="652">
                  <c:v>42290.083333333336</c:v>
                </c:pt>
                <c:pt idx="653">
                  <c:v>42291.083333333336</c:v>
                </c:pt>
                <c:pt idx="654">
                  <c:v>42292.083333333336</c:v>
                </c:pt>
                <c:pt idx="655">
                  <c:v>42293.083333333336</c:v>
                </c:pt>
                <c:pt idx="656">
                  <c:v>42294.083333333336</c:v>
                </c:pt>
                <c:pt idx="657">
                  <c:v>42295.083333333336</c:v>
                </c:pt>
                <c:pt idx="658">
                  <c:v>42296.083333333336</c:v>
                </c:pt>
                <c:pt idx="659">
                  <c:v>42297.083333333336</c:v>
                </c:pt>
                <c:pt idx="660">
                  <c:v>42298.083333333336</c:v>
                </c:pt>
                <c:pt idx="661">
                  <c:v>42299.083333333336</c:v>
                </c:pt>
                <c:pt idx="662">
                  <c:v>42300.083333333336</c:v>
                </c:pt>
                <c:pt idx="663">
                  <c:v>42301.083333333336</c:v>
                </c:pt>
                <c:pt idx="664">
                  <c:v>42302.083333333336</c:v>
                </c:pt>
                <c:pt idx="665">
                  <c:v>42303.083333333336</c:v>
                </c:pt>
                <c:pt idx="666">
                  <c:v>42304.083333333336</c:v>
                </c:pt>
                <c:pt idx="667">
                  <c:v>42305.083333333336</c:v>
                </c:pt>
                <c:pt idx="668">
                  <c:v>42306.083333333336</c:v>
                </c:pt>
                <c:pt idx="669">
                  <c:v>42307.083333333336</c:v>
                </c:pt>
                <c:pt idx="670">
                  <c:v>42308.083333333336</c:v>
                </c:pt>
                <c:pt idx="671">
                  <c:v>42309.083333333336</c:v>
                </c:pt>
                <c:pt idx="672">
                  <c:v>42310.083333333336</c:v>
                </c:pt>
                <c:pt idx="673">
                  <c:v>42311.083333333336</c:v>
                </c:pt>
                <c:pt idx="674">
                  <c:v>42312.083333333336</c:v>
                </c:pt>
                <c:pt idx="675">
                  <c:v>42313.083333333336</c:v>
                </c:pt>
                <c:pt idx="676">
                  <c:v>42314.083333333336</c:v>
                </c:pt>
                <c:pt idx="677">
                  <c:v>42315.083333333336</c:v>
                </c:pt>
                <c:pt idx="678">
                  <c:v>42316.083333333336</c:v>
                </c:pt>
                <c:pt idx="679">
                  <c:v>42317.083333333336</c:v>
                </c:pt>
                <c:pt idx="680">
                  <c:v>42318.083333333336</c:v>
                </c:pt>
                <c:pt idx="681">
                  <c:v>42319.083333333336</c:v>
                </c:pt>
                <c:pt idx="682">
                  <c:v>42320.083333333336</c:v>
                </c:pt>
                <c:pt idx="683">
                  <c:v>42321.083333333336</c:v>
                </c:pt>
                <c:pt idx="684">
                  <c:v>42322.083333333336</c:v>
                </c:pt>
                <c:pt idx="685">
                  <c:v>42323.083333333336</c:v>
                </c:pt>
                <c:pt idx="686">
                  <c:v>42324.083333333336</c:v>
                </c:pt>
                <c:pt idx="687">
                  <c:v>42325.083333333336</c:v>
                </c:pt>
                <c:pt idx="688">
                  <c:v>42326.083333333336</c:v>
                </c:pt>
                <c:pt idx="689">
                  <c:v>42327.083333333336</c:v>
                </c:pt>
                <c:pt idx="690">
                  <c:v>42328.083333333336</c:v>
                </c:pt>
                <c:pt idx="691">
                  <c:v>42329.083333333336</c:v>
                </c:pt>
                <c:pt idx="692">
                  <c:v>42330.083333333336</c:v>
                </c:pt>
                <c:pt idx="693">
                  <c:v>42331.083333333336</c:v>
                </c:pt>
                <c:pt idx="694">
                  <c:v>42332.083333333336</c:v>
                </c:pt>
                <c:pt idx="695">
                  <c:v>42333.083333333336</c:v>
                </c:pt>
                <c:pt idx="696">
                  <c:v>42334.083333333336</c:v>
                </c:pt>
                <c:pt idx="697">
                  <c:v>42335.083333333336</c:v>
                </c:pt>
                <c:pt idx="698">
                  <c:v>42336.083333333336</c:v>
                </c:pt>
                <c:pt idx="699">
                  <c:v>42337.083333333336</c:v>
                </c:pt>
                <c:pt idx="700">
                  <c:v>42338.083333333336</c:v>
                </c:pt>
                <c:pt idx="701">
                  <c:v>42339.083333333336</c:v>
                </c:pt>
                <c:pt idx="702">
                  <c:v>42340.083333333336</c:v>
                </c:pt>
                <c:pt idx="703">
                  <c:v>42341.083333333336</c:v>
                </c:pt>
                <c:pt idx="704">
                  <c:v>42342.083333333336</c:v>
                </c:pt>
                <c:pt idx="705">
                  <c:v>42343.083333333336</c:v>
                </c:pt>
                <c:pt idx="706">
                  <c:v>42344.083333333336</c:v>
                </c:pt>
                <c:pt idx="707">
                  <c:v>42345.083333333336</c:v>
                </c:pt>
                <c:pt idx="708">
                  <c:v>42346.083333333336</c:v>
                </c:pt>
                <c:pt idx="709">
                  <c:v>42347.083333333336</c:v>
                </c:pt>
                <c:pt idx="710">
                  <c:v>42348.083333333336</c:v>
                </c:pt>
                <c:pt idx="711">
                  <c:v>42349.083333333336</c:v>
                </c:pt>
                <c:pt idx="712">
                  <c:v>42350.083333333336</c:v>
                </c:pt>
                <c:pt idx="713">
                  <c:v>42351.083333333336</c:v>
                </c:pt>
                <c:pt idx="714">
                  <c:v>42352.083333333336</c:v>
                </c:pt>
                <c:pt idx="715">
                  <c:v>42353.083333333336</c:v>
                </c:pt>
                <c:pt idx="716">
                  <c:v>42354.083333333336</c:v>
                </c:pt>
                <c:pt idx="717">
                  <c:v>42355.083333333336</c:v>
                </c:pt>
                <c:pt idx="718">
                  <c:v>42356.083333333336</c:v>
                </c:pt>
                <c:pt idx="719">
                  <c:v>42357.083333333336</c:v>
                </c:pt>
                <c:pt idx="720">
                  <c:v>42358.083333333336</c:v>
                </c:pt>
                <c:pt idx="721">
                  <c:v>42359.083333333336</c:v>
                </c:pt>
                <c:pt idx="722">
                  <c:v>42360.083333333336</c:v>
                </c:pt>
                <c:pt idx="723">
                  <c:v>42361.083333333336</c:v>
                </c:pt>
                <c:pt idx="724">
                  <c:v>42362.083333333336</c:v>
                </c:pt>
                <c:pt idx="725">
                  <c:v>42363.083333333336</c:v>
                </c:pt>
                <c:pt idx="726">
                  <c:v>42364.083333333336</c:v>
                </c:pt>
                <c:pt idx="727">
                  <c:v>42365.083333333336</c:v>
                </c:pt>
                <c:pt idx="728">
                  <c:v>42366.083333333336</c:v>
                </c:pt>
                <c:pt idx="729">
                  <c:v>42367.083333333336</c:v>
                </c:pt>
                <c:pt idx="730">
                  <c:v>42368.083333333336</c:v>
                </c:pt>
                <c:pt idx="731">
                  <c:v>42369.083333333336</c:v>
                </c:pt>
                <c:pt idx="732">
                  <c:v>42370.083333333336</c:v>
                </c:pt>
                <c:pt idx="733">
                  <c:v>42371.083333333336</c:v>
                </c:pt>
                <c:pt idx="734">
                  <c:v>42372.083333333336</c:v>
                </c:pt>
                <c:pt idx="735">
                  <c:v>42373.083333333336</c:v>
                </c:pt>
                <c:pt idx="736">
                  <c:v>42374.083333333336</c:v>
                </c:pt>
                <c:pt idx="737">
                  <c:v>42375.083333333336</c:v>
                </c:pt>
                <c:pt idx="738">
                  <c:v>42376.083333333336</c:v>
                </c:pt>
                <c:pt idx="739">
                  <c:v>42377.083333333336</c:v>
                </c:pt>
                <c:pt idx="740">
                  <c:v>42378.083333333336</c:v>
                </c:pt>
                <c:pt idx="741">
                  <c:v>42379.083333333336</c:v>
                </c:pt>
                <c:pt idx="742">
                  <c:v>42380.083333333336</c:v>
                </c:pt>
                <c:pt idx="743">
                  <c:v>42381.083333333336</c:v>
                </c:pt>
                <c:pt idx="744">
                  <c:v>42382.083333333336</c:v>
                </c:pt>
                <c:pt idx="745">
                  <c:v>42383.083333333336</c:v>
                </c:pt>
                <c:pt idx="746">
                  <c:v>42384.083333333336</c:v>
                </c:pt>
                <c:pt idx="747">
                  <c:v>42385.083333333336</c:v>
                </c:pt>
                <c:pt idx="748">
                  <c:v>42386.083333333336</c:v>
                </c:pt>
                <c:pt idx="749">
                  <c:v>42387.083333333336</c:v>
                </c:pt>
                <c:pt idx="750">
                  <c:v>42388.083333333336</c:v>
                </c:pt>
                <c:pt idx="751">
                  <c:v>42389.083333333336</c:v>
                </c:pt>
                <c:pt idx="752">
                  <c:v>42390.083333333336</c:v>
                </c:pt>
                <c:pt idx="753">
                  <c:v>42391.083333333336</c:v>
                </c:pt>
                <c:pt idx="754">
                  <c:v>42392.083333333336</c:v>
                </c:pt>
                <c:pt idx="755">
                  <c:v>42393.083333333336</c:v>
                </c:pt>
                <c:pt idx="756">
                  <c:v>42394.083333333336</c:v>
                </c:pt>
                <c:pt idx="757">
                  <c:v>42395.083333333336</c:v>
                </c:pt>
                <c:pt idx="758">
                  <c:v>42396.083333333336</c:v>
                </c:pt>
                <c:pt idx="759">
                  <c:v>42397.083333333336</c:v>
                </c:pt>
                <c:pt idx="760">
                  <c:v>42398.083333333336</c:v>
                </c:pt>
                <c:pt idx="761">
                  <c:v>42399.083333333336</c:v>
                </c:pt>
                <c:pt idx="762">
                  <c:v>42400.083333333336</c:v>
                </c:pt>
                <c:pt idx="763">
                  <c:v>42401.083333333336</c:v>
                </c:pt>
                <c:pt idx="764">
                  <c:v>42402.083333333336</c:v>
                </c:pt>
                <c:pt idx="765">
                  <c:v>42403.083333333336</c:v>
                </c:pt>
                <c:pt idx="766">
                  <c:v>42404.083333333336</c:v>
                </c:pt>
                <c:pt idx="767">
                  <c:v>42405.083333333336</c:v>
                </c:pt>
                <c:pt idx="768">
                  <c:v>42406.083333333336</c:v>
                </c:pt>
                <c:pt idx="769">
                  <c:v>42407.083333333336</c:v>
                </c:pt>
                <c:pt idx="770">
                  <c:v>42408.083333333336</c:v>
                </c:pt>
                <c:pt idx="771">
                  <c:v>42409.083333333336</c:v>
                </c:pt>
                <c:pt idx="772">
                  <c:v>42410.083333333336</c:v>
                </c:pt>
                <c:pt idx="773">
                  <c:v>42411.083333333336</c:v>
                </c:pt>
                <c:pt idx="774">
                  <c:v>42412.083333333336</c:v>
                </c:pt>
                <c:pt idx="775">
                  <c:v>42413.083333333336</c:v>
                </c:pt>
                <c:pt idx="776">
                  <c:v>42414.083333333336</c:v>
                </c:pt>
                <c:pt idx="777">
                  <c:v>42415.083333333336</c:v>
                </c:pt>
                <c:pt idx="778">
                  <c:v>42416.083333333336</c:v>
                </c:pt>
                <c:pt idx="779">
                  <c:v>42417.083333333336</c:v>
                </c:pt>
                <c:pt idx="780">
                  <c:v>42418.083333333336</c:v>
                </c:pt>
                <c:pt idx="781">
                  <c:v>42419.083333333336</c:v>
                </c:pt>
                <c:pt idx="782">
                  <c:v>42420.083333333336</c:v>
                </c:pt>
                <c:pt idx="783">
                  <c:v>42421.083333333336</c:v>
                </c:pt>
                <c:pt idx="784">
                  <c:v>42422.083333333336</c:v>
                </c:pt>
                <c:pt idx="785">
                  <c:v>42423.083333333336</c:v>
                </c:pt>
                <c:pt idx="786">
                  <c:v>42424.083333333336</c:v>
                </c:pt>
                <c:pt idx="787">
                  <c:v>42425.083333333336</c:v>
                </c:pt>
                <c:pt idx="788">
                  <c:v>42426.083333333336</c:v>
                </c:pt>
                <c:pt idx="789">
                  <c:v>42427.083333333336</c:v>
                </c:pt>
                <c:pt idx="790">
                  <c:v>42428.083333333336</c:v>
                </c:pt>
                <c:pt idx="791">
                  <c:v>42429.083333333336</c:v>
                </c:pt>
                <c:pt idx="792">
                  <c:v>42430.083333333336</c:v>
                </c:pt>
                <c:pt idx="793">
                  <c:v>42431.083333333336</c:v>
                </c:pt>
                <c:pt idx="794">
                  <c:v>42432.083333333336</c:v>
                </c:pt>
                <c:pt idx="795">
                  <c:v>42433.083333333336</c:v>
                </c:pt>
                <c:pt idx="796">
                  <c:v>42434.083333333336</c:v>
                </c:pt>
                <c:pt idx="797">
                  <c:v>42435.083333333336</c:v>
                </c:pt>
                <c:pt idx="798">
                  <c:v>42436.083333333336</c:v>
                </c:pt>
                <c:pt idx="799">
                  <c:v>42437.083333333336</c:v>
                </c:pt>
                <c:pt idx="800">
                  <c:v>42438.083333333336</c:v>
                </c:pt>
                <c:pt idx="801">
                  <c:v>42439.083333333336</c:v>
                </c:pt>
                <c:pt idx="802">
                  <c:v>42440.083333333336</c:v>
                </c:pt>
                <c:pt idx="803">
                  <c:v>42441.083333333336</c:v>
                </c:pt>
                <c:pt idx="804">
                  <c:v>42442.083333333336</c:v>
                </c:pt>
                <c:pt idx="805">
                  <c:v>42443.083333333336</c:v>
                </c:pt>
                <c:pt idx="806">
                  <c:v>42444.083333333336</c:v>
                </c:pt>
                <c:pt idx="807">
                  <c:v>42445.083333333336</c:v>
                </c:pt>
                <c:pt idx="808">
                  <c:v>42446.083333333336</c:v>
                </c:pt>
                <c:pt idx="809">
                  <c:v>42447.083333333336</c:v>
                </c:pt>
                <c:pt idx="810">
                  <c:v>42448.083333333336</c:v>
                </c:pt>
                <c:pt idx="811">
                  <c:v>42449.083333333336</c:v>
                </c:pt>
                <c:pt idx="812">
                  <c:v>42450.083333333336</c:v>
                </c:pt>
                <c:pt idx="813">
                  <c:v>42451.083333333336</c:v>
                </c:pt>
                <c:pt idx="814">
                  <c:v>42452.083333333336</c:v>
                </c:pt>
                <c:pt idx="815">
                  <c:v>42453.083333333336</c:v>
                </c:pt>
                <c:pt idx="816">
                  <c:v>42454.083333333336</c:v>
                </c:pt>
                <c:pt idx="817">
                  <c:v>42455.083333333336</c:v>
                </c:pt>
                <c:pt idx="818">
                  <c:v>42456.083333333336</c:v>
                </c:pt>
                <c:pt idx="819">
                  <c:v>42457.083333333336</c:v>
                </c:pt>
                <c:pt idx="820">
                  <c:v>42458.083333333336</c:v>
                </c:pt>
                <c:pt idx="821">
                  <c:v>42459.083333333336</c:v>
                </c:pt>
                <c:pt idx="822">
                  <c:v>42460.083333333336</c:v>
                </c:pt>
                <c:pt idx="823">
                  <c:v>42461.083333333336</c:v>
                </c:pt>
                <c:pt idx="824">
                  <c:v>42462.083333333336</c:v>
                </c:pt>
                <c:pt idx="825">
                  <c:v>42463.083333333336</c:v>
                </c:pt>
                <c:pt idx="826">
                  <c:v>42464.083333333336</c:v>
                </c:pt>
                <c:pt idx="827">
                  <c:v>42465.083333333336</c:v>
                </c:pt>
                <c:pt idx="828">
                  <c:v>42466.083333333336</c:v>
                </c:pt>
                <c:pt idx="829">
                  <c:v>42467.083333333336</c:v>
                </c:pt>
                <c:pt idx="830">
                  <c:v>42468.083333333336</c:v>
                </c:pt>
                <c:pt idx="831">
                  <c:v>42469.083333333336</c:v>
                </c:pt>
                <c:pt idx="832">
                  <c:v>42470.083333333336</c:v>
                </c:pt>
                <c:pt idx="833">
                  <c:v>42471.083333333336</c:v>
                </c:pt>
                <c:pt idx="834">
                  <c:v>42472.083333333336</c:v>
                </c:pt>
                <c:pt idx="835">
                  <c:v>42473.083333333336</c:v>
                </c:pt>
                <c:pt idx="836">
                  <c:v>42474.083333333336</c:v>
                </c:pt>
                <c:pt idx="837">
                  <c:v>42475.083333333336</c:v>
                </c:pt>
                <c:pt idx="838">
                  <c:v>42476.083333333336</c:v>
                </c:pt>
                <c:pt idx="839">
                  <c:v>42477.083333333336</c:v>
                </c:pt>
                <c:pt idx="840">
                  <c:v>42478.083333333336</c:v>
                </c:pt>
                <c:pt idx="841">
                  <c:v>42479.083333333336</c:v>
                </c:pt>
                <c:pt idx="842">
                  <c:v>42480.083333333336</c:v>
                </c:pt>
                <c:pt idx="843">
                  <c:v>42481.083333333336</c:v>
                </c:pt>
                <c:pt idx="844">
                  <c:v>42482.083333333336</c:v>
                </c:pt>
                <c:pt idx="845">
                  <c:v>42483.083333333336</c:v>
                </c:pt>
                <c:pt idx="846">
                  <c:v>42484.083333333336</c:v>
                </c:pt>
                <c:pt idx="847">
                  <c:v>42485.083333333336</c:v>
                </c:pt>
                <c:pt idx="848">
                  <c:v>42486.083333333336</c:v>
                </c:pt>
                <c:pt idx="849">
                  <c:v>42487.083333333336</c:v>
                </c:pt>
                <c:pt idx="850">
                  <c:v>42488.083333333336</c:v>
                </c:pt>
                <c:pt idx="851">
                  <c:v>42489.083333333336</c:v>
                </c:pt>
                <c:pt idx="852">
                  <c:v>42490.083333333336</c:v>
                </c:pt>
                <c:pt idx="853">
                  <c:v>42491.083333333336</c:v>
                </c:pt>
                <c:pt idx="854">
                  <c:v>42492.083333333336</c:v>
                </c:pt>
                <c:pt idx="855">
                  <c:v>42493.083333333336</c:v>
                </c:pt>
                <c:pt idx="856">
                  <c:v>42494.083333333336</c:v>
                </c:pt>
                <c:pt idx="857">
                  <c:v>42495.083333333336</c:v>
                </c:pt>
                <c:pt idx="858">
                  <c:v>42496.083333333336</c:v>
                </c:pt>
                <c:pt idx="859">
                  <c:v>42497.083333333336</c:v>
                </c:pt>
                <c:pt idx="860">
                  <c:v>42498.083333333336</c:v>
                </c:pt>
                <c:pt idx="861">
                  <c:v>42499.083333333336</c:v>
                </c:pt>
                <c:pt idx="862">
                  <c:v>42500.083333333336</c:v>
                </c:pt>
                <c:pt idx="863">
                  <c:v>42501.083333333336</c:v>
                </c:pt>
                <c:pt idx="864">
                  <c:v>42502.083333333336</c:v>
                </c:pt>
                <c:pt idx="865">
                  <c:v>42503.083333333336</c:v>
                </c:pt>
                <c:pt idx="866">
                  <c:v>42504.083333333336</c:v>
                </c:pt>
                <c:pt idx="867">
                  <c:v>42505.083333333336</c:v>
                </c:pt>
                <c:pt idx="868">
                  <c:v>42506.083333333336</c:v>
                </c:pt>
                <c:pt idx="869">
                  <c:v>42507.083333333336</c:v>
                </c:pt>
                <c:pt idx="870">
                  <c:v>42508.083333333336</c:v>
                </c:pt>
                <c:pt idx="871">
                  <c:v>42509.083333333336</c:v>
                </c:pt>
                <c:pt idx="872">
                  <c:v>42510.083333333336</c:v>
                </c:pt>
                <c:pt idx="873">
                  <c:v>42511.083333333336</c:v>
                </c:pt>
                <c:pt idx="874">
                  <c:v>42512.083333333336</c:v>
                </c:pt>
                <c:pt idx="875">
                  <c:v>42513.083333333336</c:v>
                </c:pt>
                <c:pt idx="876">
                  <c:v>42514.083333333336</c:v>
                </c:pt>
                <c:pt idx="877">
                  <c:v>42515.083333333336</c:v>
                </c:pt>
                <c:pt idx="878">
                  <c:v>42516.083333333336</c:v>
                </c:pt>
                <c:pt idx="879">
                  <c:v>42517.083333333336</c:v>
                </c:pt>
                <c:pt idx="880">
                  <c:v>42518.083333333336</c:v>
                </c:pt>
                <c:pt idx="881">
                  <c:v>42519.083333333336</c:v>
                </c:pt>
                <c:pt idx="882">
                  <c:v>42520.083333333336</c:v>
                </c:pt>
                <c:pt idx="883">
                  <c:v>42521.083333333336</c:v>
                </c:pt>
                <c:pt idx="884">
                  <c:v>42522.083333333336</c:v>
                </c:pt>
                <c:pt idx="885">
                  <c:v>42523.083333333336</c:v>
                </c:pt>
                <c:pt idx="886">
                  <c:v>42524.083333333336</c:v>
                </c:pt>
                <c:pt idx="887">
                  <c:v>42525.083333333336</c:v>
                </c:pt>
                <c:pt idx="888">
                  <c:v>42526.083333333336</c:v>
                </c:pt>
                <c:pt idx="889">
                  <c:v>42527.083333333336</c:v>
                </c:pt>
                <c:pt idx="890">
                  <c:v>42528.083333333336</c:v>
                </c:pt>
                <c:pt idx="891">
                  <c:v>42529.083333333336</c:v>
                </c:pt>
                <c:pt idx="892">
                  <c:v>42530.083333333336</c:v>
                </c:pt>
                <c:pt idx="893">
                  <c:v>42531.083333333336</c:v>
                </c:pt>
                <c:pt idx="894">
                  <c:v>42532.083333333336</c:v>
                </c:pt>
                <c:pt idx="895">
                  <c:v>42533.083333333336</c:v>
                </c:pt>
                <c:pt idx="896">
                  <c:v>42534.083333333336</c:v>
                </c:pt>
                <c:pt idx="897">
                  <c:v>42535.083333333336</c:v>
                </c:pt>
                <c:pt idx="898">
                  <c:v>42536.083333333336</c:v>
                </c:pt>
                <c:pt idx="899">
                  <c:v>42537.083333333336</c:v>
                </c:pt>
                <c:pt idx="900">
                  <c:v>42538.083333333336</c:v>
                </c:pt>
                <c:pt idx="901">
                  <c:v>42539.083333333336</c:v>
                </c:pt>
                <c:pt idx="902">
                  <c:v>42540.083333333336</c:v>
                </c:pt>
                <c:pt idx="903">
                  <c:v>42541.083333333336</c:v>
                </c:pt>
                <c:pt idx="904">
                  <c:v>42542.083333333336</c:v>
                </c:pt>
                <c:pt idx="905">
                  <c:v>42543.083333333336</c:v>
                </c:pt>
                <c:pt idx="906">
                  <c:v>42544.083333333336</c:v>
                </c:pt>
                <c:pt idx="907">
                  <c:v>42545.083333333336</c:v>
                </c:pt>
                <c:pt idx="908">
                  <c:v>42546.083333333336</c:v>
                </c:pt>
                <c:pt idx="909">
                  <c:v>42547.083333333336</c:v>
                </c:pt>
                <c:pt idx="910">
                  <c:v>42548.083333333336</c:v>
                </c:pt>
                <c:pt idx="911">
                  <c:v>42549.083333333336</c:v>
                </c:pt>
                <c:pt idx="912">
                  <c:v>42550.083333333336</c:v>
                </c:pt>
                <c:pt idx="913">
                  <c:v>42551.083333333336</c:v>
                </c:pt>
                <c:pt idx="914">
                  <c:v>42552.083333333336</c:v>
                </c:pt>
                <c:pt idx="915">
                  <c:v>42553.083333333336</c:v>
                </c:pt>
                <c:pt idx="916">
                  <c:v>42554.083333333336</c:v>
                </c:pt>
                <c:pt idx="917">
                  <c:v>42555.083333333336</c:v>
                </c:pt>
                <c:pt idx="918">
                  <c:v>42556.083333333336</c:v>
                </c:pt>
                <c:pt idx="919">
                  <c:v>42557.083333333336</c:v>
                </c:pt>
                <c:pt idx="920">
                  <c:v>42558.083333333336</c:v>
                </c:pt>
                <c:pt idx="921">
                  <c:v>42559.083333333336</c:v>
                </c:pt>
                <c:pt idx="922">
                  <c:v>42560.083333333336</c:v>
                </c:pt>
                <c:pt idx="923">
                  <c:v>42561.083333333336</c:v>
                </c:pt>
                <c:pt idx="924">
                  <c:v>42562.083333333336</c:v>
                </c:pt>
                <c:pt idx="925">
                  <c:v>42563.083333333336</c:v>
                </c:pt>
                <c:pt idx="926">
                  <c:v>42564.083333333336</c:v>
                </c:pt>
                <c:pt idx="927">
                  <c:v>42565.083333333336</c:v>
                </c:pt>
                <c:pt idx="928">
                  <c:v>42566.083333333336</c:v>
                </c:pt>
                <c:pt idx="929">
                  <c:v>42567.083333333336</c:v>
                </c:pt>
                <c:pt idx="930">
                  <c:v>42568.083333333336</c:v>
                </c:pt>
                <c:pt idx="931">
                  <c:v>42569.083333333336</c:v>
                </c:pt>
                <c:pt idx="932">
                  <c:v>42570.083333333336</c:v>
                </c:pt>
                <c:pt idx="933">
                  <c:v>42571.083333333336</c:v>
                </c:pt>
                <c:pt idx="934">
                  <c:v>42572.083333333336</c:v>
                </c:pt>
                <c:pt idx="935">
                  <c:v>42573.083333333336</c:v>
                </c:pt>
                <c:pt idx="936">
                  <c:v>42574.083333333336</c:v>
                </c:pt>
                <c:pt idx="937">
                  <c:v>42575.083333333336</c:v>
                </c:pt>
                <c:pt idx="938">
                  <c:v>42576.083333333336</c:v>
                </c:pt>
                <c:pt idx="939">
                  <c:v>42577.083333333336</c:v>
                </c:pt>
                <c:pt idx="940">
                  <c:v>42578.083333333336</c:v>
                </c:pt>
                <c:pt idx="941">
                  <c:v>42579.083333333336</c:v>
                </c:pt>
                <c:pt idx="942">
                  <c:v>42580.083333333336</c:v>
                </c:pt>
                <c:pt idx="943">
                  <c:v>42581.083333333336</c:v>
                </c:pt>
                <c:pt idx="944">
                  <c:v>42582.083333333336</c:v>
                </c:pt>
                <c:pt idx="945">
                  <c:v>42583.083333333336</c:v>
                </c:pt>
                <c:pt idx="946">
                  <c:v>42584.083333333336</c:v>
                </c:pt>
                <c:pt idx="947">
                  <c:v>42585.083333333336</c:v>
                </c:pt>
                <c:pt idx="948">
                  <c:v>42586.083333333336</c:v>
                </c:pt>
                <c:pt idx="949">
                  <c:v>42587.083333333336</c:v>
                </c:pt>
                <c:pt idx="950">
                  <c:v>42588.083333333336</c:v>
                </c:pt>
                <c:pt idx="951">
                  <c:v>42589.083333333336</c:v>
                </c:pt>
                <c:pt idx="952">
                  <c:v>42590.083333333336</c:v>
                </c:pt>
                <c:pt idx="953">
                  <c:v>42591.083333333336</c:v>
                </c:pt>
                <c:pt idx="954">
                  <c:v>42592.083333333336</c:v>
                </c:pt>
                <c:pt idx="955">
                  <c:v>42593.083333333336</c:v>
                </c:pt>
                <c:pt idx="956">
                  <c:v>42594.083333333336</c:v>
                </c:pt>
                <c:pt idx="957">
                  <c:v>42595.083333333336</c:v>
                </c:pt>
                <c:pt idx="958">
                  <c:v>42596.083333333336</c:v>
                </c:pt>
                <c:pt idx="959">
                  <c:v>42597.083333333336</c:v>
                </c:pt>
                <c:pt idx="960">
                  <c:v>42598.083333333336</c:v>
                </c:pt>
                <c:pt idx="961">
                  <c:v>42599.083333333336</c:v>
                </c:pt>
                <c:pt idx="962">
                  <c:v>42600.083333333336</c:v>
                </c:pt>
                <c:pt idx="963">
                  <c:v>42601.083333333336</c:v>
                </c:pt>
                <c:pt idx="964">
                  <c:v>42602.083333333336</c:v>
                </c:pt>
                <c:pt idx="965">
                  <c:v>42603.083333333336</c:v>
                </c:pt>
                <c:pt idx="966">
                  <c:v>42604.083333333336</c:v>
                </c:pt>
                <c:pt idx="967">
                  <c:v>42605.083333333336</c:v>
                </c:pt>
                <c:pt idx="968">
                  <c:v>42606.083333333336</c:v>
                </c:pt>
                <c:pt idx="969">
                  <c:v>42607.083333333336</c:v>
                </c:pt>
                <c:pt idx="970">
                  <c:v>42608.083333333336</c:v>
                </c:pt>
                <c:pt idx="971">
                  <c:v>42609.083333333336</c:v>
                </c:pt>
                <c:pt idx="972">
                  <c:v>42610.083333333336</c:v>
                </c:pt>
                <c:pt idx="973">
                  <c:v>42611.083333333336</c:v>
                </c:pt>
                <c:pt idx="974">
                  <c:v>42612.083333333336</c:v>
                </c:pt>
                <c:pt idx="975">
                  <c:v>42613.083333333336</c:v>
                </c:pt>
                <c:pt idx="976">
                  <c:v>42614.083333333336</c:v>
                </c:pt>
                <c:pt idx="977">
                  <c:v>42615.083333333336</c:v>
                </c:pt>
                <c:pt idx="978">
                  <c:v>42616.083333333336</c:v>
                </c:pt>
                <c:pt idx="979">
                  <c:v>42617.083333333336</c:v>
                </c:pt>
                <c:pt idx="980">
                  <c:v>42618.083333333336</c:v>
                </c:pt>
                <c:pt idx="981">
                  <c:v>42619.083333333336</c:v>
                </c:pt>
                <c:pt idx="982">
                  <c:v>42620.083333333336</c:v>
                </c:pt>
                <c:pt idx="983">
                  <c:v>42621.083333333336</c:v>
                </c:pt>
                <c:pt idx="984">
                  <c:v>42622.083333333336</c:v>
                </c:pt>
                <c:pt idx="985">
                  <c:v>42623.083333333336</c:v>
                </c:pt>
                <c:pt idx="986">
                  <c:v>42624.083333333336</c:v>
                </c:pt>
                <c:pt idx="987">
                  <c:v>42625.083333333336</c:v>
                </c:pt>
                <c:pt idx="988">
                  <c:v>42626.083333333336</c:v>
                </c:pt>
                <c:pt idx="989">
                  <c:v>42627.083333333336</c:v>
                </c:pt>
                <c:pt idx="990">
                  <c:v>42628.083333333336</c:v>
                </c:pt>
                <c:pt idx="991">
                  <c:v>42629.083333333336</c:v>
                </c:pt>
                <c:pt idx="992">
                  <c:v>42630.083333333336</c:v>
                </c:pt>
                <c:pt idx="993">
                  <c:v>42631.083333333336</c:v>
                </c:pt>
                <c:pt idx="994">
                  <c:v>42632.083333333336</c:v>
                </c:pt>
                <c:pt idx="995">
                  <c:v>42633.083333333336</c:v>
                </c:pt>
                <c:pt idx="996">
                  <c:v>42634.083333333336</c:v>
                </c:pt>
                <c:pt idx="997">
                  <c:v>42635.083333333336</c:v>
                </c:pt>
                <c:pt idx="998">
                  <c:v>42636.083333333336</c:v>
                </c:pt>
                <c:pt idx="999">
                  <c:v>42637.083333333336</c:v>
                </c:pt>
              </c:numCache>
            </c:numRef>
          </c:cat>
          <c:val>
            <c:numRef>
              <c:f>'Daily Metrics'!$D$15:$D$1014</c:f>
              <c:numCache>
                <c:formatCode>#,##0</c:formatCode>
                <c:ptCount val="1000"/>
                <c:pt idx="0">
                  <c:v>6827</c:v>
                </c:pt>
                <c:pt idx="1">
                  <c:v>9268</c:v>
                </c:pt>
                <c:pt idx="2">
                  <c:v>2678</c:v>
                </c:pt>
                <c:pt idx="3">
                  <c:v>6175</c:v>
                </c:pt>
                <c:pt idx="4">
                  <c:v>10084</c:v>
                </c:pt>
                <c:pt idx="5">
                  <c:v>9470</c:v>
                </c:pt>
                <c:pt idx="6">
                  <c:v>5524</c:v>
                </c:pt>
                <c:pt idx="7">
                  <c:v>9448</c:v>
                </c:pt>
                <c:pt idx="8">
                  <c:v>6911</c:v>
                </c:pt>
                <c:pt idx="9">
                  <c:v>2990</c:v>
                </c:pt>
                <c:pt idx="10">
                  <c:v>3159</c:v>
                </c:pt>
                <c:pt idx="11">
                  <c:v>4246</c:v>
                </c:pt>
                <c:pt idx="12">
                  <c:v>4297</c:v>
                </c:pt>
                <c:pt idx="13">
                  <c:v>2796</c:v>
                </c:pt>
                <c:pt idx="14">
                  <c:v>3369</c:v>
                </c:pt>
                <c:pt idx="15">
                  <c:v>2348</c:v>
                </c:pt>
                <c:pt idx="16">
                  <c:v>2903</c:v>
                </c:pt>
                <c:pt idx="17">
                  <c:v>2491</c:v>
                </c:pt>
                <c:pt idx="18">
                  <c:v>3968</c:v>
                </c:pt>
                <c:pt idx="19">
                  <c:v>4393</c:v>
                </c:pt>
                <c:pt idx="20">
                  <c:v>2176</c:v>
                </c:pt>
                <c:pt idx="21">
                  <c:v>2443</c:v>
                </c:pt>
                <c:pt idx="22">
                  <c:v>2638</c:v>
                </c:pt>
                <c:pt idx="23">
                  <c:v>1704</c:v>
                </c:pt>
                <c:pt idx="24">
                  <c:v>1872</c:v>
                </c:pt>
                <c:pt idx="25">
                  <c:v>3423</c:v>
                </c:pt>
                <c:pt idx="26">
                  <c:v>4544</c:v>
                </c:pt>
                <c:pt idx="27">
                  <c:v>2426</c:v>
                </c:pt>
                <c:pt idx="28">
                  <c:v>2117</c:v>
                </c:pt>
                <c:pt idx="29">
                  <c:v>1476</c:v>
                </c:pt>
                <c:pt idx="30">
                  <c:v>1974</c:v>
                </c:pt>
                <c:pt idx="31">
                  <c:v>1892</c:v>
                </c:pt>
                <c:pt idx="32">
                  <c:v>4030</c:v>
                </c:pt>
                <c:pt idx="33">
                  <c:v>5304</c:v>
                </c:pt>
                <c:pt idx="34">
                  <c:v>3320</c:v>
                </c:pt>
                <c:pt idx="35">
                  <c:v>4191</c:v>
                </c:pt>
                <c:pt idx="36">
                  <c:v>3809</c:v>
                </c:pt>
                <c:pt idx="37">
                  <c:v>5764</c:v>
                </c:pt>
                <c:pt idx="38">
                  <c:v>3028</c:v>
                </c:pt>
                <c:pt idx="39">
                  <c:v>9284</c:v>
                </c:pt>
                <c:pt idx="40">
                  <c:v>9737</c:v>
                </c:pt>
                <c:pt idx="41">
                  <c:v>4163</c:v>
                </c:pt>
                <c:pt idx="42">
                  <c:v>4552</c:v>
                </c:pt>
                <c:pt idx="43">
                  <c:v>4172</c:v>
                </c:pt>
                <c:pt idx="44">
                  <c:v>5037</c:v>
                </c:pt>
                <c:pt idx="45">
                  <c:v>4259</c:v>
                </c:pt>
                <c:pt idx="46">
                  <c:v>10381</c:v>
                </c:pt>
                <c:pt idx="47">
                  <c:v>11332</c:v>
                </c:pt>
                <c:pt idx="48">
                  <c:v>4127</c:v>
                </c:pt>
                <c:pt idx="49">
                  <c:v>4649</c:v>
                </c:pt>
                <c:pt idx="50">
                  <c:v>1627</c:v>
                </c:pt>
                <c:pt idx="51">
                  <c:v>3281</c:v>
                </c:pt>
                <c:pt idx="52">
                  <c:v>2310</c:v>
                </c:pt>
                <c:pt idx="53">
                  <c:v>9802</c:v>
                </c:pt>
                <c:pt idx="54">
                  <c:v>9772</c:v>
                </c:pt>
                <c:pt idx="55">
                  <c:v>4270</c:v>
                </c:pt>
                <c:pt idx="56">
                  <c:v>4106</c:v>
                </c:pt>
                <c:pt idx="57">
                  <c:v>6937</c:v>
                </c:pt>
                <c:pt idx="58">
                  <c:v>6934</c:v>
                </c:pt>
                <c:pt idx="59">
                  <c:v>11082</c:v>
                </c:pt>
                <c:pt idx="60">
                  <c:v>20805</c:v>
                </c:pt>
                <c:pt idx="61">
                  <c:v>26410</c:v>
                </c:pt>
                <c:pt idx="62">
                  <c:v>15004</c:v>
                </c:pt>
                <c:pt idx="63">
                  <c:v>16884</c:v>
                </c:pt>
                <c:pt idx="64">
                  <c:v>9789</c:v>
                </c:pt>
                <c:pt idx="65">
                  <c:v>8079</c:v>
                </c:pt>
                <c:pt idx="66">
                  <c:v>5072</c:v>
                </c:pt>
                <c:pt idx="67">
                  <c:v>14551</c:v>
                </c:pt>
                <c:pt idx="68">
                  <c:v>16262</c:v>
                </c:pt>
                <c:pt idx="69">
                  <c:v>7014</c:v>
                </c:pt>
                <c:pt idx="70">
                  <c:v>8932</c:v>
                </c:pt>
                <c:pt idx="71">
                  <c:v>5737</c:v>
                </c:pt>
                <c:pt idx="72">
                  <c:v>5903</c:v>
                </c:pt>
                <c:pt idx="73">
                  <c:v>5056</c:v>
                </c:pt>
                <c:pt idx="74">
                  <c:v>12167</c:v>
                </c:pt>
                <c:pt idx="75">
                  <c:v>15971</c:v>
                </c:pt>
                <c:pt idx="76">
                  <c:v>6968</c:v>
                </c:pt>
                <c:pt idx="77">
                  <c:v>7494</c:v>
                </c:pt>
                <c:pt idx="78">
                  <c:v>2707</c:v>
                </c:pt>
                <c:pt idx="79">
                  <c:v>2637</c:v>
                </c:pt>
                <c:pt idx="80">
                  <c:v>5149</c:v>
                </c:pt>
                <c:pt idx="81">
                  <c:v>5735</c:v>
                </c:pt>
                <c:pt idx="82">
                  <c:v>4936</c:v>
                </c:pt>
                <c:pt idx="83">
                  <c:v>2003</c:v>
                </c:pt>
                <c:pt idx="84">
                  <c:v>2323</c:v>
                </c:pt>
                <c:pt idx="85">
                  <c:v>3822</c:v>
                </c:pt>
                <c:pt idx="86">
                  <c:v>3666</c:v>
                </c:pt>
                <c:pt idx="87">
                  <c:v>3543</c:v>
                </c:pt>
                <c:pt idx="88">
                  <c:v>8130</c:v>
                </c:pt>
                <c:pt idx="89">
                  <c:v>10518</c:v>
                </c:pt>
                <c:pt idx="90">
                  <c:v>4791</c:v>
                </c:pt>
                <c:pt idx="91">
                  <c:v>5583</c:v>
                </c:pt>
                <c:pt idx="92">
                  <c:v>7155</c:v>
                </c:pt>
                <c:pt idx="93">
                  <c:v>4575</c:v>
                </c:pt>
                <c:pt idx="94">
                  <c:v>3997</c:v>
                </c:pt>
                <c:pt idx="95">
                  <c:v>5558</c:v>
                </c:pt>
                <c:pt idx="96">
                  <c:v>6320</c:v>
                </c:pt>
                <c:pt idx="97">
                  <c:v>3447</c:v>
                </c:pt>
                <c:pt idx="98">
                  <c:v>3854</c:v>
                </c:pt>
                <c:pt idx="99">
                  <c:v>3394</c:v>
                </c:pt>
                <c:pt idx="100">
                  <c:v>3563</c:v>
                </c:pt>
                <c:pt idx="101">
                  <c:v>5380</c:v>
                </c:pt>
                <c:pt idx="102">
                  <c:v>9573</c:v>
                </c:pt>
                <c:pt idx="103">
                  <c:v>11250</c:v>
                </c:pt>
                <c:pt idx="104">
                  <c:v>4990</c:v>
                </c:pt>
                <c:pt idx="105">
                  <c:v>5810</c:v>
                </c:pt>
                <c:pt idx="106">
                  <c:v>7497</c:v>
                </c:pt>
                <c:pt idx="107">
                  <c:v>8821</c:v>
                </c:pt>
                <c:pt idx="108">
                  <c:v>18366</c:v>
                </c:pt>
                <c:pt idx="109">
                  <c:v>13940</c:v>
                </c:pt>
                <c:pt idx="110">
                  <c:v>10814</c:v>
                </c:pt>
                <c:pt idx="111">
                  <c:v>3429</c:v>
                </c:pt>
                <c:pt idx="112">
                  <c:v>4834</c:v>
                </c:pt>
                <c:pt idx="113">
                  <c:v>5475</c:v>
                </c:pt>
                <c:pt idx="114">
                  <c:v>3121</c:v>
                </c:pt>
                <c:pt idx="115">
                  <c:v>2809</c:v>
                </c:pt>
                <c:pt idx="116">
                  <c:v>8537</c:v>
                </c:pt>
                <c:pt idx="117">
                  <c:v>8209</c:v>
                </c:pt>
                <c:pt idx="118">
                  <c:v>3592</c:v>
                </c:pt>
                <c:pt idx="119">
                  <c:v>3576</c:v>
                </c:pt>
                <c:pt idx="120">
                  <c:v>3807</c:v>
                </c:pt>
                <c:pt idx="121">
                  <c:v>4398</c:v>
                </c:pt>
                <c:pt idx="122">
                  <c:v>5124</c:v>
                </c:pt>
                <c:pt idx="123">
                  <c:v>4581</c:v>
                </c:pt>
                <c:pt idx="124">
                  <c:v>3697</c:v>
                </c:pt>
                <c:pt idx="125">
                  <c:v>2642</c:v>
                </c:pt>
                <c:pt idx="126">
                  <c:v>3154</c:v>
                </c:pt>
                <c:pt idx="127">
                  <c:v>3324</c:v>
                </c:pt>
                <c:pt idx="128">
                  <c:v>2677</c:v>
                </c:pt>
                <c:pt idx="129">
                  <c:v>2683</c:v>
                </c:pt>
                <c:pt idx="130">
                  <c:v>9328</c:v>
                </c:pt>
                <c:pt idx="131">
                  <c:v>13306</c:v>
                </c:pt>
                <c:pt idx="132">
                  <c:v>6173</c:v>
                </c:pt>
                <c:pt idx="133">
                  <c:v>5653</c:v>
                </c:pt>
                <c:pt idx="134">
                  <c:v>4503</c:v>
                </c:pt>
                <c:pt idx="135">
                  <c:v>6253</c:v>
                </c:pt>
                <c:pt idx="136">
                  <c:v>8408</c:v>
                </c:pt>
                <c:pt idx="137">
                  <c:v>12949</c:v>
                </c:pt>
                <c:pt idx="138">
                  <c:v>15508</c:v>
                </c:pt>
                <c:pt idx="139">
                  <c:v>5141</c:v>
                </c:pt>
                <c:pt idx="140">
                  <c:v>5194</c:v>
                </c:pt>
                <c:pt idx="141">
                  <c:v>5550</c:v>
                </c:pt>
                <c:pt idx="142">
                  <c:v>6070</c:v>
                </c:pt>
                <c:pt idx="143">
                  <c:v>3421</c:v>
                </c:pt>
                <c:pt idx="144">
                  <c:v>13384</c:v>
                </c:pt>
                <c:pt idx="145">
                  <c:v>18356</c:v>
                </c:pt>
                <c:pt idx="146">
                  <c:v>6500</c:v>
                </c:pt>
                <c:pt idx="147">
                  <c:v>6752</c:v>
                </c:pt>
                <c:pt idx="148">
                  <c:v>7023</c:v>
                </c:pt>
                <c:pt idx="149">
                  <c:v>7579</c:v>
                </c:pt>
                <c:pt idx="150">
                  <c:v>6448</c:v>
                </c:pt>
                <c:pt idx="151">
                  <c:v>15637</c:v>
                </c:pt>
                <c:pt idx="152">
                  <c:v>18775</c:v>
                </c:pt>
                <c:pt idx="153">
                  <c:v>14188</c:v>
                </c:pt>
                <c:pt idx="154">
                  <c:v>13256</c:v>
                </c:pt>
                <c:pt idx="155">
                  <c:v>10223</c:v>
                </c:pt>
                <c:pt idx="156">
                  <c:v>8904</c:v>
                </c:pt>
                <c:pt idx="157">
                  <c:v>5783</c:v>
                </c:pt>
                <c:pt idx="158">
                  <c:v>9005</c:v>
                </c:pt>
                <c:pt idx="159">
                  <c:v>12222</c:v>
                </c:pt>
                <c:pt idx="160">
                  <c:v>6037</c:v>
                </c:pt>
                <c:pt idx="161">
                  <c:v>6607</c:v>
                </c:pt>
                <c:pt idx="162">
                  <c:v>5857</c:v>
                </c:pt>
                <c:pt idx="163">
                  <c:v>5429</c:v>
                </c:pt>
                <c:pt idx="164">
                  <c:v>6232</c:v>
                </c:pt>
                <c:pt idx="165">
                  <c:v>14585</c:v>
                </c:pt>
                <c:pt idx="166">
                  <c:v>14745</c:v>
                </c:pt>
                <c:pt idx="167">
                  <c:v>6991</c:v>
                </c:pt>
                <c:pt idx="168">
                  <c:v>5788</c:v>
                </c:pt>
                <c:pt idx="169">
                  <c:v>6632</c:v>
                </c:pt>
                <c:pt idx="170">
                  <c:v>5752</c:v>
                </c:pt>
                <c:pt idx="171">
                  <c:v>3578</c:v>
                </c:pt>
                <c:pt idx="172">
                  <c:v>6119</c:v>
                </c:pt>
                <c:pt idx="173">
                  <c:v>6161</c:v>
                </c:pt>
                <c:pt idx="174">
                  <c:v>4015</c:v>
                </c:pt>
                <c:pt idx="175">
                  <c:v>4133</c:v>
                </c:pt>
                <c:pt idx="176">
                  <c:v>1047</c:v>
                </c:pt>
                <c:pt idx="177">
                  <c:v>1601</c:v>
                </c:pt>
                <c:pt idx="178">
                  <c:v>1592</c:v>
                </c:pt>
                <c:pt idx="179">
                  <c:v>3759</c:v>
                </c:pt>
                <c:pt idx="180">
                  <c:v>4172</c:v>
                </c:pt>
                <c:pt idx="181">
                  <c:v>1772</c:v>
                </c:pt>
                <c:pt idx="182">
                  <c:v>2672</c:v>
                </c:pt>
                <c:pt idx="183">
                  <c:v>5143</c:v>
                </c:pt>
                <c:pt idx="184">
                  <c:v>2990</c:v>
                </c:pt>
                <c:pt idx="185">
                  <c:v>2667</c:v>
                </c:pt>
                <c:pt idx="186">
                  <c:v>2799</c:v>
                </c:pt>
                <c:pt idx="187">
                  <c:v>3355</c:v>
                </c:pt>
                <c:pt idx="188">
                  <c:v>2002</c:v>
                </c:pt>
                <c:pt idx="189">
                  <c:v>1967</c:v>
                </c:pt>
                <c:pt idx="190">
                  <c:v>3094</c:v>
                </c:pt>
                <c:pt idx="191">
                  <c:v>2335</c:v>
                </c:pt>
                <c:pt idx="192">
                  <c:v>2968</c:v>
                </c:pt>
                <c:pt idx="193">
                  <c:v>3825</c:v>
                </c:pt>
                <c:pt idx="194">
                  <c:v>2833</c:v>
                </c:pt>
                <c:pt idx="195">
                  <c:v>1419</c:v>
                </c:pt>
                <c:pt idx="196">
                  <c:v>2151</c:v>
                </c:pt>
                <c:pt idx="197">
                  <c:v>3148</c:v>
                </c:pt>
                <c:pt idx="198">
                  <c:v>4825</c:v>
                </c:pt>
                <c:pt idx="199">
                  <c:v>2307</c:v>
                </c:pt>
                <c:pt idx="200">
                  <c:v>3557</c:v>
                </c:pt>
                <c:pt idx="201">
                  <c:v>7485</c:v>
                </c:pt>
                <c:pt idx="202">
                  <c:v>2428</c:v>
                </c:pt>
                <c:pt idx="203">
                  <c:v>2475</c:v>
                </c:pt>
                <c:pt idx="204">
                  <c:v>1618</c:v>
                </c:pt>
                <c:pt idx="205">
                  <c:v>5106</c:v>
                </c:pt>
                <c:pt idx="206">
                  <c:v>2729</c:v>
                </c:pt>
                <c:pt idx="207">
                  <c:v>15897</c:v>
                </c:pt>
                <c:pt idx="208">
                  <c:v>17343</c:v>
                </c:pt>
                <c:pt idx="209">
                  <c:v>8207</c:v>
                </c:pt>
                <c:pt idx="210">
                  <c:v>9018</c:v>
                </c:pt>
                <c:pt idx="211">
                  <c:v>6548</c:v>
                </c:pt>
                <c:pt idx="212">
                  <c:v>6102</c:v>
                </c:pt>
                <c:pt idx="213">
                  <c:v>9108</c:v>
                </c:pt>
                <c:pt idx="214">
                  <c:v>18867</c:v>
                </c:pt>
                <c:pt idx="215">
                  <c:v>19384</c:v>
                </c:pt>
                <c:pt idx="216">
                  <c:v>9473</c:v>
                </c:pt>
                <c:pt idx="217">
                  <c:v>11170</c:v>
                </c:pt>
                <c:pt idx="218">
                  <c:v>8091</c:v>
                </c:pt>
                <c:pt idx="219">
                  <c:v>2303</c:v>
                </c:pt>
                <c:pt idx="220">
                  <c:v>2947</c:v>
                </c:pt>
                <c:pt idx="221">
                  <c:v>13542</c:v>
                </c:pt>
                <c:pt idx="222">
                  <c:v>12588</c:v>
                </c:pt>
                <c:pt idx="223">
                  <c:v>6032</c:v>
                </c:pt>
                <c:pt idx="224">
                  <c:v>7158</c:v>
                </c:pt>
                <c:pt idx="225">
                  <c:v>5863</c:v>
                </c:pt>
                <c:pt idx="226">
                  <c:v>6092</c:v>
                </c:pt>
                <c:pt idx="227">
                  <c:v>5485</c:v>
                </c:pt>
                <c:pt idx="228">
                  <c:v>14587</c:v>
                </c:pt>
                <c:pt idx="229">
                  <c:v>16686</c:v>
                </c:pt>
                <c:pt idx="230">
                  <c:v>7380</c:v>
                </c:pt>
                <c:pt idx="231">
                  <c:v>7864</c:v>
                </c:pt>
                <c:pt idx="232">
                  <c:v>4941</c:v>
                </c:pt>
                <c:pt idx="233">
                  <c:v>5151</c:v>
                </c:pt>
                <c:pt idx="234">
                  <c:v>4928</c:v>
                </c:pt>
                <c:pt idx="235">
                  <c:v>11309</c:v>
                </c:pt>
                <c:pt idx="236">
                  <c:v>13613</c:v>
                </c:pt>
                <c:pt idx="237">
                  <c:v>6424</c:v>
                </c:pt>
                <c:pt idx="238">
                  <c:v>9493</c:v>
                </c:pt>
                <c:pt idx="239">
                  <c:v>7619</c:v>
                </c:pt>
                <c:pt idx="240">
                  <c:v>8909</c:v>
                </c:pt>
                <c:pt idx="241">
                  <c:v>8400</c:v>
                </c:pt>
                <c:pt idx="242">
                  <c:v>19317</c:v>
                </c:pt>
                <c:pt idx="243">
                  <c:v>23310</c:v>
                </c:pt>
                <c:pt idx="244">
                  <c:v>11646</c:v>
                </c:pt>
                <c:pt idx="245">
                  <c:v>19366</c:v>
                </c:pt>
                <c:pt idx="246">
                  <c:v>15291</c:v>
                </c:pt>
                <c:pt idx="247">
                  <c:v>15100</c:v>
                </c:pt>
                <c:pt idx="248">
                  <c:v>10164</c:v>
                </c:pt>
                <c:pt idx="249">
                  <c:v>16310</c:v>
                </c:pt>
                <c:pt idx="250">
                  <c:v>17985</c:v>
                </c:pt>
                <c:pt idx="251">
                  <c:v>7620</c:v>
                </c:pt>
                <c:pt idx="252">
                  <c:v>7958</c:v>
                </c:pt>
                <c:pt idx="253">
                  <c:v>3503</c:v>
                </c:pt>
                <c:pt idx="254">
                  <c:v>2247</c:v>
                </c:pt>
                <c:pt idx="255">
                  <c:v>2023</c:v>
                </c:pt>
                <c:pt idx="256">
                  <c:v>4242</c:v>
                </c:pt>
                <c:pt idx="257">
                  <c:v>4901</c:v>
                </c:pt>
                <c:pt idx="258">
                  <c:v>2467</c:v>
                </c:pt>
                <c:pt idx="259">
                  <c:v>3432</c:v>
                </c:pt>
                <c:pt idx="260">
                  <c:v>2375</c:v>
                </c:pt>
                <c:pt idx="261">
                  <c:v>2105</c:v>
                </c:pt>
                <c:pt idx="262">
                  <c:v>1982</c:v>
                </c:pt>
                <c:pt idx="263">
                  <c:v>3915</c:v>
                </c:pt>
                <c:pt idx="264">
                  <c:v>4383</c:v>
                </c:pt>
                <c:pt idx="265">
                  <c:v>2159</c:v>
                </c:pt>
                <c:pt idx="266">
                  <c:v>2592</c:v>
                </c:pt>
                <c:pt idx="267">
                  <c:v>3143</c:v>
                </c:pt>
                <c:pt idx="268">
                  <c:v>6457</c:v>
                </c:pt>
                <c:pt idx="269">
                  <c:v>11039</c:v>
                </c:pt>
                <c:pt idx="270">
                  <c:v>18036</c:v>
                </c:pt>
                <c:pt idx="271">
                  <c:v>19017</c:v>
                </c:pt>
                <c:pt idx="272">
                  <c:v>8747</c:v>
                </c:pt>
                <c:pt idx="273">
                  <c:v>8147</c:v>
                </c:pt>
                <c:pt idx="274">
                  <c:v>11036</c:v>
                </c:pt>
                <c:pt idx="275">
                  <c:v>18330</c:v>
                </c:pt>
                <c:pt idx="276">
                  <c:v>14503</c:v>
                </c:pt>
                <c:pt idx="277">
                  <c:v>15986</c:v>
                </c:pt>
                <c:pt idx="278">
                  <c:v>20223</c:v>
                </c:pt>
                <c:pt idx="279">
                  <c:v>8631</c:v>
                </c:pt>
                <c:pt idx="280">
                  <c:v>11579</c:v>
                </c:pt>
                <c:pt idx="281">
                  <c:v>2127</c:v>
                </c:pt>
                <c:pt idx="282">
                  <c:v>1923</c:v>
                </c:pt>
                <c:pt idx="283">
                  <c:v>2809</c:v>
                </c:pt>
                <c:pt idx="284">
                  <c:v>4891</c:v>
                </c:pt>
                <c:pt idx="285">
                  <c:v>3758</c:v>
                </c:pt>
                <c:pt idx="286">
                  <c:v>1661</c:v>
                </c:pt>
                <c:pt idx="287">
                  <c:v>2360</c:v>
                </c:pt>
                <c:pt idx="288">
                  <c:v>1894</c:v>
                </c:pt>
                <c:pt idx="289">
                  <c:v>3548</c:v>
                </c:pt>
                <c:pt idx="290">
                  <c:v>2591</c:v>
                </c:pt>
                <c:pt idx="291">
                  <c:v>3293</c:v>
                </c:pt>
                <c:pt idx="292">
                  <c:v>4611</c:v>
                </c:pt>
                <c:pt idx="293">
                  <c:v>2468</c:v>
                </c:pt>
                <c:pt idx="294">
                  <c:v>2773</c:v>
                </c:pt>
                <c:pt idx="295">
                  <c:v>2815</c:v>
                </c:pt>
                <c:pt idx="296">
                  <c:v>2701</c:v>
                </c:pt>
                <c:pt idx="297">
                  <c:v>2651</c:v>
                </c:pt>
                <c:pt idx="298">
                  <c:v>6781</c:v>
                </c:pt>
                <c:pt idx="299">
                  <c:v>8249</c:v>
                </c:pt>
                <c:pt idx="300">
                  <c:v>3502</c:v>
                </c:pt>
                <c:pt idx="301">
                  <c:v>3949</c:v>
                </c:pt>
                <c:pt idx="302">
                  <c:v>2435</c:v>
                </c:pt>
                <c:pt idx="303">
                  <c:v>2232</c:v>
                </c:pt>
                <c:pt idx="304">
                  <c:v>1898</c:v>
                </c:pt>
                <c:pt idx="305">
                  <c:v>4537</c:v>
                </c:pt>
                <c:pt idx="306">
                  <c:v>6730</c:v>
                </c:pt>
                <c:pt idx="307">
                  <c:v>4038</c:v>
                </c:pt>
                <c:pt idx="308">
                  <c:v>5581</c:v>
                </c:pt>
                <c:pt idx="309">
                  <c:v>2519</c:v>
                </c:pt>
                <c:pt idx="310">
                  <c:v>1847</c:v>
                </c:pt>
                <c:pt idx="311">
                  <c:v>2309</c:v>
                </c:pt>
                <c:pt idx="312">
                  <c:v>3722</c:v>
                </c:pt>
                <c:pt idx="313">
                  <c:v>4268</c:v>
                </c:pt>
                <c:pt idx="314">
                  <c:v>1968</c:v>
                </c:pt>
                <c:pt idx="315">
                  <c:v>2016</c:v>
                </c:pt>
                <c:pt idx="316">
                  <c:v>1497</c:v>
                </c:pt>
                <c:pt idx="317">
                  <c:v>1314</c:v>
                </c:pt>
                <c:pt idx="318">
                  <c:v>1466</c:v>
                </c:pt>
                <c:pt idx="319">
                  <c:v>3984</c:v>
                </c:pt>
                <c:pt idx="320">
                  <c:v>4802</c:v>
                </c:pt>
                <c:pt idx="321">
                  <c:v>2017</c:v>
                </c:pt>
                <c:pt idx="322">
                  <c:v>2297</c:v>
                </c:pt>
                <c:pt idx="323">
                  <c:v>1665</c:v>
                </c:pt>
                <c:pt idx="324">
                  <c:v>1291</c:v>
                </c:pt>
                <c:pt idx="325">
                  <c:v>1361</c:v>
                </c:pt>
                <c:pt idx="326">
                  <c:v>1281</c:v>
                </c:pt>
                <c:pt idx="327">
                  <c:v>1122</c:v>
                </c:pt>
                <c:pt idx="328">
                  <c:v>737</c:v>
                </c:pt>
                <c:pt idx="329">
                  <c:v>641</c:v>
                </c:pt>
                <c:pt idx="330">
                  <c:v>968</c:v>
                </c:pt>
                <c:pt idx="331">
                  <c:v>709</c:v>
                </c:pt>
                <c:pt idx="332">
                  <c:v>880</c:v>
                </c:pt>
                <c:pt idx="333">
                  <c:v>1096</c:v>
                </c:pt>
                <c:pt idx="334">
                  <c:v>2068</c:v>
                </c:pt>
                <c:pt idx="335">
                  <c:v>2375</c:v>
                </c:pt>
                <c:pt idx="336">
                  <c:v>2492</c:v>
                </c:pt>
                <c:pt idx="337">
                  <c:v>2170</c:v>
                </c:pt>
                <c:pt idx="338">
                  <c:v>1784</c:v>
                </c:pt>
                <c:pt idx="339">
                  <c:v>1368</c:v>
                </c:pt>
                <c:pt idx="340">
                  <c:v>1914</c:v>
                </c:pt>
                <c:pt idx="341">
                  <c:v>3765</c:v>
                </c:pt>
                <c:pt idx="342">
                  <c:v>2712</c:v>
                </c:pt>
                <c:pt idx="343">
                  <c:v>2222</c:v>
                </c:pt>
                <c:pt idx="344">
                  <c:v>1861</c:v>
                </c:pt>
                <c:pt idx="345">
                  <c:v>4095</c:v>
                </c:pt>
                <c:pt idx="346">
                  <c:v>4157</c:v>
                </c:pt>
                <c:pt idx="347">
                  <c:v>7259</c:v>
                </c:pt>
                <c:pt idx="348">
                  <c:v>9654</c:v>
                </c:pt>
                <c:pt idx="349">
                  <c:v>4632</c:v>
                </c:pt>
                <c:pt idx="350">
                  <c:v>7341</c:v>
                </c:pt>
                <c:pt idx="351">
                  <c:v>4308</c:v>
                </c:pt>
                <c:pt idx="352">
                  <c:v>3865</c:v>
                </c:pt>
                <c:pt idx="353">
                  <c:v>5288</c:v>
                </c:pt>
                <c:pt idx="354">
                  <c:v>7141</c:v>
                </c:pt>
                <c:pt idx="355">
                  <c:v>8268</c:v>
                </c:pt>
                <c:pt idx="356">
                  <c:v>4541</c:v>
                </c:pt>
                <c:pt idx="357">
                  <c:v>5014</c:v>
                </c:pt>
                <c:pt idx="358">
                  <c:v>7778</c:v>
                </c:pt>
                <c:pt idx="359">
                  <c:v>11809</c:v>
                </c:pt>
                <c:pt idx="360">
                  <c:v>3344</c:v>
                </c:pt>
                <c:pt idx="361">
                  <c:v>1169</c:v>
                </c:pt>
                <c:pt idx="362">
                  <c:v>2676</c:v>
                </c:pt>
                <c:pt idx="363">
                  <c:v>1677</c:v>
                </c:pt>
                <c:pt idx="364">
                  <c:v>3237</c:v>
                </c:pt>
                <c:pt idx="365">
                  <c:v>5607</c:v>
                </c:pt>
                <c:pt idx="366">
                  <c:v>9464</c:v>
                </c:pt>
                <c:pt idx="367">
                  <c:v>2905</c:v>
                </c:pt>
                <c:pt idx="368">
                  <c:v>7023</c:v>
                </c:pt>
                <c:pt idx="369">
                  <c:v>6371</c:v>
                </c:pt>
                <c:pt idx="370">
                  <c:v>4624</c:v>
                </c:pt>
                <c:pt idx="371">
                  <c:v>5717</c:v>
                </c:pt>
                <c:pt idx="372">
                  <c:v>4705</c:v>
                </c:pt>
                <c:pt idx="373">
                  <c:v>2020</c:v>
                </c:pt>
                <c:pt idx="374">
                  <c:v>1868</c:v>
                </c:pt>
                <c:pt idx="375">
                  <c:v>3008</c:v>
                </c:pt>
                <c:pt idx="376">
                  <c:v>2934</c:v>
                </c:pt>
                <c:pt idx="377">
                  <c:v>1690</c:v>
                </c:pt>
                <c:pt idx="378">
                  <c:v>2058</c:v>
                </c:pt>
                <c:pt idx="379">
                  <c:v>1570</c:v>
                </c:pt>
                <c:pt idx="380">
                  <c:v>1446</c:v>
                </c:pt>
                <c:pt idx="381">
                  <c:v>1921</c:v>
                </c:pt>
                <c:pt idx="382">
                  <c:v>3629</c:v>
                </c:pt>
                <c:pt idx="383">
                  <c:v>4144</c:v>
                </c:pt>
                <c:pt idx="384">
                  <c:v>1815</c:v>
                </c:pt>
                <c:pt idx="385">
                  <c:v>2189</c:v>
                </c:pt>
                <c:pt idx="386">
                  <c:v>2376</c:v>
                </c:pt>
                <c:pt idx="387">
                  <c:v>1525</c:v>
                </c:pt>
                <c:pt idx="388">
                  <c:v>1616</c:v>
                </c:pt>
                <c:pt idx="389">
                  <c:v>3757</c:v>
                </c:pt>
                <c:pt idx="390">
                  <c:v>3855</c:v>
                </c:pt>
                <c:pt idx="391">
                  <c:v>1897</c:v>
                </c:pt>
                <c:pt idx="392">
                  <c:v>2230</c:v>
                </c:pt>
                <c:pt idx="393">
                  <c:v>1870</c:v>
                </c:pt>
                <c:pt idx="394">
                  <c:v>1455</c:v>
                </c:pt>
                <c:pt idx="395">
                  <c:v>1392</c:v>
                </c:pt>
                <c:pt idx="396">
                  <c:v>3268</c:v>
                </c:pt>
                <c:pt idx="397">
                  <c:v>4862</c:v>
                </c:pt>
                <c:pt idx="398">
                  <c:v>4165</c:v>
                </c:pt>
                <c:pt idx="399">
                  <c:v>3685</c:v>
                </c:pt>
                <c:pt idx="400">
                  <c:v>2479</c:v>
                </c:pt>
                <c:pt idx="401">
                  <c:v>2005</c:v>
                </c:pt>
                <c:pt idx="402">
                  <c:v>1122</c:v>
                </c:pt>
                <c:pt idx="403">
                  <c:v>2082</c:v>
                </c:pt>
                <c:pt idx="404">
                  <c:v>2573</c:v>
                </c:pt>
                <c:pt idx="405">
                  <c:v>1774</c:v>
                </c:pt>
                <c:pt idx="406">
                  <c:v>2378</c:v>
                </c:pt>
                <c:pt idx="407">
                  <c:v>3677</c:v>
                </c:pt>
                <c:pt idx="408">
                  <c:v>4299</c:v>
                </c:pt>
                <c:pt idx="409">
                  <c:v>3674</c:v>
                </c:pt>
                <c:pt idx="410">
                  <c:v>9505</c:v>
                </c:pt>
                <c:pt idx="411">
                  <c:v>11237</c:v>
                </c:pt>
                <c:pt idx="412">
                  <c:v>5406</c:v>
                </c:pt>
                <c:pt idx="413">
                  <c:v>5846</c:v>
                </c:pt>
                <c:pt idx="414">
                  <c:v>3713</c:v>
                </c:pt>
                <c:pt idx="415">
                  <c:v>4270</c:v>
                </c:pt>
                <c:pt idx="416">
                  <c:v>3827</c:v>
                </c:pt>
                <c:pt idx="417">
                  <c:v>7770</c:v>
                </c:pt>
                <c:pt idx="418">
                  <c:v>7102</c:v>
                </c:pt>
                <c:pt idx="419">
                  <c:v>3608</c:v>
                </c:pt>
                <c:pt idx="420">
                  <c:v>2150</c:v>
                </c:pt>
                <c:pt idx="421">
                  <c:v>2530</c:v>
                </c:pt>
                <c:pt idx="422">
                  <c:v>5253</c:v>
                </c:pt>
                <c:pt idx="423">
                  <c:v>4171</c:v>
                </c:pt>
                <c:pt idx="424">
                  <c:v>8156</c:v>
                </c:pt>
                <c:pt idx="425">
                  <c:v>9296</c:v>
                </c:pt>
                <c:pt idx="426">
                  <c:v>6803</c:v>
                </c:pt>
                <c:pt idx="427">
                  <c:v>6221</c:v>
                </c:pt>
                <c:pt idx="428">
                  <c:v>6611</c:v>
                </c:pt>
                <c:pt idx="429">
                  <c:v>6843</c:v>
                </c:pt>
                <c:pt idx="430">
                  <c:v>3858</c:v>
                </c:pt>
                <c:pt idx="431">
                  <c:v>7128</c:v>
                </c:pt>
                <c:pt idx="432">
                  <c:v>8127</c:v>
                </c:pt>
                <c:pt idx="433">
                  <c:v>2966</c:v>
                </c:pt>
                <c:pt idx="434">
                  <c:v>2858</c:v>
                </c:pt>
                <c:pt idx="435">
                  <c:v>1518</c:v>
                </c:pt>
                <c:pt idx="436">
                  <c:v>1386</c:v>
                </c:pt>
                <c:pt idx="437">
                  <c:v>1166</c:v>
                </c:pt>
                <c:pt idx="438">
                  <c:v>2853</c:v>
                </c:pt>
                <c:pt idx="439">
                  <c:v>3657</c:v>
                </c:pt>
                <c:pt idx="440">
                  <c:v>1631</c:v>
                </c:pt>
                <c:pt idx="441">
                  <c:v>1959</c:v>
                </c:pt>
                <c:pt idx="442">
                  <c:v>1230</c:v>
                </c:pt>
                <c:pt idx="443">
                  <c:v>1182</c:v>
                </c:pt>
                <c:pt idx="444">
                  <c:v>1050</c:v>
                </c:pt>
                <c:pt idx="445">
                  <c:v>2353</c:v>
                </c:pt>
                <c:pt idx="446">
                  <c:v>2947</c:v>
                </c:pt>
                <c:pt idx="447">
                  <c:v>1626</c:v>
                </c:pt>
                <c:pt idx="448">
                  <c:v>1976</c:v>
                </c:pt>
                <c:pt idx="449">
                  <c:v>3312</c:v>
                </c:pt>
                <c:pt idx="450">
                  <c:v>6704</c:v>
                </c:pt>
                <c:pt idx="451">
                  <c:v>6077</c:v>
                </c:pt>
                <c:pt idx="452">
                  <c:v>9386</c:v>
                </c:pt>
                <c:pt idx="453">
                  <c:v>12181</c:v>
                </c:pt>
                <c:pt idx="454">
                  <c:v>5937</c:v>
                </c:pt>
                <c:pt idx="455">
                  <c:v>5706</c:v>
                </c:pt>
                <c:pt idx="456">
                  <c:v>9421</c:v>
                </c:pt>
                <c:pt idx="457">
                  <c:v>13207</c:v>
                </c:pt>
                <c:pt idx="458">
                  <c:v>18936</c:v>
                </c:pt>
                <c:pt idx="459">
                  <c:v>13503</c:v>
                </c:pt>
                <c:pt idx="460">
                  <c:v>10600</c:v>
                </c:pt>
                <c:pt idx="461">
                  <c:v>3591</c:v>
                </c:pt>
                <c:pt idx="462">
                  <c:v>4836</c:v>
                </c:pt>
                <c:pt idx="463">
                  <c:v>4348</c:v>
                </c:pt>
                <c:pt idx="464">
                  <c:v>2451</c:v>
                </c:pt>
                <c:pt idx="465">
                  <c:v>1814</c:v>
                </c:pt>
                <c:pt idx="466">
                  <c:v>2770</c:v>
                </c:pt>
                <c:pt idx="467">
                  <c:v>3072</c:v>
                </c:pt>
                <c:pt idx="468">
                  <c:v>1934</c:v>
                </c:pt>
                <c:pt idx="469">
                  <c:v>2019</c:v>
                </c:pt>
                <c:pt idx="470">
                  <c:v>979</c:v>
                </c:pt>
                <c:pt idx="471">
                  <c:v>1398</c:v>
                </c:pt>
                <c:pt idx="472">
                  <c:v>1198</c:v>
                </c:pt>
                <c:pt idx="473">
                  <c:v>2485</c:v>
                </c:pt>
                <c:pt idx="474">
                  <c:v>3172</c:v>
                </c:pt>
                <c:pt idx="475">
                  <c:v>1497</c:v>
                </c:pt>
                <c:pt idx="476">
                  <c:v>1365</c:v>
                </c:pt>
                <c:pt idx="477">
                  <c:v>1353</c:v>
                </c:pt>
                <c:pt idx="478">
                  <c:v>3439</c:v>
                </c:pt>
                <c:pt idx="479">
                  <c:v>1434</c:v>
                </c:pt>
                <c:pt idx="480">
                  <c:v>8892</c:v>
                </c:pt>
                <c:pt idx="481">
                  <c:v>13144</c:v>
                </c:pt>
                <c:pt idx="482">
                  <c:v>5179</c:v>
                </c:pt>
                <c:pt idx="483">
                  <c:v>5014</c:v>
                </c:pt>
                <c:pt idx="484">
                  <c:v>4936</c:v>
                </c:pt>
                <c:pt idx="485">
                  <c:v>5150</c:v>
                </c:pt>
                <c:pt idx="486">
                  <c:v>9986</c:v>
                </c:pt>
                <c:pt idx="487">
                  <c:v>12937</c:v>
                </c:pt>
                <c:pt idx="488">
                  <c:v>12217</c:v>
                </c:pt>
                <c:pt idx="489">
                  <c:v>6721</c:v>
                </c:pt>
                <c:pt idx="490">
                  <c:v>8283</c:v>
                </c:pt>
                <c:pt idx="491">
                  <c:v>6191</c:v>
                </c:pt>
                <c:pt idx="492">
                  <c:v>5959</c:v>
                </c:pt>
                <c:pt idx="493">
                  <c:v>2848</c:v>
                </c:pt>
                <c:pt idx="494">
                  <c:v>8748</c:v>
                </c:pt>
                <c:pt idx="495">
                  <c:v>10329</c:v>
                </c:pt>
                <c:pt idx="496">
                  <c:v>4410</c:v>
                </c:pt>
                <c:pt idx="497">
                  <c:v>5257</c:v>
                </c:pt>
                <c:pt idx="498">
                  <c:v>5118</c:v>
                </c:pt>
                <c:pt idx="499">
                  <c:v>4410</c:v>
                </c:pt>
                <c:pt idx="500">
                  <c:v>3952</c:v>
                </c:pt>
                <c:pt idx="501">
                  <c:v>10084</c:v>
                </c:pt>
                <c:pt idx="502">
                  <c:v>10964</c:v>
                </c:pt>
                <c:pt idx="503">
                  <c:v>4695</c:v>
                </c:pt>
                <c:pt idx="504">
                  <c:v>5205</c:v>
                </c:pt>
                <c:pt idx="505">
                  <c:v>3638</c:v>
                </c:pt>
                <c:pt idx="506">
                  <c:v>4394</c:v>
                </c:pt>
                <c:pt idx="507">
                  <c:v>2012</c:v>
                </c:pt>
                <c:pt idx="508">
                  <c:v>8526</c:v>
                </c:pt>
                <c:pt idx="509">
                  <c:v>11096</c:v>
                </c:pt>
                <c:pt idx="510">
                  <c:v>4489</c:v>
                </c:pt>
                <c:pt idx="511">
                  <c:v>6795</c:v>
                </c:pt>
                <c:pt idx="512">
                  <c:v>5283</c:v>
                </c:pt>
                <c:pt idx="513">
                  <c:v>6453</c:v>
                </c:pt>
                <c:pt idx="514">
                  <c:v>5770</c:v>
                </c:pt>
                <c:pt idx="515">
                  <c:v>12507</c:v>
                </c:pt>
                <c:pt idx="516">
                  <c:v>14475</c:v>
                </c:pt>
                <c:pt idx="517">
                  <c:v>7009</c:v>
                </c:pt>
                <c:pt idx="518">
                  <c:v>11688</c:v>
                </c:pt>
                <c:pt idx="519">
                  <c:v>8863</c:v>
                </c:pt>
                <c:pt idx="520">
                  <c:v>7148</c:v>
                </c:pt>
                <c:pt idx="521">
                  <c:v>5326</c:v>
                </c:pt>
                <c:pt idx="522">
                  <c:v>7775</c:v>
                </c:pt>
                <c:pt idx="523">
                  <c:v>9255</c:v>
                </c:pt>
                <c:pt idx="524">
                  <c:v>4758</c:v>
                </c:pt>
                <c:pt idx="525">
                  <c:v>2613</c:v>
                </c:pt>
                <c:pt idx="526">
                  <c:v>1830</c:v>
                </c:pt>
                <c:pt idx="527">
                  <c:v>1694</c:v>
                </c:pt>
                <c:pt idx="528">
                  <c:v>1642</c:v>
                </c:pt>
                <c:pt idx="529">
                  <c:v>3690</c:v>
                </c:pt>
                <c:pt idx="530">
                  <c:v>4404</c:v>
                </c:pt>
                <c:pt idx="531">
                  <c:v>1992</c:v>
                </c:pt>
                <c:pt idx="532">
                  <c:v>3557</c:v>
                </c:pt>
                <c:pt idx="533">
                  <c:v>2395</c:v>
                </c:pt>
                <c:pt idx="534">
                  <c:v>2120</c:v>
                </c:pt>
                <c:pt idx="535">
                  <c:v>1875</c:v>
                </c:pt>
                <c:pt idx="536">
                  <c:v>3376</c:v>
                </c:pt>
                <c:pt idx="537">
                  <c:v>4027</c:v>
                </c:pt>
                <c:pt idx="538">
                  <c:v>2128</c:v>
                </c:pt>
                <c:pt idx="539">
                  <c:v>2046</c:v>
                </c:pt>
                <c:pt idx="540">
                  <c:v>1546</c:v>
                </c:pt>
                <c:pt idx="541">
                  <c:v>2822</c:v>
                </c:pt>
                <c:pt idx="542">
                  <c:v>4865</c:v>
                </c:pt>
                <c:pt idx="543">
                  <c:v>8450</c:v>
                </c:pt>
                <c:pt idx="544">
                  <c:v>9770</c:v>
                </c:pt>
                <c:pt idx="545">
                  <c:v>4914</c:v>
                </c:pt>
                <c:pt idx="546">
                  <c:v>4385</c:v>
                </c:pt>
                <c:pt idx="547">
                  <c:v>5627</c:v>
                </c:pt>
                <c:pt idx="548">
                  <c:v>8086</c:v>
                </c:pt>
                <c:pt idx="549">
                  <c:v>6639</c:v>
                </c:pt>
                <c:pt idx="550">
                  <c:v>7104</c:v>
                </c:pt>
                <c:pt idx="551">
                  <c:v>8364</c:v>
                </c:pt>
                <c:pt idx="552">
                  <c:v>4146</c:v>
                </c:pt>
                <c:pt idx="553">
                  <c:v>4601</c:v>
                </c:pt>
                <c:pt idx="554">
                  <c:v>3593</c:v>
                </c:pt>
                <c:pt idx="555">
                  <c:v>2114</c:v>
                </c:pt>
                <c:pt idx="556">
                  <c:v>1797</c:v>
                </c:pt>
                <c:pt idx="557">
                  <c:v>3195</c:v>
                </c:pt>
                <c:pt idx="558">
                  <c:v>3595</c:v>
                </c:pt>
                <c:pt idx="559">
                  <c:v>1467</c:v>
                </c:pt>
                <c:pt idx="560">
                  <c:v>1610</c:v>
                </c:pt>
                <c:pt idx="561">
                  <c:v>1307</c:v>
                </c:pt>
                <c:pt idx="562">
                  <c:v>2050</c:v>
                </c:pt>
                <c:pt idx="563">
                  <c:v>1849</c:v>
                </c:pt>
                <c:pt idx="564">
                  <c:v>3070</c:v>
                </c:pt>
                <c:pt idx="565">
                  <c:v>3322</c:v>
                </c:pt>
                <c:pt idx="566">
                  <c:v>1982</c:v>
                </c:pt>
                <c:pt idx="567">
                  <c:v>1787</c:v>
                </c:pt>
                <c:pt idx="568">
                  <c:v>1846</c:v>
                </c:pt>
                <c:pt idx="569">
                  <c:v>1142</c:v>
                </c:pt>
                <c:pt idx="570">
                  <c:v>1734</c:v>
                </c:pt>
                <c:pt idx="571">
                  <c:v>3259</c:v>
                </c:pt>
                <c:pt idx="572">
                  <c:v>3572</c:v>
                </c:pt>
                <c:pt idx="573">
                  <c:v>2109</c:v>
                </c:pt>
                <c:pt idx="574">
                  <c:v>2242</c:v>
                </c:pt>
                <c:pt idx="575">
                  <c:v>1474</c:v>
                </c:pt>
                <c:pt idx="576">
                  <c:v>1381</c:v>
                </c:pt>
                <c:pt idx="577">
                  <c:v>1423</c:v>
                </c:pt>
                <c:pt idx="578">
                  <c:v>3740</c:v>
                </c:pt>
                <c:pt idx="579">
                  <c:v>4453</c:v>
                </c:pt>
                <c:pt idx="580">
                  <c:v>2258</c:v>
                </c:pt>
                <c:pt idx="581">
                  <c:v>2074</c:v>
                </c:pt>
                <c:pt idx="582">
                  <c:v>2007</c:v>
                </c:pt>
                <c:pt idx="583">
                  <c:v>1948</c:v>
                </c:pt>
                <c:pt idx="584">
                  <c:v>1922</c:v>
                </c:pt>
                <c:pt idx="585">
                  <c:v>3088</c:v>
                </c:pt>
                <c:pt idx="586">
                  <c:v>3388</c:v>
                </c:pt>
                <c:pt idx="587">
                  <c:v>1944</c:v>
                </c:pt>
                <c:pt idx="588">
                  <c:v>1812</c:v>
                </c:pt>
                <c:pt idx="589">
                  <c:v>1563</c:v>
                </c:pt>
                <c:pt idx="590">
                  <c:v>1171</c:v>
                </c:pt>
                <c:pt idx="591">
                  <c:v>1035</c:v>
                </c:pt>
                <c:pt idx="592">
                  <c:v>2247</c:v>
                </c:pt>
                <c:pt idx="593">
                  <c:v>3068</c:v>
                </c:pt>
                <c:pt idx="594">
                  <c:v>1866</c:v>
                </c:pt>
                <c:pt idx="595">
                  <c:v>1690</c:v>
                </c:pt>
                <c:pt idx="596">
                  <c:v>922</c:v>
                </c:pt>
                <c:pt idx="597">
                  <c:v>604</c:v>
                </c:pt>
                <c:pt idx="598">
                  <c:v>643</c:v>
                </c:pt>
                <c:pt idx="599">
                  <c:v>2006</c:v>
                </c:pt>
                <c:pt idx="600">
                  <c:v>2677</c:v>
                </c:pt>
                <c:pt idx="601">
                  <c:v>1467</c:v>
                </c:pt>
                <c:pt idx="602">
                  <c:v>1528</c:v>
                </c:pt>
                <c:pt idx="603">
                  <c:v>6360</c:v>
                </c:pt>
                <c:pt idx="604">
                  <c:v>8035</c:v>
                </c:pt>
                <c:pt idx="605">
                  <c:v>6675</c:v>
                </c:pt>
                <c:pt idx="606">
                  <c:v>11330</c:v>
                </c:pt>
                <c:pt idx="607">
                  <c:v>13484</c:v>
                </c:pt>
                <c:pt idx="608">
                  <c:v>5913</c:v>
                </c:pt>
                <c:pt idx="609">
                  <c:v>9721</c:v>
                </c:pt>
                <c:pt idx="610">
                  <c:v>11257</c:v>
                </c:pt>
                <c:pt idx="611">
                  <c:v>10102</c:v>
                </c:pt>
                <c:pt idx="612">
                  <c:v>7938</c:v>
                </c:pt>
                <c:pt idx="613">
                  <c:v>9936</c:v>
                </c:pt>
                <c:pt idx="614">
                  <c:v>10643</c:v>
                </c:pt>
                <c:pt idx="615">
                  <c:v>4800</c:v>
                </c:pt>
                <c:pt idx="616">
                  <c:v>5228</c:v>
                </c:pt>
                <c:pt idx="617">
                  <c:v>1810</c:v>
                </c:pt>
                <c:pt idx="618">
                  <c:v>1961</c:v>
                </c:pt>
                <c:pt idx="619">
                  <c:v>1232</c:v>
                </c:pt>
                <c:pt idx="620">
                  <c:v>2194</c:v>
                </c:pt>
                <c:pt idx="621">
                  <c:v>1469</c:v>
                </c:pt>
                <c:pt idx="622">
                  <c:v>829</c:v>
                </c:pt>
                <c:pt idx="623">
                  <c:v>1329</c:v>
                </c:pt>
                <c:pt idx="624">
                  <c:v>1300</c:v>
                </c:pt>
                <c:pt idx="625">
                  <c:v>773</c:v>
                </c:pt>
                <c:pt idx="626">
                  <c:v>760</c:v>
                </c:pt>
                <c:pt idx="627">
                  <c:v>1755</c:v>
                </c:pt>
                <c:pt idx="628">
                  <c:v>1766</c:v>
                </c:pt>
                <c:pt idx="629">
                  <c:v>1078</c:v>
                </c:pt>
                <c:pt idx="630">
                  <c:v>1124</c:v>
                </c:pt>
                <c:pt idx="631">
                  <c:v>1182</c:v>
                </c:pt>
                <c:pt idx="632">
                  <c:v>3725</c:v>
                </c:pt>
                <c:pt idx="633">
                  <c:v>4492</c:v>
                </c:pt>
                <c:pt idx="634">
                  <c:v>11030</c:v>
                </c:pt>
                <c:pt idx="635">
                  <c:v>10528</c:v>
                </c:pt>
                <c:pt idx="636">
                  <c:v>4895</c:v>
                </c:pt>
                <c:pt idx="637">
                  <c:v>5720</c:v>
                </c:pt>
                <c:pt idx="638">
                  <c:v>4288</c:v>
                </c:pt>
                <c:pt idx="639">
                  <c:v>9693</c:v>
                </c:pt>
                <c:pt idx="640">
                  <c:v>12065</c:v>
                </c:pt>
                <c:pt idx="641">
                  <c:v>11758</c:v>
                </c:pt>
                <c:pt idx="642">
                  <c:v>13508</c:v>
                </c:pt>
                <c:pt idx="643">
                  <c:v>6085</c:v>
                </c:pt>
                <c:pt idx="644">
                  <c:v>8828</c:v>
                </c:pt>
                <c:pt idx="645">
                  <c:v>6636</c:v>
                </c:pt>
                <c:pt idx="646">
                  <c:v>1622</c:v>
                </c:pt>
                <c:pt idx="647">
                  <c:v>1512</c:v>
                </c:pt>
                <c:pt idx="648">
                  <c:v>3211</c:v>
                </c:pt>
                <c:pt idx="649">
                  <c:v>3037</c:v>
                </c:pt>
                <c:pt idx="650">
                  <c:v>1456</c:v>
                </c:pt>
                <c:pt idx="651">
                  <c:v>1465</c:v>
                </c:pt>
                <c:pt idx="652">
                  <c:v>1018</c:v>
                </c:pt>
                <c:pt idx="653">
                  <c:v>1070</c:v>
                </c:pt>
                <c:pt idx="654">
                  <c:v>1357</c:v>
                </c:pt>
                <c:pt idx="655">
                  <c:v>2810</c:v>
                </c:pt>
                <c:pt idx="656">
                  <c:v>2829</c:v>
                </c:pt>
                <c:pt idx="657">
                  <c:v>1517</c:v>
                </c:pt>
                <c:pt idx="658">
                  <c:v>1399</c:v>
                </c:pt>
                <c:pt idx="659">
                  <c:v>1067</c:v>
                </c:pt>
                <c:pt idx="660">
                  <c:v>1361</c:v>
                </c:pt>
                <c:pt idx="661">
                  <c:v>1419</c:v>
                </c:pt>
                <c:pt idx="662">
                  <c:v>5042</c:v>
                </c:pt>
                <c:pt idx="663">
                  <c:v>6872</c:v>
                </c:pt>
                <c:pt idx="664">
                  <c:v>3218</c:v>
                </c:pt>
                <c:pt idx="665">
                  <c:v>3347</c:v>
                </c:pt>
                <c:pt idx="666">
                  <c:v>3177</c:v>
                </c:pt>
                <c:pt idx="667">
                  <c:v>4532</c:v>
                </c:pt>
                <c:pt idx="668">
                  <c:v>3231</c:v>
                </c:pt>
                <c:pt idx="669">
                  <c:v>7731</c:v>
                </c:pt>
                <c:pt idx="670">
                  <c:v>11148</c:v>
                </c:pt>
                <c:pt idx="671">
                  <c:v>7459</c:v>
                </c:pt>
                <c:pt idx="672">
                  <c:v>7316</c:v>
                </c:pt>
                <c:pt idx="673">
                  <c:v>5211</c:v>
                </c:pt>
                <c:pt idx="674">
                  <c:v>5731</c:v>
                </c:pt>
                <c:pt idx="675">
                  <c:v>3036</c:v>
                </c:pt>
                <c:pt idx="676">
                  <c:v>5822</c:v>
                </c:pt>
                <c:pt idx="677">
                  <c:v>7987</c:v>
                </c:pt>
                <c:pt idx="678">
                  <c:v>3640</c:v>
                </c:pt>
                <c:pt idx="679">
                  <c:v>2338</c:v>
                </c:pt>
                <c:pt idx="680">
                  <c:v>3744</c:v>
                </c:pt>
                <c:pt idx="681">
                  <c:v>4216</c:v>
                </c:pt>
                <c:pt idx="682">
                  <c:v>4000</c:v>
                </c:pt>
                <c:pt idx="683">
                  <c:v>10204</c:v>
                </c:pt>
                <c:pt idx="684">
                  <c:v>10769</c:v>
                </c:pt>
                <c:pt idx="685">
                  <c:v>4803</c:v>
                </c:pt>
                <c:pt idx="686">
                  <c:v>5042</c:v>
                </c:pt>
                <c:pt idx="687">
                  <c:v>4342</c:v>
                </c:pt>
                <c:pt idx="688">
                  <c:v>4202</c:v>
                </c:pt>
                <c:pt idx="689">
                  <c:v>4151</c:v>
                </c:pt>
                <c:pt idx="690">
                  <c:v>8567</c:v>
                </c:pt>
                <c:pt idx="691">
                  <c:v>8811</c:v>
                </c:pt>
                <c:pt idx="692">
                  <c:v>4345</c:v>
                </c:pt>
                <c:pt idx="693">
                  <c:v>1937</c:v>
                </c:pt>
                <c:pt idx="694">
                  <c:v>3160</c:v>
                </c:pt>
                <c:pt idx="695">
                  <c:v>6924</c:v>
                </c:pt>
                <c:pt idx="696">
                  <c:v>9273</c:v>
                </c:pt>
                <c:pt idx="697">
                  <c:v>11257</c:v>
                </c:pt>
                <c:pt idx="698">
                  <c:v>13019</c:v>
                </c:pt>
                <c:pt idx="699">
                  <c:v>7139</c:v>
                </c:pt>
                <c:pt idx="700">
                  <c:v>7423</c:v>
                </c:pt>
                <c:pt idx="701">
                  <c:v>7474</c:v>
                </c:pt>
                <c:pt idx="702">
                  <c:v>7056</c:v>
                </c:pt>
                <c:pt idx="703">
                  <c:v>5732</c:v>
                </c:pt>
                <c:pt idx="704">
                  <c:v>9038</c:v>
                </c:pt>
                <c:pt idx="705">
                  <c:v>10737</c:v>
                </c:pt>
                <c:pt idx="706">
                  <c:v>5505</c:v>
                </c:pt>
                <c:pt idx="707">
                  <c:v>2198</c:v>
                </c:pt>
                <c:pt idx="708">
                  <c:v>3190</c:v>
                </c:pt>
                <c:pt idx="709">
                  <c:v>3814</c:v>
                </c:pt>
                <c:pt idx="710">
                  <c:v>3610</c:v>
                </c:pt>
                <c:pt idx="711">
                  <c:v>6227</c:v>
                </c:pt>
                <c:pt idx="712">
                  <c:v>9422</c:v>
                </c:pt>
                <c:pt idx="713">
                  <c:v>5014</c:v>
                </c:pt>
                <c:pt idx="714">
                  <c:v>4715</c:v>
                </c:pt>
                <c:pt idx="715">
                  <c:v>6212</c:v>
                </c:pt>
                <c:pt idx="716">
                  <c:v>6585</c:v>
                </c:pt>
                <c:pt idx="717">
                  <c:v>6051</c:v>
                </c:pt>
                <c:pt idx="718">
                  <c:v>7750</c:v>
                </c:pt>
                <c:pt idx="719">
                  <c:v>9490</c:v>
                </c:pt>
                <c:pt idx="720">
                  <c:v>4382</c:v>
                </c:pt>
                <c:pt idx="721">
                  <c:v>8196</c:v>
                </c:pt>
                <c:pt idx="722">
                  <c:v>8863</c:v>
                </c:pt>
                <c:pt idx="723">
                  <c:v>6534</c:v>
                </c:pt>
                <c:pt idx="724">
                  <c:v>9540</c:v>
                </c:pt>
                <c:pt idx="725">
                  <c:v>3256</c:v>
                </c:pt>
                <c:pt idx="726">
                  <c:v>2013</c:v>
                </c:pt>
                <c:pt idx="727">
                  <c:v>1692</c:v>
                </c:pt>
                <c:pt idx="728">
                  <c:v>3234</c:v>
                </c:pt>
                <c:pt idx="729">
                  <c:v>4592</c:v>
                </c:pt>
                <c:pt idx="730">
                  <c:v>5945</c:v>
                </c:pt>
                <c:pt idx="731">
                  <c:v>9266</c:v>
                </c:pt>
                <c:pt idx="732">
                  <c:v>3179</c:v>
                </c:pt>
                <c:pt idx="733">
                  <c:v>7479</c:v>
                </c:pt>
                <c:pt idx="734">
                  <c:v>4694</c:v>
                </c:pt>
                <c:pt idx="735">
                  <c:v>7843</c:v>
                </c:pt>
                <c:pt idx="736">
                  <c:v>6150</c:v>
                </c:pt>
                <c:pt idx="737">
                  <c:v>2401</c:v>
                </c:pt>
                <c:pt idx="738">
                  <c:v>1808</c:v>
                </c:pt>
                <c:pt idx="739">
                  <c:v>2594</c:v>
                </c:pt>
                <c:pt idx="740">
                  <c:v>3274</c:v>
                </c:pt>
                <c:pt idx="741">
                  <c:v>2207</c:v>
                </c:pt>
                <c:pt idx="742">
                  <c:v>2949</c:v>
                </c:pt>
                <c:pt idx="743">
                  <c:v>2417</c:v>
                </c:pt>
                <c:pt idx="744">
                  <c:v>1644</c:v>
                </c:pt>
                <c:pt idx="745">
                  <c:v>1499</c:v>
                </c:pt>
                <c:pt idx="746">
                  <c:v>3648</c:v>
                </c:pt>
                <c:pt idx="747">
                  <c:v>4652</c:v>
                </c:pt>
                <c:pt idx="748">
                  <c:v>2252</c:v>
                </c:pt>
                <c:pt idx="749">
                  <c:v>2357</c:v>
                </c:pt>
                <c:pt idx="750">
                  <c:v>1715</c:v>
                </c:pt>
                <c:pt idx="751">
                  <c:v>4776</c:v>
                </c:pt>
                <c:pt idx="752">
                  <c:v>1628</c:v>
                </c:pt>
                <c:pt idx="753">
                  <c:v>7806</c:v>
                </c:pt>
                <c:pt idx="754">
                  <c:v>9210</c:v>
                </c:pt>
                <c:pt idx="755">
                  <c:v>4351</c:v>
                </c:pt>
                <c:pt idx="756">
                  <c:v>6278</c:v>
                </c:pt>
                <c:pt idx="757">
                  <c:v>5992</c:v>
                </c:pt>
                <c:pt idx="758">
                  <c:v>6265</c:v>
                </c:pt>
                <c:pt idx="759">
                  <c:v>5723</c:v>
                </c:pt>
                <c:pt idx="760">
                  <c:v>11900</c:v>
                </c:pt>
                <c:pt idx="761">
                  <c:v>15345</c:v>
                </c:pt>
                <c:pt idx="762">
                  <c:v>6525</c:v>
                </c:pt>
                <c:pt idx="763">
                  <c:v>10153</c:v>
                </c:pt>
                <c:pt idx="764">
                  <c:v>8116</c:v>
                </c:pt>
                <c:pt idx="765">
                  <c:v>7712</c:v>
                </c:pt>
                <c:pt idx="766">
                  <c:v>5759</c:v>
                </c:pt>
                <c:pt idx="767">
                  <c:v>9501</c:v>
                </c:pt>
                <c:pt idx="768">
                  <c:v>10840</c:v>
                </c:pt>
                <c:pt idx="769">
                  <c:v>5089</c:v>
                </c:pt>
                <c:pt idx="770">
                  <c:v>6087</c:v>
                </c:pt>
                <c:pt idx="771">
                  <c:v>2053</c:v>
                </c:pt>
                <c:pt idx="772">
                  <c:v>1825</c:v>
                </c:pt>
                <c:pt idx="773">
                  <c:v>1525</c:v>
                </c:pt>
                <c:pt idx="774">
                  <c:v>3542</c:v>
                </c:pt>
                <c:pt idx="775">
                  <c:v>4105</c:v>
                </c:pt>
                <c:pt idx="776">
                  <c:v>2094</c:v>
                </c:pt>
                <c:pt idx="777">
                  <c:v>2940</c:v>
                </c:pt>
                <c:pt idx="778">
                  <c:v>1841</c:v>
                </c:pt>
                <c:pt idx="779">
                  <c:v>4529</c:v>
                </c:pt>
                <c:pt idx="780">
                  <c:v>1658</c:v>
                </c:pt>
                <c:pt idx="781">
                  <c:v>3841</c:v>
                </c:pt>
                <c:pt idx="782">
                  <c:v>9260</c:v>
                </c:pt>
                <c:pt idx="783">
                  <c:v>2308</c:v>
                </c:pt>
                <c:pt idx="784">
                  <c:v>2028</c:v>
                </c:pt>
                <c:pt idx="785">
                  <c:v>1301</c:v>
                </c:pt>
                <c:pt idx="786">
                  <c:v>2213</c:v>
                </c:pt>
                <c:pt idx="787">
                  <c:v>4404</c:v>
                </c:pt>
                <c:pt idx="788">
                  <c:v>4935</c:v>
                </c:pt>
                <c:pt idx="789">
                  <c:v>5609</c:v>
                </c:pt>
                <c:pt idx="790">
                  <c:v>3452</c:v>
                </c:pt>
                <c:pt idx="791">
                  <c:v>4270</c:v>
                </c:pt>
                <c:pt idx="792">
                  <c:v>4719</c:v>
                </c:pt>
                <c:pt idx="793">
                  <c:v>4451</c:v>
                </c:pt>
                <c:pt idx="794">
                  <c:v>3364</c:v>
                </c:pt>
                <c:pt idx="795">
                  <c:v>3665</c:v>
                </c:pt>
                <c:pt idx="796">
                  <c:v>3889</c:v>
                </c:pt>
                <c:pt idx="797">
                  <c:v>1882</c:v>
                </c:pt>
                <c:pt idx="798">
                  <c:v>2405</c:v>
                </c:pt>
                <c:pt idx="799">
                  <c:v>1577</c:v>
                </c:pt>
                <c:pt idx="800">
                  <c:v>913</c:v>
                </c:pt>
                <c:pt idx="801">
                  <c:v>892</c:v>
                </c:pt>
                <c:pt idx="802">
                  <c:v>1855</c:v>
                </c:pt>
                <c:pt idx="803">
                  <c:v>1897</c:v>
                </c:pt>
                <c:pt idx="804">
                  <c:v>883</c:v>
                </c:pt>
                <c:pt idx="805">
                  <c:v>1071</c:v>
                </c:pt>
                <c:pt idx="806">
                  <c:v>1320</c:v>
                </c:pt>
                <c:pt idx="807">
                  <c:v>997</c:v>
                </c:pt>
                <c:pt idx="808">
                  <c:v>817</c:v>
                </c:pt>
                <c:pt idx="809">
                  <c:v>1866</c:v>
                </c:pt>
                <c:pt idx="810">
                  <c:v>2211</c:v>
                </c:pt>
                <c:pt idx="811">
                  <c:v>1304</c:v>
                </c:pt>
                <c:pt idx="812">
                  <c:v>1143</c:v>
                </c:pt>
                <c:pt idx="813">
                  <c:v>1573</c:v>
                </c:pt>
                <c:pt idx="814">
                  <c:v>2065</c:v>
                </c:pt>
                <c:pt idx="815">
                  <c:v>6588</c:v>
                </c:pt>
                <c:pt idx="816">
                  <c:v>5652</c:v>
                </c:pt>
                <c:pt idx="817">
                  <c:v>4103</c:v>
                </c:pt>
                <c:pt idx="818">
                  <c:v>1466</c:v>
                </c:pt>
                <c:pt idx="819">
                  <c:v>2162</c:v>
                </c:pt>
                <c:pt idx="820">
                  <c:v>2155</c:v>
                </c:pt>
                <c:pt idx="821">
                  <c:v>1746</c:v>
                </c:pt>
                <c:pt idx="822">
                  <c:v>3554</c:v>
                </c:pt>
                <c:pt idx="823">
                  <c:v>6282</c:v>
                </c:pt>
                <c:pt idx="824">
                  <c:v>5259</c:v>
                </c:pt>
                <c:pt idx="825">
                  <c:v>2446</c:v>
                </c:pt>
                <c:pt idx="826">
                  <c:v>3345</c:v>
                </c:pt>
                <c:pt idx="827">
                  <c:v>2048</c:v>
                </c:pt>
                <c:pt idx="828">
                  <c:v>1303</c:v>
                </c:pt>
                <c:pt idx="829">
                  <c:v>4413</c:v>
                </c:pt>
                <c:pt idx="830">
                  <c:v>7494</c:v>
                </c:pt>
                <c:pt idx="831">
                  <c:v>7738</c:v>
                </c:pt>
                <c:pt idx="832">
                  <c:v>2958</c:v>
                </c:pt>
                <c:pt idx="833">
                  <c:v>3713</c:v>
                </c:pt>
                <c:pt idx="834">
                  <c:v>3504</c:v>
                </c:pt>
                <c:pt idx="835">
                  <c:v>3534</c:v>
                </c:pt>
                <c:pt idx="836">
                  <c:v>4601</c:v>
                </c:pt>
                <c:pt idx="837">
                  <c:v>10045</c:v>
                </c:pt>
                <c:pt idx="838">
                  <c:v>9301</c:v>
                </c:pt>
                <c:pt idx="839">
                  <c:v>4678</c:v>
                </c:pt>
                <c:pt idx="840">
                  <c:v>4294</c:v>
                </c:pt>
                <c:pt idx="841">
                  <c:v>3606</c:v>
                </c:pt>
                <c:pt idx="842">
                  <c:v>4838</c:v>
                </c:pt>
                <c:pt idx="843">
                  <c:v>4914</c:v>
                </c:pt>
                <c:pt idx="844">
                  <c:v>10269</c:v>
                </c:pt>
                <c:pt idx="845">
                  <c:v>12317</c:v>
                </c:pt>
                <c:pt idx="846">
                  <c:v>5453</c:v>
                </c:pt>
                <c:pt idx="847">
                  <c:v>7372</c:v>
                </c:pt>
                <c:pt idx="848">
                  <c:v>8211</c:v>
                </c:pt>
                <c:pt idx="849">
                  <c:v>9182</c:v>
                </c:pt>
                <c:pt idx="850">
                  <c:v>7520</c:v>
                </c:pt>
                <c:pt idx="851">
                  <c:v>13321</c:v>
                </c:pt>
                <c:pt idx="852">
                  <c:v>16276</c:v>
                </c:pt>
                <c:pt idx="853">
                  <c:v>10388</c:v>
                </c:pt>
                <c:pt idx="854">
                  <c:v>8298</c:v>
                </c:pt>
                <c:pt idx="855">
                  <c:v>8717</c:v>
                </c:pt>
                <c:pt idx="856">
                  <c:v>8364</c:v>
                </c:pt>
                <c:pt idx="857">
                  <c:v>6968</c:v>
                </c:pt>
                <c:pt idx="858">
                  <c:v>9973</c:v>
                </c:pt>
                <c:pt idx="859">
                  <c:v>11363</c:v>
                </c:pt>
                <c:pt idx="860">
                  <c:v>4074</c:v>
                </c:pt>
                <c:pt idx="861">
                  <c:v>1579</c:v>
                </c:pt>
                <c:pt idx="862">
                  <c:v>1016</c:v>
                </c:pt>
                <c:pt idx="863">
                  <c:v>832</c:v>
                </c:pt>
                <c:pt idx="864">
                  <c:v>647</c:v>
                </c:pt>
                <c:pt idx="865">
                  <c:v>1898</c:v>
                </c:pt>
                <c:pt idx="866">
                  <c:v>1961</c:v>
                </c:pt>
                <c:pt idx="867">
                  <c:v>1224</c:v>
                </c:pt>
                <c:pt idx="868">
                  <c:v>1019</c:v>
                </c:pt>
                <c:pt idx="869">
                  <c:v>930</c:v>
                </c:pt>
                <c:pt idx="870">
                  <c:v>818</c:v>
                </c:pt>
                <c:pt idx="871">
                  <c:v>937</c:v>
                </c:pt>
                <c:pt idx="872">
                  <c:v>2302</c:v>
                </c:pt>
                <c:pt idx="873">
                  <c:v>2363</c:v>
                </c:pt>
                <c:pt idx="874">
                  <c:v>1466</c:v>
                </c:pt>
                <c:pt idx="875">
                  <c:v>1644</c:v>
                </c:pt>
                <c:pt idx="876">
                  <c:v>3224</c:v>
                </c:pt>
                <c:pt idx="877">
                  <c:v>7392</c:v>
                </c:pt>
                <c:pt idx="878">
                  <c:v>6138</c:v>
                </c:pt>
                <c:pt idx="879">
                  <c:v>10624</c:v>
                </c:pt>
                <c:pt idx="880">
                  <c:v>11590</c:v>
                </c:pt>
                <c:pt idx="881">
                  <c:v>5959</c:v>
                </c:pt>
                <c:pt idx="882">
                  <c:v>5048</c:v>
                </c:pt>
                <c:pt idx="883">
                  <c:v>7542</c:v>
                </c:pt>
                <c:pt idx="884">
                  <c:v>10761</c:v>
                </c:pt>
                <c:pt idx="885">
                  <c:v>8120</c:v>
                </c:pt>
                <c:pt idx="886">
                  <c:v>10896</c:v>
                </c:pt>
                <c:pt idx="887">
                  <c:v>11726</c:v>
                </c:pt>
                <c:pt idx="888">
                  <c:v>6007</c:v>
                </c:pt>
                <c:pt idx="889">
                  <c:v>5185</c:v>
                </c:pt>
                <c:pt idx="890">
                  <c:v>1675</c:v>
                </c:pt>
                <c:pt idx="891">
                  <c:v>4765</c:v>
                </c:pt>
                <c:pt idx="892">
                  <c:v>3953</c:v>
                </c:pt>
                <c:pt idx="893">
                  <c:v>7190</c:v>
                </c:pt>
                <c:pt idx="894">
                  <c:v>8577</c:v>
                </c:pt>
                <c:pt idx="895">
                  <c:v>3943</c:v>
                </c:pt>
                <c:pt idx="896">
                  <c:v>3707</c:v>
                </c:pt>
                <c:pt idx="897">
                  <c:v>3054</c:v>
                </c:pt>
                <c:pt idx="898">
                  <c:v>6541</c:v>
                </c:pt>
                <c:pt idx="899">
                  <c:v>5749</c:v>
                </c:pt>
                <c:pt idx="900">
                  <c:v>9385</c:v>
                </c:pt>
                <c:pt idx="901">
                  <c:v>9012</c:v>
                </c:pt>
                <c:pt idx="902">
                  <c:v>3831</c:v>
                </c:pt>
                <c:pt idx="903">
                  <c:v>4097</c:v>
                </c:pt>
                <c:pt idx="904">
                  <c:v>3509</c:v>
                </c:pt>
                <c:pt idx="905">
                  <c:v>953</c:v>
                </c:pt>
                <c:pt idx="906">
                  <c:v>4305</c:v>
                </c:pt>
                <c:pt idx="907">
                  <c:v>11667</c:v>
                </c:pt>
                <c:pt idx="908">
                  <c:v>13793</c:v>
                </c:pt>
                <c:pt idx="909">
                  <c:v>6641</c:v>
                </c:pt>
                <c:pt idx="910">
                  <c:v>7593</c:v>
                </c:pt>
                <c:pt idx="911">
                  <c:v>6007</c:v>
                </c:pt>
                <c:pt idx="912">
                  <c:v>6345</c:v>
                </c:pt>
                <c:pt idx="913">
                  <c:v>8482</c:v>
                </c:pt>
                <c:pt idx="914">
                  <c:v>14344</c:v>
                </c:pt>
                <c:pt idx="915">
                  <c:v>13609</c:v>
                </c:pt>
                <c:pt idx="916">
                  <c:v>7259</c:v>
                </c:pt>
                <c:pt idx="917">
                  <c:v>8431</c:v>
                </c:pt>
                <c:pt idx="918">
                  <c:v>6577</c:v>
                </c:pt>
                <c:pt idx="919">
                  <c:v>6098</c:v>
                </c:pt>
                <c:pt idx="920">
                  <c:v>1654</c:v>
                </c:pt>
                <c:pt idx="921">
                  <c:v>2073</c:v>
                </c:pt>
                <c:pt idx="922">
                  <c:v>1871</c:v>
                </c:pt>
                <c:pt idx="923">
                  <c:v>946</c:v>
                </c:pt>
                <c:pt idx="924">
                  <c:v>1090</c:v>
                </c:pt>
                <c:pt idx="925">
                  <c:v>876</c:v>
                </c:pt>
                <c:pt idx="926">
                  <c:v>790</c:v>
                </c:pt>
                <c:pt idx="927">
                  <c:v>723</c:v>
                </c:pt>
                <c:pt idx="928">
                  <c:v>1910</c:v>
                </c:pt>
                <c:pt idx="929">
                  <c:v>2266</c:v>
                </c:pt>
                <c:pt idx="930">
                  <c:v>1078</c:v>
                </c:pt>
                <c:pt idx="931">
                  <c:v>1227</c:v>
                </c:pt>
                <c:pt idx="932">
                  <c:v>900</c:v>
                </c:pt>
                <c:pt idx="933">
                  <c:v>1016</c:v>
                </c:pt>
                <c:pt idx="934">
                  <c:v>836</c:v>
                </c:pt>
                <c:pt idx="935">
                  <c:v>1454</c:v>
                </c:pt>
                <c:pt idx="936">
                  <c:v>1835</c:v>
                </c:pt>
                <c:pt idx="937">
                  <c:v>972</c:v>
                </c:pt>
                <c:pt idx="938">
                  <c:v>1024</c:v>
                </c:pt>
                <c:pt idx="939">
                  <c:v>1044</c:v>
                </c:pt>
                <c:pt idx="940">
                  <c:v>1611</c:v>
                </c:pt>
                <c:pt idx="941">
                  <c:v>1234</c:v>
                </c:pt>
                <c:pt idx="942">
                  <c:v>2223</c:v>
                </c:pt>
                <c:pt idx="943">
                  <c:v>2267</c:v>
                </c:pt>
                <c:pt idx="944">
                  <c:v>1415</c:v>
                </c:pt>
                <c:pt idx="945">
                  <c:v>1548</c:v>
                </c:pt>
                <c:pt idx="946">
                  <c:v>1679</c:v>
                </c:pt>
                <c:pt idx="947">
                  <c:v>1152</c:v>
                </c:pt>
                <c:pt idx="948">
                  <c:v>1101</c:v>
                </c:pt>
                <c:pt idx="949">
                  <c:v>1746</c:v>
                </c:pt>
                <c:pt idx="950">
                  <c:v>1700</c:v>
                </c:pt>
                <c:pt idx="951">
                  <c:v>715</c:v>
                </c:pt>
                <c:pt idx="952">
                  <c:v>897</c:v>
                </c:pt>
                <c:pt idx="953">
                  <c:v>733</c:v>
                </c:pt>
                <c:pt idx="954">
                  <c:v>4282</c:v>
                </c:pt>
                <c:pt idx="955">
                  <c:v>2867</c:v>
                </c:pt>
                <c:pt idx="956">
                  <c:v>6082</c:v>
                </c:pt>
                <c:pt idx="957">
                  <c:v>7771</c:v>
                </c:pt>
                <c:pt idx="958">
                  <c:v>3576</c:v>
                </c:pt>
                <c:pt idx="959">
                  <c:v>4649</c:v>
                </c:pt>
                <c:pt idx="960">
                  <c:v>3302</c:v>
                </c:pt>
                <c:pt idx="961">
                  <c:v>3536</c:v>
                </c:pt>
                <c:pt idx="962">
                  <c:v>3236</c:v>
                </c:pt>
                <c:pt idx="963">
                  <c:v>6646</c:v>
                </c:pt>
                <c:pt idx="964">
                  <c:v>7220</c:v>
                </c:pt>
                <c:pt idx="965">
                  <c:v>3958</c:v>
                </c:pt>
                <c:pt idx="966">
                  <c:v>3672</c:v>
                </c:pt>
                <c:pt idx="967">
                  <c:v>1035</c:v>
                </c:pt>
                <c:pt idx="968">
                  <c:v>3549</c:v>
                </c:pt>
                <c:pt idx="969">
                  <c:v>6647</c:v>
                </c:pt>
                <c:pt idx="970">
                  <c:v>9908</c:v>
                </c:pt>
                <c:pt idx="971">
                  <c:v>10393</c:v>
                </c:pt>
                <c:pt idx="972">
                  <c:v>4507</c:v>
                </c:pt>
                <c:pt idx="973">
                  <c:v>4672</c:v>
                </c:pt>
                <c:pt idx="974">
                  <c:v>3924</c:v>
                </c:pt>
                <c:pt idx="975">
                  <c:v>6918</c:v>
                </c:pt>
                <c:pt idx="976">
                  <c:v>9183</c:v>
                </c:pt>
                <c:pt idx="977">
                  <c:v>10830</c:v>
                </c:pt>
                <c:pt idx="978">
                  <c:v>10800</c:v>
                </c:pt>
                <c:pt idx="979">
                  <c:v>6119</c:v>
                </c:pt>
                <c:pt idx="980">
                  <c:v>6685</c:v>
                </c:pt>
                <c:pt idx="981">
                  <c:v>4519</c:v>
                </c:pt>
                <c:pt idx="982">
                  <c:v>1206</c:v>
                </c:pt>
                <c:pt idx="983">
                  <c:v>1029</c:v>
                </c:pt>
                <c:pt idx="984">
                  <c:v>1917</c:v>
                </c:pt>
                <c:pt idx="985">
                  <c:v>2108</c:v>
                </c:pt>
                <c:pt idx="986">
                  <c:v>1211</c:v>
                </c:pt>
                <c:pt idx="987">
                  <c:v>1291</c:v>
                </c:pt>
                <c:pt idx="988">
                  <c:v>755</c:v>
                </c:pt>
                <c:pt idx="989">
                  <c:v>508</c:v>
                </c:pt>
                <c:pt idx="990">
                  <c:v>1010</c:v>
                </c:pt>
                <c:pt idx="991">
                  <c:v>1733</c:v>
                </c:pt>
                <c:pt idx="992">
                  <c:v>2482</c:v>
                </c:pt>
                <c:pt idx="993">
                  <c:v>1235</c:v>
                </c:pt>
                <c:pt idx="994">
                  <c:v>1155</c:v>
                </c:pt>
                <c:pt idx="995">
                  <c:v>940</c:v>
                </c:pt>
                <c:pt idx="996">
                  <c:v>1241</c:v>
                </c:pt>
                <c:pt idx="997">
                  <c:v>1039</c:v>
                </c:pt>
                <c:pt idx="998">
                  <c:v>3657</c:v>
                </c:pt>
                <c:pt idx="999">
                  <c:v>3758</c:v>
                </c:pt>
              </c:numCache>
            </c:numRef>
          </c:val>
          <c:extLst>
            <c:ext xmlns:c16="http://schemas.microsoft.com/office/drawing/2014/chart" uri="{C3380CC4-5D6E-409C-BE32-E72D297353CC}">
              <c16:uniqueId val="{00000000-DB54-48F7-9B6D-2CE0B0B8F04A}"/>
            </c:ext>
          </c:extLst>
        </c:ser>
        <c:dLbls>
          <c:showLegendKey val="0"/>
          <c:showVal val="0"/>
          <c:showCatName val="0"/>
          <c:showSerName val="0"/>
          <c:showPercent val="0"/>
          <c:showBubbleSize val="0"/>
        </c:dLbls>
        <c:gapWidth val="219"/>
        <c:overlap val="-27"/>
        <c:axId val="285207856"/>
        <c:axId val="358013327"/>
      </c:barChart>
      <c:dateAx>
        <c:axId val="285207856"/>
        <c:scaling>
          <c:orientation val="minMax"/>
        </c:scaling>
        <c:delete val="0"/>
        <c:axPos val="b"/>
        <c:numFmt formatCode="yyyy\-mm\-d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013327"/>
        <c:crosses val="autoZero"/>
        <c:auto val="0"/>
        <c:lblOffset val="100"/>
        <c:baseTimeUnit val="days"/>
      </c:dateAx>
      <c:valAx>
        <c:axId val="35801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207856"/>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Gross Profit % and Unit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Profitability!$D$14</c:f>
              <c:strCache>
                <c:ptCount val="1"/>
                <c:pt idx="0">
                  <c:v>Gross Profit %</c:v>
                </c:pt>
              </c:strCache>
            </c:strRef>
          </c:tx>
          <c:spPr>
            <a:ln w="28575" cap="rnd">
              <a:solidFill>
                <a:schemeClr val="accent1"/>
              </a:solidFill>
              <a:round/>
            </a:ln>
            <a:effectLst/>
          </c:spPr>
          <c:marker>
            <c:symbol val="none"/>
          </c:marker>
          <c:cat>
            <c:numRef>
              <c:f>Profitability!$A$15:$A$48</c:f>
              <c:numCache>
                <c:formatCode>mmm\ yyyy</c:formatCode>
                <c:ptCount val="34"/>
                <c:pt idx="0">
                  <c:v>41609</c:v>
                </c:pt>
                <c:pt idx="1">
                  <c:v>41640</c:v>
                </c:pt>
                <c:pt idx="2">
                  <c:v>41671</c:v>
                </c:pt>
                <c:pt idx="3">
                  <c:v>41699</c:v>
                </c:pt>
                <c:pt idx="4">
                  <c:v>41730</c:v>
                </c:pt>
                <c:pt idx="5">
                  <c:v>41760</c:v>
                </c:pt>
                <c:pt idx="6">
                  <c:v>41791</c:v>
                </c:pt>
                <c:pt idx="7">
                  <c:v>41821</c:v>
                </c:pt>
                <c:pt idx="8">
                  <c:v>41852</c:v>
                </c:pt>
                <c:pt idx="9">
                  <c:v>41883</c:v>
                </c:pt>
                <c:pt idx="10">
                  <c:v>41913</c:v>
                </c:pt>
                <c:pt idx="11">
                  <c:v>41944</c:v>
                </c:pt>
                <c:pt idx="12">
                  <c:v>41974</c:v>
                </c:pt>
                <c:pt idx="13">
                  <c:v>42005</c:v>
                </c:pt>
                <c:pt idx="14">
                  <c:v>42036</c:v>
                </c:pt>
                <c:pt idx="15">
                  <c:v>42064</c:v>
                </c:pt>
                <c:pt idx="16">
                  <c:v>42095</c:v>
                </c:pt>
                <c:pt idx="17">
                  <c:v>42125</c:v>
                </c:pt>
                <c:pt idx="18">
                  <c:v>42156</c:v>
                </c:pt>
                <c:pt idx="19">
                  <c:v>42186</c:v>
                </c:pt>
                <c:pt idx="20">
                  <c:v>42217</c:v>
                </c:pt>
                <c:pt idx="21">
                  <c:v>42248</c:v>
                </c:pt>
                <c:pt idx="22">
                  <c:v>42278</c:v>
                </c:pt>
                <c:pt idx="23">
                  <c:v>42309</c:v>
                </c:pt>
                <c:pt idx="24">
                  <c:v>42339</c:v>
                </c:pt>
                <c:pt idx="25">
                  <c:v>42370</c:v>
                </c:pt>
                <c:pt idx="26">
                  <c:v>42401</c:v>
                </c:pt>
                <c:pt idx="27">
                  <c:v>42430</c:v>
                </c:pt>
                <c:pt idx="28">
                  <c:v>42461</c:v>
                </c:pt>
                <c:pt idx="29">
                  <c:v>42491</c:v>
                </c:pt>
                <c:pt idx="30">
                  <c:v>42522</c:v>
                </c:pt>
                <c:pt idx="31">
                  <c:v>42552</c:v>
                </c:pt>
                <c:pt idx="32">
                  <c:v>42583</c:v>
                </c:pt>
                <c:pt idx="33">
                  <c:v>42614</c:v>
                </c:pt>
              </c:numCache>
            </c:numRef>
          </c:cat>
          <c:val>
            <c:numRef>
              <c:f>Profitability!$D$15:$D$48</c:f>
              <c:numCache>
                <c:formatCode>0.0%</c:formatCode>
                <c:ptCount val="34"/>
                <c:pt idx="0">
                  <c:v>-2.4380493039944131E-2</c:v>
                </c:pt>
                <c:pt idx="1">
                  <c:v>3.1088034678153518E-3</c:v>
                </c:pt>
                <c:pt idx="2">
                  <c:v>-2.3006951061081356E-2</c:v>
                </c:pt>
                <c:pt idx="3">
                  <c:v>-1.6442606539534853E-2</c:v>
                </c:pt>
                <c:pt idx="4">
                  <c:v>-6.8213335154871831E-3</c:v>
                </c:pt>
                <c:pt idx="5">
                  <c:v>-4.1889304062888814E-2</c:v>
                </c:pt>
                <c:pt idx="6">
                  <c:v>-2.925532894630942E-2</c:v>
                </c:pt>
                <c:pt idx="7">
                  <c:v>-1.4428105760186686E-2</c:v>
                </c:pt>
                <c:pt idx="8">
                  <c:v>-5.13521189898399E-2</c:v>
                </c:pt>
                <c:pt idx="9">
                  <c:v>-7.1971054986953525E-2</c:v>
                </c:pt>
                <c:pt idx="10">
                  <c:v>-1.9204053419722582E-2</c:v>
                </c:pt>
                <c:pt idx="11">
                  <c:v>4.3410554468196756E-2</c:v>
                </c:pt>
                <c:pt idx="12">
                  <c:v>-5.6837321667892335E-2</c:v>
                </c:pt>
                <c:pt idx="13">
                  <c:v>-4.1953713231710779E-2</c:v>
                </c:pt>
                <c:pt idx="14">
                  <c:v>-5.1056028753481517E-2</c:v>
                </c:pt>
                <c:pt idx="15">
                  <c:v>-6.2678958464622445E-2</c:v>
                </c:pt>
                <c:pt idx="16">
                  <c:v>-5.4104631625758029E-2</c:v>
                </c:pt>
                <c:pt idx="17">
                  <c:v>-7.0289699927546023E-2</c:v>
                </c:pt>
                <c:pt idx="18">
                  <c:v>-3.5411329654711138E-2</c:v>
                </c:pt>
                <c:pt idx="19">
                  <c:v>-4.1193268695093536E-2</c:v>
                </c:pt>
                <c:pt idx="20">
                  <c:v>-7.0211488791107515E-2</c:v>
                </c:pt>
                <c:pt idx="21">
                  <c:v>-7.5932000054241541E-2</c:v>
                </c:pt>
                <c:pt idx="22">
                  <c:v>-7.1758290791919949E-2</c:v>
                </c:pt>
                <c:pt idx="23">
                  <c:v>-9.1873798235030793E-2</c:v>
                </c:pt>
                <c:pt idx="24">
                  <c:v>-4.8914062753125542E-2</c:v>
                </c:pt>
                <c:pt idx="25">
                  <c:v>-4.7056810475161859E-2</c:v>
                </c:pt>
                <c:pt idx="26">
                  <c:v>5.2713133399933515E-4</c:v>
                </c:pt>
                <c:pt idx="27">
                  <c:v>1.1536644883618632E-2</c:v>
                </c:pt>
                <c:pt idx="28">
                  <c:v>-7.0731591467100452E-2</c:v>
                </c:pt>
                <c:pt idx="29">
                  <c:v>-3.2525190706358571E-2</c:v>
                </c:pt>
                <c:pt idx="30">
                  <c:v>-5.8662941523501454E-2</c:v>
                </c:pt>
                <c:pt idx="31">
                  <c:v>1.6971765946619817E-2</c:v>
                </c:pt>
                <c:pt idx="32">
                  <c:v>-3.1417888947279031E-2</c:v>
                </c:pt>
                <c:pt idx="33">
                  <c:v>7.1706048935060622E-3</c:v>
                </c:pt>
              </c:numCache>
            </c:numRef>
          </c:val>
          <c:smooth val="0"/>
          <c:extLst>
            <c:ext xmlns:c16="http://schemas.microsoft.com/office/drawing/2014/chart" uri="{C3380CC4-5D6E-409C-BE32-E72D297353CC}">
              <c16:uniqueId val="{00000000-1736-47E1-803B-3AB66722EBED}"/>
            </c:ext>
          </c:extLst>
        </c:ser>
        <c:ser>
          <c:idx val="1"/>
          <c:order val="1"/>
          <c:tx>
            <c:strRef>
              <c:f>Profitability!$E$14</c:f>
              <c:strCache>
                <c:ptCount val="1"/>
                <c:pt idx="0">
                  <c:v>Gross Profit / Unit %</c:v>
                </c:pt>
              </c:strCache>
            </c:strRef>
          </c:tx>
          <c:spPr>
            <a:ln w="28575" cap="rnd">
              <a:solidFill>
                <a:schemeClr val="accent2"/>
              </a:solidFill>
              <a:round/>
            </a:ln>
            <a:effectLst/>
          </c:spPr>
          <c:marker>
            <c:symbol val="none"/>
          </c:marker>
          <c:cat>
            <c:numRef>
              <c:f>Profitability!$A$15:$A$48</c:f>
              <c:numCache>
                <c:formatCode>mmm\ yyyy</c:formatCode>
                <c:ptCount val="34"/>
                <c:pt idx="0">
                  <c:v>41609</c:v>
                </c:pt>
                <c:pt idx="1">
                  <c:v>41640</c:v>
                </c:pt>
                <c:pt idx="2">
                  <c:v>41671</c:v>
                </c:pt>
                <c:pt idx="3">
                  <c:v>41699</c:v>
                </c:pt>
                <c:pt idx="4">
                  <c:v>41730</c:v>
                </c:pt>
                <c:pt idx="5">
                  <c:v>41760</c:v>
                </c:pt>
                <c:pt idx="6">
                  <c:v>41791</c:v>
                </c:pt>
                <c:pt idx="7">
                  <c:v>41821</c:v>
                </c:pt>
                <c:pt idx="8">
                  <c:v>41852</c:v>
                </c:pt>
                <c:pt idx="9">
                  <c:v>41883</c:v>
                </c:pt>
                <c:pt idx="10">
                  <c:v>41913</c:v>
                </c:pt>
                <c:pt idx="11">
                  <c:v>41944</c:v>
                </c:pt>
                <c:pt idx="12">
                  <c:v>41974</c:v>
                </c:pt>
                <c:pt idx="13">
                  <c:v>42005</c:v>
                </c:pt>
                <c:pt idx="14">
                  <c:v>42036</c:v>
                </c:pt>
                <c:pt idx="15">
                  <c:v>42064</c:v>
                </c:pt>
                <c:pt idx="16">
                  <c:v>42095</c:v>
                </c:pt>
                <c:pt idx="17">
                  <c:v>42125</c:v>
                </c:pt>
                <c:pt idx="18">
                  <c:v>42156</c:v>
                </c:pt>
                <c:pt idx="19">
                  <c:v>42186</c:v>
                </c:pt>
                <c:pt idx="20">
                  <c:v>42217</c:v>
                </c:pt>
                <c:pt idx="21">
                  <c:v>42248</c:v>
                </c:pt>
                <c:pt idx="22">
                  <c:v>42278</c:v>
                </c:pt>
                <c:pt idx="23">
                  <c:v>42309</c:v>
                </c:pt>
                <c:pt idx="24">
                  <c:v>42339</c:v>
                </c:pt>
                <c:pt idx="25">
                  <c:v>42370</c:v>
                </c:pt>
                <c:pt idx="26">
                  <c:v>42401</c:v>
                </c:pt>
                <c:pt idx="27">
                  <c:v>42430</c:v>
                </c:pt>
                <c:pt idx="28">
                  <c:v>42461</c:v>
                </c:pt>
                <c:pt idx="29">
                  <c:v>42491</c:v>
                </c:pt>
                <c:pt idx="30">
                  <c:v>42522</c:v>
                </c:pt>
                <c:pt idx="31">
                  <c:v>42552</c:v>
                </c:pt>
                <c:pt idx="32">
                  <c:v>42583</c:v>
                </c:pt>
                <c:pt idx="33">
                  <c:v>42614</c:v>
                </c:pt>
              </c:numCache>
            </c:numRef>
          </c:cat>
          <c:val>
            <c:numRef>
              <c:f>Profitability!$E$15:$E$48</c:f>
              <c:numCache>
                <c:formatCode>0.0%</c:formatCode>
                <c:ptCount val="34"/>
                <c:pt idx="0">
                  <c:v>-2.476784011294118E-2</c:v>
                </c:pt>
                <c:pt idx="1">
                  <c:v>1.0110119152096123E-2</c:v>
                </c:pt>
                <c:pt idx="2">
                  <c:v>-1.5519653266134694E-2</c:v>
                </c:pt>
                <c:pt idx="3">
                  <c:v>-3.2285623723113149E-3</c:v>
                </c:pt>
                <c:pt idx="4">
                  <c:v>-6.1283744442862951E-4</c:v>
                </c:pt>
                <c:pt idx="5">
                  <c:v>-3.295210047859802E-2</c:v>
                </c:pt>
                <c:pt idx="6">
                  <c:v>-1.7892063811414918E-2</c:v>
                </c:pt>
                <c:pt idx="7">
                  <c:v>4.108219840500962E-3</c:v>
                </c:pt>
                <c:pt idx="8">
                  <c:v>-4.3119806876935847E-2</c:v>
                </c:pt>
                <c:pt idx="9">
                  <c:v>-3.874999816258707E-2</c:v>
                </c:pt>
                <c:pt idx="10">
                  <c:v>1.4312271314445435E-2</c:v>
                </c:pt>
                <c:pt idx="11">
                  <c:v>5.9540100503364182E-2</c:v>
                </c:pt>
                <c:pt idx="12">
                  <c:v>-4.3542755849706967E-2</c:v>
                </c:pt>
                <c:pt idx="13">
                  <c:v>-3.2799074447769021E-2</c:v>
                </c:pt>
                <c:pt idx="14">
                  <c:v>-4.1530709538948676E-2</c:v>
                </c:pt>
                <c:pt idx="15">
                  <c:v>-3.8400227067172783E-2</c:v>
                </c:pt>
                <c:pt idx="16">
                  <c:v>-2.4424228321983897E-2</c:v>
                </c:pt>
                <c:pt idx="17">
                  <c:v>-6.6786411417132763E-2</c:v>
                </c:pt>
                <c:pt idx="18">
                  <c:v>-1.2062539324948083E-2</c:v>
                </c:pt>
                <c:pt idx="19">
                  <c:v>-3.4228624833731104E-2</c:v>
                </c:pt>
                <c:pt idx="20">
                  <c:v>-5.0005851010549426E-2</c:v>
                </c:pt>
                <c:pt idx="21">
                  <c:v>-2.5509139047334206E-2</c:v>
                </c:pt>
                <c:pt idx="22">
                  <c:v>-2.6707501712064555E-2</c:v>
                </c:pt>
                <c:pt idx="23">
                  <c:v>-8.1156111363246505E-2</c:v>
                </c:pt>
                <c:pt idx="24">
                  <c:v>-3.8174292347401814E-2</c:v>
                </c:pt>
                <c:pt idx="25">
                  <c:v>-1.3451492993658696E-2</c:v>
                </c:pt>
                <c:pt idx="26">
                  <c:v>3.510395798720424E-2</c:v>
                </c:pt>
                <c:pt idx="27">
                  <c:v>2.1847313646242598E-2</c:v>
                </c:pt>
                <c:pt idx="28">
                  <c:v>-6.3200950712459791E-2</c:v>
                </c:pt>
                <c:pt idx="29">
                  <c:v>3.0863336980293265E-2</c:v>
                </c:pt>
                <c:pt idx="30">
                  <c:v>-4.558700102585702E-2</c:v>
                </c:pt>
                <c:pt idx="31">
                  <c:v>9.9923580658534045E-2</c:v>
                </c:pt>
                <c:pt idx="32">
                  <c:v>8.8305399683157437E-3</c:v>
                </c:pt>
                <c:pt idx="33">
                  <c:v>6.4546656640889891E-2</c:v>
                </c:pt>
              </c:numCache>
            </c:numRef>
          </c:val>
          <c:smooth val="0"/>
          <c:extLst>
            <c:ext xmlns:c16="http://schemas.microsoft.com/office/drawing/2014/chart" uri="{C3380CC4-5D6E-409C-BE32-E72D297353CC}">
              <c16:uniqueId val="{00000001-1736-47E1-803B-3AB66722EBED}"/>
            </c:ext>
          </c:extLst>
        </c:ser>
        <c:dLbls>
          <c:showLegendKey val="0"/>
          <c:showVal val="0"/>
          <c:showCatName val="0"/>
          <c:showSerName val="0"/>
          <c:showPercent val="0"/>
          <c:showBubbleSize val="0"/>
        </c:dLbls>
        <c:smooth val="0"/>
        <c:axId val="285195792"/>
        <c:axId val="357912047"/>
      </c:lineChart>
      <c:dateAx>
        <c:axId val="285195792"/>
        <c:scaling>
          <c:orientation val="minMax"/>
        </c:scaling>
        <c:delete val="0"/>
        <c:axPos val="b"/>
        <c:numFmt formatCode="mmm\ 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12047"/>
        <c:crosses val="autoZero"/>
        <c:auto val="0"/>
        <c:lblOffset val="100"/>
        <c:baseTimeUnit val="months"/>
      </c:dateAx>
      <c:valAx>
        <c:axId val="357912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95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Gross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Profitability!$C$14</c:f>
              <c:strCache>
                <c:ptCount val="1"/>
                <c:pt idx="0">
                  <c:v>Gross Profit</c:v>
                </c:pt>
              </c:strCache>
            </c:strRef>
          </c:tx>
          <c:spPr>
            <a:solidFill>
              <a:schemeClr val="accent1"/>
            </a:solidFill>
            <a:ln>
              <a:noFill/>
            </a:ln>
            <a:effectLst/>
          </c:spPr>
          <c:invertIfNegative val="0"/>
          <c:cat>
            <c:numRef>
              <c:f>Profitability!$A$15:$A$48</c:f>
              <c:numCache>
                <c:formatCode>mmm\ yyyy</c:formatCode>
                <c:ptCount val="34"/>
                <c:pt idx="0">
                  <c:v>41609</c:v>
                </c:pt>
                <c:pt idx="1">
                  <c:v>41640</c:v>
                </c:pt>
                <c:pt idx="2">
                  <c:v>41671</c:v>
                </c:pt>
                <c:pt idx="3">
                  <c:v>41699</c:v>
                </c:pt>
                <c:pt idx="4">
                  <c:v>41730</c:v>
                </c:pt>
                <c:pt idx="5">
                  <c:v>41760</c:v>
                </c:pt>
                <c:pt idx="6">
                  <c:v>41791</c:v>
                </c:pt>
                <c:pt idx="7">
                  <c:v>41821</c:v>
                </c:pt>
                <c:pt idx="8">
                  <c:v>41852</c:v>
                </c:pt>
                <c:pt idx="9">
                  <c:v>41883</c:v>
                </c:pt>
                <c:pt idx="10">
                  <c:v>41913</c:v>
                </c:pt>
                <c:pt idx="11">
                  <c:v>41944</c:v>
                </c:pt>
                <c:pt idx="12">
                  <c:v>41974</c:v>
                </c:pt>
                <c:pt idx="13">
                  <c:v>42005</c:v>
                </c:pt>
                <c:pt idx="14">
                  <c:v>42036</c:v>
                </c:pt>
                <c:pt idx="15">
                  <c:v>42064</c:v>
                </c:pt>
                <c:pt idx="16">
                  <c:v>42095</c:v>
                </c:pt>
                <c:pt idx="17">
                  <c:v>42125</c:v>
                </c:pt>
                <c:pt idx="18">
                  <c:v>42156</c:v>
                </c:pt>
                <c:pt idx="19">
                  <c:v>42186</c:v>
                </c:pt>
                <c:pt idx="20">
                  <c:v>42217</c:v>
                </c:pt>
                <c:pt idx="21">
                  <c:v>42248</c:v>
                </c:pt>
                <c:pt idx="22">
                  <c:v>42278</c:v>
                </c:pt>
                <c:pt idx="23">
                  <c:v>42309</c:v>
                </c:pt>
                <c:pt idx="24">
                  <c:v>42339</c:v>
                </c:pt>
                <c:pt idx="25">
                  <c:v>42370</c:v>
                </c:pt>
                <c:pt idx="26">
                  <c:v>42401</c:v>
                </c:pt>
                <c:pt idx="27">
                  <c:v>42430</c:v>
                </c:pt>
                <c:pt idx="28">
                  <c:v>42461</c:v>
                </c:pt>
                <c:pt idx="29">
                  <c:v>42491</c:v>
                </c:pt>
                <c:pt idx="30">
                  <c:v>42522</c:v>
                </c:pt>
                <c:pt idx="31">
                  <c:v>42552</c:v>
                </c:pt>
                <c:pt idx="32">
                  <c:v>42583</c:v>
                </c:pt>
                <c:pt idx="33">
                  <c:v>42614</c:v>
                </c:pt>
              </c:numCache>
            </c:numRef>
          </c:cat>
          <c:val>
            <c:numRef>
              <c:f>Profitability!$C$15:$C$48</c:f>
              <c:numCache>
                <c:formatCode>\R#\ ##0</c:formatCode>
                <c:ptCount val="34"/>
                <c:pt idx="0">
                  <c:v>-12782.289063018019</c:v>
                </c:pt>
                <c:pt idx="1">
                  <c:v>12460.645403336355</c:v>
                </c:pt>
                <c:pt idx="2">
                  <c:v>-132991.38555181917</c:v>
                </c:pt>
                <c:pt idx="3">
                  <c:v>-136136.84326440087</c:v>
                </c:pt>
                <c:pt idx="4">
                  <c:v>-43900.351291022351</c:v>
                </c:pt>
                <c:pt idx="5">
                  <c:v>-322334.26360742672</c:v>
                </c:pt>
                <c:pt idx="6">
                  <c:v>-188900.0103701278</c:v>
                </c:pt>
                <c:pt idx="7">
                  <c:v>-71184.101222807949</c:v>
                </c:pt>
                <c:pt idx="8">
                  <c:v>-514054.13696624932</c:v>
                </c:pt>
                <c:pt idx="9">
                  <c:v>-550107.3535298059</c:v>
                </c:pt>
                <c:pt idx="10">
                  <c:v>-113777.93614679614</c:v>
                </c:pt>
                <c:pt idx="11">
                  <c:v>114228.50762626354</c:v>
                </c:pt>
                <c:pt idx="12">
                  <c:v>-319176.76045166858</c:v>
                </c:pt>
                <c:pt idx="13">
                  <c:v>-155068.95857228659</c:v>
                </c:pt>
                <c:pt idx="14">
                  <c:v>-250251.37475896548</c:v>
                </c:pt>
                <c:pt idx="15">
                  <c:v>-330277.56739303691</c:v>
                </c:pt>
                <c:pt idx="16">
                  <c:v>-322679.69664405711</c:v>
                </c:pt>
                <c:pt idx="17">
                  <c:v>-589334.65746298572</c:v>
                </c:pt>
                <c:pt idx="18">
                  <c:v>-188817.04559325546</c:v>
                </c:pt>
                <c:pt idx="19">
                  <c:v>-151496.17096625554</c:v>
                </c:pt>
                <c:pt idx="20">
                  <c:v>-276258.92682944017</c:v>
                </c:pt>
                <c:pt idx="21">
                  <c:v>-354594.83631778409</c:v>
                </c:pt>
                <c:pt idx="22">
                  <c:v>-346518.99798179837</c:v>
                </c:pt>
                <c:pt idx="23">
                  <c:v>-600684.57133753621</c:v>
                </c:pt>
                <c:pt idx="24">
                  <c:v>-333627.64291201677</c:v>
                </c:pt>
                <c:pt idx="25">
                  <c:v>-254252.20607427965</c:v>
                </c:pt>
                <c:pt idx="26">
                  <c:v>2578.6644468660161</c:v>
                </c:pt>
                <c:pt idx="27">
                  <c:v>34054.514486005806</c:v>
                </c:pt>
                <c:pt idx="28">
                  <c:v>-470851.72906593885</c:v>
                </c:pt>
                <c:pt idx="29">
                  <c:v>-168162.77707672582</c:v>
                </c:pt>
                <c:pt idx="30">
                  <c:v>-397214.69293171703</c:v>
                </c:pt>
                <c:pt idx="31">
                  <c:v>56428.159038755555</c:v>
                </c:pt>
                <c:pt idx="32">
                  <c:v>-136458.24118486291</c:v>
                </c:pt>
                <c:pt idx="33">
                  <c:v>19999.202775307502</c:v>
                </c:pt>
              </c:numCache>
            </c:numRef>
          </c:val>
          <c:extLst>
            <c:ext xmlns:c16="http://schemas.microsoft.com/office/drawing/2014/chart" uri="{C3380CC4-5D6E-409C-BE32-E72D297353CC}">
              <c16:uniqueId val="{00000000-1749-460C-8F9A-29BED5EA6A85}"/>
            </c:ext>
          </c:extLst>
        </c:ser>
        <c:dLbls>
          <c:showLegendKey val="0"/>
          <c:showVal val="0"/>
          <c:showCatName val="0"/>
          <c:showSerName val="0"/>
          <c:showPercent val="0"/>
          <c:showBubbleSize val="0"/>
        </c:dLbls>
        <c:gapWidth val="219"/>
        <c:overlap val="-27"/>
        <c:axId val="514383184"/>
        <c:axId val="357920207"/>
      </c:barChart>
      <c:dateAx>
        <c:axId val="514383184"/>
        <c:scaling>
          <c:orientation val="minMax"/>
        </c:scaling>
        <c:delete val="0"/>
        <c:axPos val="b"/>
        <c:numFmt formatCode="mmm\ 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20207"/>
        <c:crosses val="autoZero"/>
        <c:auto val="0"/>
        <c:lblOffset val="100"/>
        <c:baseTimeUnit val="months"/>
      </c:dateAx>
      <c:valAx>
        <c:axId val="357920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Gross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R#.##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8318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Elasticity by Promotion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'Promotion Analysis'!$K$10</c:f>
              <c:strCache>
                <c:ptCount val="1"/>
                <c:pt idx="0">
                  <c:v>Elasticity</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Analysis'!$A$11:$A$13</c:f>
              <c:strCache>
                <c:ptCount val="3"/>
                <c:pt idx="0">
                  <c:v>Extended low-price special</c:v>
                </c:pt>
                <c:pt idx="1">
                  <c:v>Autumn deep discount</c:v>
                </c:pt>
                <c:pt idx="2">
                  <c:v>Early-2016 deep discount</c:v>
                </c:pt>
              </c:strCache>
            </c:strRef>
          </c:cat>
          <c:val>
            <c:numRef>
              <c:f>'Promotion Analysis'!$K$11:$K$13</c:f>
              <c:numCache>
                <c:formatCode>0.0</c:formatCode>
                <c:ptCount val="3"/>
                <c:pt idx="0">
                  <c:v>-14.964384920488358</c:v>
                </c:pt>
                <c:pt idx="1">
                  <c:v>-27.58640434255792</c:v>
                </c:pt>
                <c:pt idx="2">
                  <c:v>-10.55688418679012</c:v>
                </c:pt>
              </c:numCache>
            </c:numRef>
          </c:val>
          <c:extLst>
            <c:ext xmlns:c16="http://schemas.microsoft.com/office/drawing/2014/chart" uri="{C3380CC4-5D6E-409C-BE32-E72D297353CC}">
              <c16:uniqueId val="{00000000-91E1-4DDE-9CE0-3961026F21D2}"/>
            </c:ext>
          </c:extLst>
        </c:ser>
        <c:dLbls>
          <c:showLegendKey val="0"/>
          <c:showVal val="0"/>
          <c:showCatName val="0"/>
          <c:showSerName val="0"/>
          <c:showPercent val="0"/>
          <c:showBubbleSize val="0"/>
        </c:dLbls>
        <c:gapWidth val="182"/>
        <c:axId val="514397104"/>
        <c:axId val="357951407"/>
      </c:barChart>
      <c:catAx>
        <c:axId val="51439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51407"/>
        <c:crosses val="autoZero"/>
        <c:auto val="1"/>
        <c:lblAlgn val="ctr"/>
        <c:lblOffset val="100"/>
        <c:noMultiLvlLbl val="0"/>
      </c:catAx>
      <c:valAx>
        <c:axId val="3579514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Elasticity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9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Change % vs Quantity Change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'Promotion Analysis'!$G$10</c:f>
              <c:strCache>
                <c:ptCount val="1"/>
                <c:pt idx="0">
                  <c:v>Price Change %</c:v>
                </c:pt>
              </c:strCache>
            </c:strRef>
          </c:tx>
          <c:spPr>
            <a:solidFill>
              <a:schemeClr val="accent1"/>
            </a:solidFill>
            <a:ln>
              <a:noFill/>
            </a:ln>
            <a:effectLst/>
          </c:spPr>
          <c:invertIfNegative val="0"/>
          <c:cat>
            <c:strRef>
              <c:f>'Promotion Analysis'!$A$11:$A$13</c:f>
              <c:strCache>
                <c:ptCount val="3"/>
                <c:pt idx="0">
                  <c:v>Extended low-price special</c:v>
                </c:pt>
                <c:pt idx="1">
                  <c:v>Autumn deep discount</c:v>
                </c:pt>
                <c:pt idx="2">
                  <c:v>Early-2016 deep discount</c:v>
                </c:pt>
              </c:strCache>
            </c:strRef>
          </c:cat>
          <c:val>
            <c:numRef>
              <c:f>'Promotion Analysis'!$G$11:$G$13</c:f>
              <c:numCache>
                <c:formatCode>0.0%</c:formatCode>
                <c:ptCount val="3"/>
                <c:pt idx="0">
                  <c:v>-7.9815672315975861E-2</c:v>
                </c:pt>
                <c:pt idx="1">
                  <c:v>-0.14983970991074336</c:v>
                </c:pt>
                <c:pt idx="2">
                  <c:v>-0.16426344034376783</c:v>
                </c:pt>
              </c:numCache>
            </c:numRef>
          </c:val>
          <c:extLst>
            <c:ext xmlns:c16="http://schemas.microsoft.com/office/drawing/2014/chart" uri="{C3380CC4-5D6E-409C-BE32-E72D297353CC}">
              <c16:uniqueId val="{00000000-9313-4141-8957-C883565FED87}"/>
            </c:ext>
          </c:extLst>
        </c:ser>
        <c:ser>
          <c:idx val="1"/>
          <c:order val="1"/>
          <c:tx>
            <c:strRef>
              <c:f>'Promotion Analysis'!$H$10</c:f>
              <c:strCache>
                <c:ptCount val="1"/>
                <c:pt idx="0">
                  <c:v>Promo Avg Units</c:v>
                </c:pt>
              </c:strCache>
            </c:strRef>
          </c:tx>
          <c:spPr>
            <a:solidFill>
              <a:schemeClr val="accent2"/>
            </a:solidFill>
            <a:ln>
              <a:noFill/>
            </a:ln>
            <a:effectLst/>
          </c:spPr>
          <c:invertIfNegative val="0"/>
          <c:cat>
            <c:strRef>
              <c:f>'Promotion Analysis'!$A$11:$A$13</c:f>
              <c:strCache>
                <c:ptCount val="3"/>
                <c:pt idx="0">
                  <c:v>Extended low-price special</c:v>
                </c:pt>
                <c:pt idx="1">
                  <c:v>Autumn deep discount</c:v>
                </c:pt>
                <c:pt idx="2">
                  <c:v>Early-2016 deep discount</c:v>
                </c:pt>
              </c:strCache>
            </c:strRef>
          </c:cat>
          <c:val>
            <c:numRef>
              <c:f>'Promotion Analysis'!$H$11:$H$13</c:f>
              <c:numCache>
                <c:formatCode>#,##0</c:formatCode>
                <c:ptCount val="3"/>
                <c:pt idx="0">
                  <c:v>7892.6026490066224</c:v>
                </c:pt>
                <c:pt idx="1">
                  <c:v>8089.3571428571431</c:v>
                </c:pt>
                <c:pt idx="2">
                  <c:v>7925.1111111111113</c:v>
                </c:pt>
              </c:numCache>
            </c:numRef>
          </c:val>
          <c:extLst>
            <c:ext xmlns:c16="http://schemas.microsoft.com/office/drawing/2014/chart" uri="{C3380CC4-5D6E-409C-BE32-E72D297353CC}">
              <c16:uniqueId val="{00000001-9313-4141-8957-C883565FED87}"/>
            </c:ext>
          </c:extLst>
        </c:ser>
        <c:ser>
          <c:idx val="2"/>
          <c:order val="2"/>
          <c:tx>
            <c:strRef>
              <c:f>'Promotion Analysis'!$I$10</c:f>
              <c:strCache>
                <c:ptCount val="1"/>
                <c:pt idx="0">
                  <c:v>Baseline Avg Units</c:v>
                </c:pt>
              </c:strCache>
            </c:strRef>
          </c:tx>
          <c:spPr>
            <a:solidFill>
              <a:schemeClr val="accent3"/>
            </a:solidFill>
            <a:ln>
              <a:noFill/>
            </a:ln>
            <a:effectLst/>
          </c:spPr>
          <c:invertIfNegative val="0"/>
          <c:cat>
            <c:strRef>
              <c:f>'Promotion Analysis'!$A$11:$A$13</c:f>
              <c:strCache>
                <c:ptCount val="3"/>
                <c:pt idx="0">
                  <c:v>Extended low-price special</c:v>
                </c:pt>
                <c:pt idx="1">
                  <c:v>Autumn deep discount</c:v>
                </c:pt>
                <c:pt idx="2">
                  <c:v>Early-2016 deep discount</c:v>
                </c:pt>
              </c:strCache>
            </c:strRef>
          </c:cat>
          <c:val>
            <c:numRef>
              <c:f>'Promotion Analysis'!$I$11:$I$13</c:f>
              <c:numCache>
                <c:formatCode>#,##0</c:formatCode>
                <c:ptCount val="3"/>
                <c:pt idx="0">
                  <c:v>3596.7142857142858</c:v>
                </c:pt>
                <c:pt idx="1">
                  <c:v>1575.7857142857142</c:v>
                </c:pt>
                <c:pt idx="2">
                  <c:v>2898.6071428571427</c:v>
                </c:pt>
              </c:numCache>
            </c:numRef>
          </c:val>
          <c:extLst>
            <c:ext xmlns:c16="http://schemas.microsoft.com/office/drawing/2014/chart" uri="{C3380CC4-5D6E-409C-BE32-E72D297353CC}">
              <c16:uniqueId val="{00000002-9313-4141-8957-C883565FED87}"/>
            </c:ext>
          </c:extLst>
        </c:ser>
        <c:ser>
          <c:idx val="3"/>
          <c:order val="3"/>
          <c:tx>
            <c:strRef>
              <c:f>'Promotion Analysis'!$J$10</c:f>
              <c:strCache>
                <c:ptCount val="1"/>
                <c:pt idx="0">
                  <c:v>Quantity Change %</c:v>
                </c:pt>
              </c:strCache>
            </c:strRef>
          </c:tx>
          <c:spPr>
            <a:solidFill>
              <a:schemeClr val="accent4"/>
            </a:solidFill>
            <a:ln>
              <a:noFill/>
            </a:ln>
            <a:effectLst/>
          </c:spPr>
          <c:invertIfNegative val="0"/>
          <c:cat>
            <c:strRef>
              <c:f>'Promotion Analysis'!$A$11:$A$13</c:f>
              <c:strCache>
                <c:ptCount val="3"/>
                <c:pt idx="0">
                  <c:v>Extended low-price special</c:v>
                </c:pt>
                <c:pt idx="1">
                  <c:v>Autumn deep discount</c:v>
                </c:pt>
                <c:pt idx="2">
                  <c:v>Early-2016 deep discount</c:v>
                </c:pt>
              </c:strCache>
            </c:strRef>
          </c:cat>
          <c:val>
            <c:numRef>
              <c:f>'Promotion Analysis'!$J$11:$J$13</c:f>
              <c:numCache>
                <c:formatCode>0.0%</c:formatCode>
                <c:ptCount val="3"/>
                <c:pt idx="0">
                  <c:v>1.1943924432238293</c:v>
                </c:pt>
                <c:pt idx="1">
                  <c:v>4.1335388241693494</c:v>
                </c:pt>
                <c:pt idx="2">
                  <c:v>1.7341101158328649</c:v>
                </c:pt>
              </c:numCache>
            </c:numRef>
          </c:val>
          <c:extLst>
            <c:ext xmlns:c16="http://schemas.microsoft.com/office/drawing/2014/chart" uri="{C3380CC4-5D6E-409C-BE32-E72D297353CC}">
              <c16:uniqueId val="{00000003-9313-4141-8957-C883565FED87}"/>
            </c:ext>
          </c:extLst>
        </c:ser>
        <c:dLbls>
          <c:showLegendKey val="0"/>
          <c:showVal val="0"/>
          <c:showCatName val="0"/>
          <c:showSerName val="0"/>
          <c:showPercent val="0"/>
          <c:showBubbleSize val="0"/>
        </c:dLbls>
        <c:gapWidth val="219"/>
        <c:overlap val="-27"/>
        <c:axId val="514409168"/>
        <c:axId val="357959087"/>
      </c:barChart>
      <c:catAx>
        <c:axId val="51440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59087"/>
        <c:crosses val="autoZero"/>
        <c:auto val="1"/>
        <c:lblAlgn val="ctr"/>
        <c:lblOffset val="100"/>
        <c:noMultiLvlLbl val="0"/>
      </c:catAx>
      <c:valAx>
        <c:axId val="357959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Change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0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6</xdr:col>
      <xdr:colOff>0</xdr:colOff>
      <xdr:row>51</xdr:row>
      <xdr:rowOff>0</xdr:rowOff>
    </xdr:to>
    <xdr:graphicFrame macro="">
      <xdr:nvGraphicFramePr>
        <xdr:cNvPr id="2" name="Promotion Elasticity">
          <a:extLst>
            <a:ext uri="{FF2B5EF4-FFF2-40B4-BE49-F238E27FC236}">
              <a16:creationId xmlns:a16="http://schemas.microsoft.com/office/drawing/2014/main" id="{31D1DFBE-C87A-0C9D-21B0-416985079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19</xdr:row>
      <xdr:rowOff>0</xdr:rowOff>
    </xdr:from>
    <xdr:to>
      <xdr:col>12</xdr:col>
      <xdr:colOff>0</xdr:colOff>
      <xdr:row>35</xdr:row>
      <xdr:rowOff>0</xdr:rowOff>
    </xdr:to>
    <xdr:graphicFrame macro="">
      <xdr:nvGraphicFramePr>
        <xdr:cNvPr id="3" name="Monthly Average Price">
          <a:extLst>
            <a:ext uri="{FF2B5EF4-FFF2-40B4-BE49-F238E27FC236}">
              <a16:creationId xmlns:a16="http://schemas.microsoft.com/office/drawing/2014/main" id="{F0EB5284-2D7A-F977-AB06-F51FF7C70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36</xdr:row>
      <xdr:rowOff>0</xdr:rowOff>
    </xdr:from>
    <xdr:to>
      <xdr:col>12</xdr:col>
      <xdr:colOff>0</xdr:colOff>
      <xdr:row>52</xdr:row>
      <xdr:rowOff>0</xdr:rowOff>
    </xdr:to>
    <xdr:graphicFrame macro="">
      <xdr:nvGraphicFramePr>
        <xdr:cNvPr id="4" name="Monthly Sales">
          <a:extLst>
            <a:ext uri="{FF2B5EF4-FFF2-40B4-BE49-F238E27FC236}">
              <a16:creationId xmlns:a16="http://schemas.microsoft.com/office/drawing/2014/main" id="{E3EE18D1-DA75-79AB-F601-045CB37CA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89</xdr:row>
      <xdr:rowOff>0</xdr:rowOff>
    </xdr:from>
    <xdr:to>
      <xdr:col>12</xdr:col>
      <xdr:colOff>0</xdr:colOff>
      <xdr:row>107</xdr:row>
      <xdr:rowOff>0</xdr:rowOff>
    </xdr:to>
    <xdr:graphicFrame macro="">
      <xdr:nvGraphicFramePr>
        <xdr:cNvPr id="5" name="Monthly Gross Profit Percent">
          <a:extLst>
            <a:ext uri="{FF2B5EF4-FFF2-40B4-BE49-F238E27FC236}">
              <a16:creationId xmlns:a16="http://schemas.microsoft.com/office/drawing/2014/main" id="{0681824B-D97B-4D3B-686B-1F16C4236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12</xdr:row>
      <xdr:rowOff>0</xdr:rowOff>
    </xdr:from>
    <xdr:to>
      <xdr:col>12</xdr:col>
      <xdr:colOff>260350</xdr:colOff>
      <xdr:row>34</xdr:row>
      <xdr:rowOff>0</xdr:rowOff>
    </xdr:to>
    <xdr:graphicFrame macro="">
      <xdr:nvGraphicFramePr>
        <xdr:cNvPr id="2" name="Daily Price vs Rolling Average">
          <a:extLst>
            <a:ext uri="{FF2B5EF4-FFF2-40B4-BE49-F238E27FC236}">
              <a16:creationId xmlns:a16="http://schemas.microsoft.com/office/drawing/2014/main" id="{F7A14420-327B-0ADB-3272-FDD4FF9BF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35</xdr:row>
      <xdr:rowOff>0</xdr:rowOff>
    </xdr:from>
    <xdr:to>
      <xdr:col>12</xdr:col>
      <xdr:colOff>400050</xdr:colOff>
      <xdr:row>55</xdr:row>
      <xdr:rowOff>0</xdr:rowOff>
    </xdr:to>
    <xdr:graphicFrame macro="">
      <xdr:nvGraphicFramePr>
        <xdr:cNvPr id="3" name="Daily Quantity Sold">
          <a:extLst>
            <a:ext uri="{FF2B5EF4-FFF2-40B4-BE49-F238E27FC236}">
              <a16:creationId xmlns:a16="http://schemas.microsoft.com/office/drawing/2014/main" id="{8BEB5357-40A9-1ECC-A18D-20A095C43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12</xdr:row>
      <xdr:rowOff>0</xdr:rowOff>
    </xdr:from>
    <xdr:to>
      <xdr:col>10</xdr:col>
      <xdr:colOff>0</xdr:colOff>
      <xdr:row>34</xdr:row>
      <xdr:rowOff>0</xdr:rowOff>
    </xdr:to>
    <xdr:graphicFrame macro="">
      <xdr:nvGraphicFramePr>
        <xdr:cNvPr id="2" name="Monthly Profit Margin Trend">
          <a:extLst>
            <a:ext uri="{FF2B5EF4-FFF2-40B4-BE49-F238E27FC236}">
              <a16:creationId xmlns:a16="http://schemas.microsoft.com/office/drawing/2014/main" id="{B7DE51DC-C82E-A0B6-8B7A-9725F175F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50</xdr:row>
      <xdr:rowOff>0</xdr:rowOff>
    </xdr:from>
    <xdr:to>
      <xdr:col>10</xdr:col>
      <xdr:colOff>0</xdr:colOff>
      <xdr:row>70</xdr:row>
      <xdr:rowOff>0</xdr:rowOff>
    </xdr:to>
    <xdr:graphicFrame macro="">
      <xdr:nvGraphicFramePr>
        <xdr:cNvPr id="3" name="Monthly Gross Profit">
          <a:extLst>
            <a:ext uri="{FF2B5EF4-FFF2-40B4-BE49-F238E27FC236}">
              <a16:creationId xmlns:a16="http://schemas.microsoft.com/office/drawing/2014/main" id="{5B7C331D-8579-9559-5390-CA7ABE613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0</xdr:rowOff>
    </xdr:from>
    <xdr:to>
      <xdr:col>6</xdr:col>
      <xdr:colOff>0</xdr:colOff>
      <xdr:row>38</xdr:row>
      <xdr:rowOff>0</xdr:rowOff>
    </xdr:to>
    <xdr:graphicFrame macro="">
      <xdr:nvGraphicFramePr>
        <xdr:cNvPr id="2" name="Promotion Elasticity Detail">
          <a:extLst>
            <a:ext uri="{FF2B5EF4-FFF2-40B4-BE49-F238E27FC236}">
              <a16:creationId xmlns:a16="http://schemas.microsoft.com/office/drawing/2014/main" id="{9F354FFD-9A9C-6BAC-2ED6-BABC20013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15</xdr:row>
      <xdr:rowOff>0</xdr:rowOff>
    </xdr:from>
    <xdr:to>
      <xdr:col>12</xdr:col>
      <xdr:colOff>0</xdr:colOff>
      <xdr:row>38</xdr:row>
      <xdr:rowOff>0</xdr:rowOff>
    </xdr:to>
    <xdr:graphicFrame macro="">
      <xdr:nvGraphicFramePr>
        <xdr:cNvPr id="3" name="Promotion Price and Quantity Change">
          <a:extLst>
            <a:ext uri="{FF2B5EF4-FFF2-40B4-BE49-F238E27FC236}">
              <a16:creationId xmlns:a16="http://schemas.microsoft.com/office/drawing/2014/main" id="{9BE1350C-C5E5-08A9-1B37-E49ACA48F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A03E81-4BC2-42E2-905A-E8BFB1394626}" autoFormatId="16" applyNumberFormats="0" applyBorderFormats="0" applyFontFormats="0" applyPatternFormats="0" applyAlignmentFormats="0" applyWidthHeightFormats="0">
  <queryTableRefresh nextId="21">
    <queryTableFields count="20">
      <queryTableField id="1" name="Date" tableColumnId="1"/>
      <queryTableField id="2" name="Sales" tableColumnId="2"/>
      <queryTableField id="3" name="cost_of_sales" tableColumnId="3"/>
      <queryTableField id="4" name="quantity_sold" tableColumnId="4"/>
      <queryTableField id="5" name="year" tableColumnId="5"/>
      <queryTableField id="6" name="month_number" tableColumnId="6"/>
      <queryTableField id="7" name="month_name" tableColumnId="7"/>
      <queryTableField id="8" name="year_month" tableColumnId="8"/>
      <queryTableField id="9" name="day_of_month" tableColumnId="9"/>
      <queryTableField id="10" name="day_of_week" tableColumnId="10"/>
      <queryTableField id="11" name="day_name" tableColumnId="11"/>
      <queryTableField id="12" name="day_type" tableColumnId="12"/>
      <queryTableField id="13" name="price_per_unit" tableColumnId="13"/>
      <queryTableField id="14" name="cost_per_unit" tableColumnId="14"/>
      <queryTableField id="15" name="gross_profit" tableColumnId="15"/>
      <queryTableField id="16" name="gross_profit_percent" tableColumnId="16"/>
      <queryTableField id="17" name="gross_profit_per_unit" tableColumnId="17"/>
      <queryTableField id="18" name="gross_profit_per_unit_percent" tableColumnId="18"/>
      <queryTableField id="19" name="average_unit_sales_price" tableColumnId="19"/>
      <queryTableField id="20" name="rolling_average_price"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F34ACA-D92E-4E35-97B8-1E0A375D33A3}" name="SALES_EDA" displayName="SALES_EDA" ref="A1:T1001" tableType="queryTable" totalsRowShown="0" headerRowDxfId="56" dataDxfId="55">
  <autoFilter ref="A1:T1001" xr:uid="{8AF34ACA-D92E-4E35-97B8-1E0A375D33A3}"/>
  <tableColumns count="20">
    <tableColumn id="1" xr3:uid="{0595AE36-A8B5-4854-8AE7-E7AC3C1CF796}" uniqueName="1" name="Date" queryTableFieldId="1" dataDxfId="54"/>
    <tableColumn id="2" xr3:uid="{7F257563-3170-4AEF-A80B-0480E3C53662}" uniqueName="2" name="Sales" queryTableFieldId="2" dataDxfId="53"/>
    <tableColumn id="3" xr3:uid="{1F939EA1-6F86-4858-95DF-9B793C754929}" uniqueName="3" name="cost_of_sales" queryTableFieldId="3" dataDxfId="52"/>
    <tableColumn id="4" xr3:uid="{2158B9B0-8F46-4DF4-8ED3-C12EBD806278}" uniqueName="4" name="quantity_sold" queryTableFieldId="4" dataDxfId="51"/>
    <tableColumn id="5" xr3:uid="{151E7B0F-43B6-4C88-A55E-343C353967C1}" uniqueName="5" name="year" queryTableFieldId="5" dataDxfId="50"/>
    <tableColumn id="6" xr3:uid="{E0808BB8-4D6D-4E3D-B8CC-8110C80B6853}" uniqueName="6" name="month_number" queryTableFieldId="6" dataDxfId="49"/>
    <tableColumn id="7" xr3:uid="{99B505F0-C5E9-4342-969F-26DDD61E8A4C}" uniqueName="7" name="month_name" queryTableFieldId="7" dataDxfId="48"/>
    <tableColumn id="8" xr3:uid="{10798128-493B-4E22-B0DC-35BC55B57865}" uniqueName="8" name="year_month" queryTableFieldId="8" dataDxfId="47"/>
    <tableColumn id="9" xr3:uid="{503F8C78-4488-452F-83BA-363E8CD1138B}" uniqueName="9" name="day_of_month" queryTableFieldId="9" dataDxfId="46"/>
    <tableColumn id="10" xr3:uid="{554C5AB7-C85A-480D-9397-B702D7F197AF}" uniqueName="10" name="day_of_week" queryTableFieldId="10" dataDxfId="45"/>
    <tableColumn id="11" xr3:uid="{77DD8AB5-50D9-4087-86E2-3B3F96491A6F}" uniqueName="11" name="day_name" queryTableFieldId="11" dataDxfId="44"/>
    <tableColumn id="12" xr3:uid="{230B1238-3F55-43AB-9475-3C2878FA4D8F}" uniqueName="12" name="day_type" queryTableFieldId="12" dataDxfId="43"/>
    <tableColumn id="13" xr3:uid="{BE7DE03E-EE54-4ADD-9921-6D11C0452636}" uniqueName="13" name="price_per_unit" queryTableFieldId="13" dataDxfId="42"/>
    <tableColumn id="14" xr3:uid="{F4F85560-A0BD-42E2-A9ED-6BD240775A2E}" uniqueName="14" name="cost_per_unit" queryTableFieldId="14" dataDxfId="41"/>
    <tableColumn id="15" xr3:uid="{C0F10927-E482-41EC-8F8C-01D974072E9D}" uniqueName="15" name="gross_profit" queryTableFieldId="15" dataDxfId="40"/>
    <tableColumn id="16" xr3:uid="{5D08B5B2-80E1-4A65-9E6A-9BFE9736D975}" uniqueName="16" name="gross_profit_percent" queryTableFieldId="16" dataDxfId="39"/>
    <tableColumn id="17" xr3:uid="{441B6E13-8E80-4F38-8E04-EB6D10622DCA}" uniqueName="17" name="gross_profit_per_unit" queryTableFieldId="17" dataDxfId="38"/>
    <tableColumn id="18" xr3:uid="{AF3B67C9-3F53-41F7-9526-099EF88D46E1}" uniqueName="18" name="gross_profit_per_unit_percent" queryTableFieldId="18" dataDxfId="37"/>
    <tableColumn id="19" xr3:uid="{6D87264F-11E6-42DD-8235-0D992C470549}" uniqueName="19" name="average_unit_sales_price" queryTableFieldId="19" dataDxfId="36"/>
    <tableColumn id="20" xr3:uid="{62339DD5-0914-4C40-A390-F372B302D294}" uniqueName="20" name="rolling_average_price" queryTableFieldId="20"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F0275D-16D8-4C81-AD02-2700C058FB9D}" name="Promo_Elasticity" displayName="Promo_Elasticity" ref="A14:K17" totalsRowShown="0" headerRowDxfId="34" dataDxfId="33">
  <autoFilter ref="A14:K17" xr:uid="{CEF0275D-16D8-4C81-AD02-2700C058FB9D}"/>
  <tableColumns count="11">
    <tableColumn id="1" xr3:uid="{51D4DC00-E2DF-46B9-889E-80F905E9D78A}" name="Period" dataDxfId="32"/>
    <tableColumn id="2" xr3:uid="{BE892828-D24D-4A09-8061-E642E93EA366}" name="Start" dataDxfId="31"/>
    <tableColumn id="3" xr3:uid="{C1013083-4CAB-43AF-ABA9-21DCC8814310}" name="End" dataDxfId="30"/>
    <tableColumn id="4" xr3:uid="{4178FFF2-F50A-4D9D-B78B-5D96CF1D1B04}" name="Days" dataDxfId="29">
      <calculatedColumnFormula>C15-B15+1</calculatedColumnFormula>
    </tableColumn>
    <tableColumn id="5" xr3:uid="{9088C7CA-81F8-40D5-82EB-90AA542785D6}" name="Promo Avg Price" dataDxfId="28">
      <calculatedColumnFormula>AVERAGEIFS(SALES_EDA!$M$2:$M$1001,SALES_EDA!$A$2:$A$1001,"&gt;="&amp;B15,SALES_EDA!$A$2:$A$1001,"&lt;"&amp;C15+1)</calculatedColumnFormula>
    </tableColumn>
    <tableColumn id="6" xr3:uid="{B61FF658-33FC-462E-8999-8697DE4948EF}" name="Baseline Avg Price" dataDxfId="27">
      <calculatedColumnFormula>(SUMIFS(SALES_EDA!$M$2:$M$1001,SALES_EDA!$A$2:$A$1001,"&gt;="&amp;B15-14,SALES_EDA!$A$2:$A$1001,"&lt;"&amp;B15)+SUMIFS(SALES_EDA!$M$2:$M$1001,SALES_EDA!$A$2:$A$1001,"&gt;="&amp;C15+1,SALES_EDA!$A$2:$A$1001,"&lt;"&amp;C15+15))/(COUNTIFS(SALES_EDA!$A$2:$A$1001,"&gt;="&amp;B15-14,SALES_EDA!$A$2:$A$1001,"&lt;"&amp;B15)+COUNTIFS(SALES_EDA!$A$2:$A$1001,"&gt;="&amp;C15+1,SALES_EDA!$A$2:$A$1001,"&lt;"&amp;C15+15))</calculatedColumnFormula>
    </tableColumn>
    <tableColumn id="7" xr3:uid="{7D2D2BE9-3A05-47BD-9733-B281DF85BFF7}" name="Price Change %" dataDxfId="26">
      <calculatedColumnFormula>E15/F15-1</calculatedColumnFormula>
    </tableColumn>
    <tableColumn id="8" xr3:uid="{12862656-B288-4AFB-AD63-4991826FE65F}" name="Promo Avg Units" dataDxfId="25">
      <calculatedColumnFormula>AVERAGEIFS(SALES_EDA!$D$2:$D$1001,SALES_EDA!$A$2:$A$1001,"&gt;="&amp;B15,SALES_EDA!$A$2:$A$1001,"&lt;"&amp;C15+1)</calculatedColumnFormula>
    </tableColumn>
    <tableColumn id="9" xr3:uid="{BD4A7B2E-0C7C-4107-81B8-A57F5EBE605D}" name="Baseline Avg Units" dataDxfId="24">
      <calculatedColumnFormula>(SUMIFS(SALES_EDA!$D$2:$D$1001,SALES_EDA!$A$2:$A$1001,"&gt;="&amp;B15-14,SALES_EDA!$A$2:$A$1001,"&lt;"&amp;B15)+SUMIFS(SALES_EDA!$D$2:$D$1001,SALES_EDA!$A$2:$A$1001,"&gt;="&amp;C15+1,SALES_EDA!$A$2:$A$1001,"&lt;"&amp;C15+15))/(COUNTIFS(SALES_EDA!$A$2:$A$1001,"&gt;="&amp;B15-14,SALES_EDA!$A$2:$A$1001,"&lt;"&amp;B15)+COUNTIFS(SALES_EDA!$A$2:$A$1001,"&gt;="&amp;C15+1,SALES_EDA!$A$2:$A$1001,"&lt;"&amp;C15+15))</calculatedColumnFormula>
    </tableColumn>
    <tableColumn id="10" xr3:uid="{BA4CBB34-C549-4235-9438-A36ABFE5B698}" name="Quantity Change %" dataDxfId="23">
      <calculatedColumnFormula>H15/I15-1</calculatedColumnFormula>
    </tableColumn>
    <tableColumn id="11" xr3:uid="{ABF7EF70-CD6D-4741-905E-0D4793CD736E}" name="Elasticity" dataDxfId="22">
      <calculatedColumnFormula>J15/G15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080754-3316-4CEC-B4A3-CBA2323C6AC8}" name="Monthly_Metrics" displayName="Monthly_Metrics" ref="A54:F88" totalsRowShown="0" headerRowDxfId="21" dataDxfId="20">
  <autoFilter ref="A54:F88" xr:uid="{B7080754-3316-4CEC-B4A3-CBA2323C6AC8}"/>
  <tableColumns count="6">
    <tableColumn id="1" xr3:uid="{228D6B01-57EA-4B5B-B049-3BE3784790B1}" name="Month" dataDxfId="19"/>
    <tableColumn id="2" xr3:uid="{F78699FF-21C4-489C-920C-2CD13FE8CB75}" name="Sales" dataDxfId="18">
      <calculatedColumnFormula>SUMIFS(SALES_EDA!$B$2:$B$1001,SALES_EDA!$A$2:$A$1001,"&gt;="&amp;A55,SALES_EDA!$A$2:$A$1001,"&lt;"&amp;EDATE(A55,1))</calculatedColumnFormula>
    </tableColumn>
    <tableColumn id="3" xr3:uid="{C2CCA9ED-FAE0-4A0F-84DB-4389C6EB386E}" name="Units" dataDxfId="17">
      <calculatedColumnFormula>SUMIFS(SALES_EDA!$D$2:$D$1001,SALES_EDA!$A$2:$A$1001,"&gt;="&amp;A55,SALES_EDA!$A$2:$A$1001,"&lt;"&amp;EDATE(A55,1))</calculatedColumnFormula>
    </tableColumn>
    <tableColumn id="4" xr3:uid="{1EAA22B1-C366-4DE6-B5DE-4FE60492766D}" name="Avg Price" dataDxfId="16">
      <calculatedColumnFormula>IFERROR(B55/C55,0)</calculatedColumnFormula>
    </tableColumn>
    <tableColumn id="5" xr3:uid="{6306C3B4-2AA3-4724-8315-073934B92799}" name="Gross Profit %" dataDxfId="15">
      <calculatedColumnFormula>IFERROR(SUMIFS(SALES_EDA!$O$2:$O$1001,SALES_EDA!$A$2:$A$1001,"&gt;="&amp;A55,SALES_EDA!$A$2:$A$1001,"&lt;"&amp;EDATE(A55,1))/B55,0)</calculatedColumnFormula>
    </tableColumn>
    <tableColumn id="6" xr3:uid="{14496849-11DD-4DBC-9993-3FA876F1A3D1}" name="Days" dataDxfId="14">
      <calculatedColumnFormula>COUNTIFS(SALES_EDA!$A$2:$A$1001,"&gt;="&amp;A55,SALES_EDA!$A$2:$A$1001,"&lt;"&amp;EDATE(A55,1))</calculatedColumnFormula>
    </tableColum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0BBC9E-DD5A-47AE-81CA-92FCFAE83197}" name="Daily_Price_Data" displayName="Daily_Price_Data" ref="A14:E1014" totalsRowShown="0" headerRowDxfId="13" dataDxfId="12">
  <autoFilter ref="A14:E1014" xr:uid="{C70BBC9E-DD5A-47AE-81CA-92FCFAE83197}"/>
  <tableColumns count="5">
    <tableColumn id="1" xr3:uid="{5CF22A3F-F20B-41BA-8C4D-A0B81F4ADD88}" name="Date" dataDxfId="11">
      <calculatedColumnFormula>SALES_EDA!A2</calculatedColumnFormula>
    </tableColumn>
    <tableColumn id="2" xr3:uid="{0DA94B23-1571-4AC8-8F38-8139FC84103B}" name="Daily Sales Price / Unit" dataDxfId="10">
      <calculatedColumnFormula>SALES_EDA!M2</calculatedColumnFormula>
    </tableColumn>
    <tableColumn id="3" xr3:uid="{FC5E8E3D-6D25-4003-8877-A3EB68386B18}" name="Rolling Avg Price" dataDxfId="9">
      <calculatedColumnFormula>SALES_EDA!T2</calculatedColumnFormula>
    </tableColumn>
    <tableColumn id="4" xr3:uid="{C8950CF0-C786-4EF4-ABFF-285DE8324317}" name="Quantity Sold" dataDxfId="8">
      <calculatedColumnFormula>SALES_EDA!D2</calculatedColumnFormula>
    </tableColumn>
    <tableColumn id="5" xr3:uid="{E1763134-0D50-4416-8AD9-E22761DF0A1E}" name="Sales" dataDxfId="7">
      <calculatedColumnFormula>SALES_EDA!B2</calculatedColumnFormula>
    </tableColumn>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128B74-D47D-48F2-A3C5-115BB569BD05}" name="Monthly_Profitability" displayName="Monthly_Profitability" ref="A14:E48" totalsRowShown="0" headerRowDxfId="6" dataDxfId="5">
  <autoFilter ref="A14:E48" xr:uid="{5A128B74-D47D-48F2-A3C5-115BB569BD05}"/>
  <tableColumns count="5">
    <tableColumn id="1" xr3:uid="{51BC4EBC-7837-4A02-98A2-CBD920391C64}" name="Month" dataDxfId="4"/>
    <tableColumn id="2" xr3:uid="{19E48245-2592-4E52-BB2B-607DDEAC88B4}" name="Sales" dataDxfId="3">
      <calculatedColumnFormula>SUMIFS(SALES_EDA!$B$2:$B$1001,SALES_EDA!$A$2:$A$1001,"&gt;="&amp;A15,SALES_EDA!$A$2:$A$1001,"&lt;"&amp;EDATE(A15,1))</calculatedColumnFormula>
    </tableColumn>
    <tableColumn id="3" xr3:uid="{57711507-AD9C-4F6E-BAAD-9346225640C8}" name="Gross Profit" dataDxfId="2">
      <calculatedColumnFormula>SUMIFS(SALES_EDA!$O$2:$O$1001,SALES_EDA!$A$2:$A$1001,"&gt;="&amp;A15,SALES_EDA!$A$2:$A$1001,"&lt;"&amp;EDATE(A15,1))</calculatedColumnFormula>
    </tableColumn>
    <tableColumn id="4" xr3:uid="{07E36E36-B4FB-489E-9C22-8F477BF4FAC8}" name="Gross Profit %" dataDxfId="1">
      <calculatedColumnFormula>IFERROR(C15/B15,0)</calculatedColumnFormula>
    </tableColumn>
    <tableColumn id="5" xr3:uid="{207737FD-7BB0-4E65-AFB7-79209F2345D7}" name="Gross Profit / Unit %" dataDxfId="0">
      <calculatedColumnFormula>AVERAGEIFS(SALES_EDA!$R$2:$R$1001,SALES_EDA!$A$2:$A$1001,"&gt;="&amp;A15,SALES_EDA!$A$2:$A$1001,"&lt;"&amp;EDATE(A15,1))</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3CE7F3-1138-4004-8309-01AAA2670476}" name="Promotion_Elasticity_Detail" displayName="Promotion_Elasticity_Detail" ref="A10:K13" totalsRowShown="0" headerRowDxfId="69" dataDxfId="68">
  <autoFilter ref="A10:K13" xr:uid="{093CE7F3-1138-4004-8309-01AAA2670476}"/>
  <tableColumns count="11">
    <tableColumn id="1" xr3:uid="{4AAAD9F1-ADF9-4815-9FE0-E614F9B28254}" name="Period" dataDxfId="67"/>
    <tableColumn id="2" xr3:uid="{9C6FCF65-A9AF-4852-9013-450464062ABC}" name="Start" dataDxfId="66"/>
    <tableColumn id="3" xr3:uid="{3CB50754-83FA-4972-8D5E-30FF6BE0DC55}" name="End" dataDxfId="65"/>
    <tableColumn id="4" xr3:uid="{9874F23E-EDEB-439B-9F29-105A5B127994}" name="Days" dataDxfId="64">
      <calculatedColumnFormula>C11-B11+1</calculatedColumnFormula>
    </tableColumn>
    <tableColumn id="5" xr3:uid="{9FCED6DA-463E-45FC-ABAA-40E0B4F0E173}" name="Promo Avg Price" dataDxfId="63">
      <calculatedColumnFormula>AVERAGEIFS(SALES_EDA!$M$2:$M$1001,SALES_EDA!$A$2:$A$1001,"&gt;="&amp;B11,SALES_EDA!$A$2:$A$1001,"&lt;"&amp;C11+1)</calculatedColumnFormula>
    </tableColumn>
    <tableColumn id="6" xr3:uid="{F7814379-1239-49C4-BCFD-C80B1B1A00DD}" name="Baseline Avg Price" dataDxfId="62">
      <calculatedColumnFormula>(SUMIFS(SALES_EDA!$M$2:$M$1001,SALES_EDA!$A$2:$A$1001,"&gt;="&amp;B11-14,SALES_EDA!$A$2:$A$1001,"&lt;"&amp;B11)+SUMIFS(SALES_EDA!$M$2:$M$1001,SALES_EDA!$A$2:$A$1001,"&gt;="&amp;C11+1,SALES_EDA!$A$2:$A$1001,"&lt;"&amp;C11+15))/(COUNTIFS(SALES_EDA!$A$2:$A$1001,"&gt;="&amp;B11-14,SALES_EDA!$A$2:$A$1001,"&lt;"&amp;B11)+COUNTIFS(SALES_EDA!$A$2:$A$1001,"&gt;="&amp;C11+1,SALES_EDA!$A$2:$A$1001,"&lt;"&amp;C11+15))</calculatedColumnFormula>
    </tableColumn>
    <tableColumn id="7" xr3:uid="{2D0B998F-3ABC-4E39-9053-B11A9389642D}" name="Price Change %" dataDxfId="61">
      <calculatedColumnFormula>E11/F11-1</calculatedColumnFormula>
    </tableColumn>
    <tableColumn id="8" xr3:uid="{872D36C1-8B67-42B7-A29E-629063717B15}" name="Promo Avg Units" dataDxfId="60">
      <calculatedColumnFormula>AVERAGEIFS(SALES_EDA!$D$2:$D$1001,SALES_EDA!$A$2:$A$1001,"&gt;="&amp;B11,SALES_EDA!$A$2:$A$1001,"&lt;"&amp;C11+1)</calculatedColumnFormula>
    </tableColumn>
    <tableColumn id="9" xr3:uid="{8183DEA7-53D7-483E-8053-EC363833600B}" name="Baseline Avg Units" dataDxfId="59">
      <calculatedColumnFormula>(SUMIFS(SALES_EDA!$D$2:$D$1001,SALES_EDA!$A$2:$A$1001,"&gt;="&amp;B11-14,SALES_EDA!$A$2:$A$1001,"&lt;"&amp;B11)+SUMIFS(SALES_EDA!$D$2:$D$1001,SALES_EDA!$A$2:$A$1001,"&gt;="&amp;C11+1,SALES_EDA!$A$2:$A$1001,"&lt;"&amp;C11+15))/(COUNTIFS(SALES_EDA!$A$2:$A$1001,"&gt;="&amp;B11-14,SALES_EDA!$A$2:$A$1001,"&lt;"&amp;B11)+COUNTIFS(SALES_EDA!$A$2:$A$1001,"&gt;="&amp;C11+1,SALES_EDA!$A$2:$A$1001,"&lt;"&amp;C11+15))</calculatedColumnFormula>
    </tableColumn>
    <tableColumn id="10" xr3:uid="{A20CC839-BF8B-4FC0-847C-770C0AC4E8C9}" name="Quantity Change %" dataDxfId="58">
      <calculatedColumnFormula>H11/I11-1</calculatedColumnFormula>
    </tableColumn>
    <tableColumn id="11" xr3:uid="{07549A36-9077-480E-BA24-0FE71A3E7B57}" name="Elasticity" dataDxfId="57">
      <calculatedColumnFormula>J11/G11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3B81-B753-4375-BDD2-DD5601A99A7B}">
  <dimension ref="A1:H10"/>
  <sheetViews>
    <sheetView workbookViewId="0">
      <selection sqref="A1:L1"/>
    </sheetView>
  </sheetViews>
  <sheetFormatPr defaultRowHeight="14.4" x14ac:dyDescent="0.3"/>
  <cols>
    <col min="1" max="1" width="37" customWidth="1"/>
    <col min="2" max="2" width="66.6640625" customWidth="1"/>
    <col min="3" max="8" width="15.88671875" customWidth="1"/>
  </cols>
  <sheetData>
    <row r="1" spans="1:8" ht="25.8" x14ac:dyDescent="0.5">
      <c r="A1" s="21" t="s">
        <v>67</v>
      </c>
      <c r="B1" s="21"/>
      <c r="C1" s="21"/>
      <c r="D1" s="21"/>
      <c r="E1" s="21"/>
      <c r="F1" s="21"/>
      <c r="G1" s="21"/>
      <c r="H1" s="21"/>
    </row>
    <row r="2" spans="1:8" x14ac:dyDescent="0.3">
      <c r="A2" s="18" t="s">
        <v>68</v>
      </c>
      <c r="B2" s="18"/>
      <c r="C2" s="18"/>
      <c r="D2" s="18"/>
      <c r="E2" s="18"/>
      <c r="F2" s="18"/>
      <c r="G2" s="18"/>
      <c r="H2" s="18"/>
    </row>
    <row r="3" spans="1:8" x14ac:dyDescent="0.3">
      <c r="A3" s="1"/>
      <c r="B3" s="1"/>
      <c r="C3" s="1"/>
      <c r="D3" s="1"/>
      <c r="E3" s="1"/>
      <c r="F3" s="1"/>
      <c r="G3" s="1"/>
      <c r="H3" s="1"/>
    </row>
    <row r="4" spans="1:8" x14ac:dyDescent="0.3">
      <c r="A4" s="1"/>
      <c r="B4" s="1"/>
      <c r="C4" s="1"/>
      <c r="D4" s="1"/>
      <c r="E4" s="1"/>
      <c r="F4" s="1"/>
      <c r="G4" s="1"/>
      <c r="H4" s="1"/>
    </row>
    <row r="5" spans="1:8" x14ac:dyDescent="0.3">
      <c r="A5" s="2" t="s">
        <v>69</v>
      </c>
      <c r="B5" s="2" t="s">
        <v>70</v>
      </c>
      <c r="C5" s="1"/>
      <c r="D5" s="1"/>
      <c r="E5" s="1"/>
      <c r="F5" s="1"/>
      <c r="G5" s="1"/>
      <c r="H5" s="1"/>
    </row>
    <row r="6" spans="1:8" ht="86.4" x14ac:dyDescent="0.3">
      <c r="A6" s="16" t="s">
        <v>71</v>
      </c>
      <c r="B6" s="4" t="s">
        <v>72</v>
      </c>
      <c r="C6" s="1"/>
      <c r="D6" s="1"/>
      <c r="E6" s="1"/>
      <c r="F6" s="1"/>
      <c r="G6" s="1"/>
      <c r="H6" s="1"/>
    </row>
    <row r="7" spans="1:8" ht="72" x14ac:dyDescent="0.3">
      <c r="A7" s="16" t="s">
        <v>73</v>
      </c>
      <c r="B7" s="4" t="s">
        <v>74</v>
      </c>
      <c r="C7" s="1"/>
      <c r="D7" s="1"/>
      <c r="E7" s="1"/>
      <c r="F7" s="1"/>
      <c r="G7" s="1"/>
      <c r="H7" s="1"/>
    </row>
    <row r="8" spans="1:8" ht="86.4" x14ac:dyDescent="0.3">
      <c r="A8" s="16" t="s">
        <v>75</v>
      </c>
      <c r="B8" s="4" t="s">
        <v>76</v>
      </c>
      <c r="C8" s="1"/>
      <c r="D8" s="1"/>
      <c r="E8" s="1"/>
      <c r="F8" s="1"/>
      <c r="G8" s="1"/>
      <c r="H8" s="1"/>
    </row>
    <row r="9" spans="1:8" ht="86.4" x14ac:dyDescent="0.3">
      <c r="A9" s="16" t="s">
        <v>77</v>
      </c>
      <c r="B9" s="4" t="s">
        <v>78</v>
      </c>
      <c r="C9" s="1"/>
      <c r="D9" s="1"/>
      <c r="E9" s="1"/>
      <c r="F9" s="1"/>
      <c r="G9" s="1"/>
      <c r="H9" s="1"/>
    </row>
    <row r="10" spans="1:8" x14ac:dyDescent="0.3">
      <c r="A10" s="16" t="s">
        <v>79</v>
      </c>
      <c r="B10" s="4" t="s">
        <v>80</v>
      </c>
      <c r="C10" s="1"/>
      <c r="D10" s="1"/>
      <c r="E10" s="1"/>
      <c r="F10" s="1"/>
      <c r="G10" s="1"/>
      <c r="H10" s="1"/>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81F08-7DF8-4C2F-8516-C6722D671FE3}">
  <dimension ref="A1:T1001"/>
  <sheetViews>
    <sheetView workbookViewId="0"/>
  </sheetViews>
  <sheetFormatPr defaultRowHeight="14.4" x14ac:dyDescent="0.3"/>
  <cols>
    <col min="1" max="1" width="15.33203125" bestFit="1" customWidth="1"/>
    <col min="2" max="3" width="19.77734375" bestFit="1" customWidth="1"/>
    <col min="4" max="4" width="14.44140625" bestFit="1" customWidth="1"/>
    <col min="5" max="5" width="6.77734375" bestFit="1" customWidth="1"/>
    <col min="6" max="6" width="15.88671875" bestFit="1" customWidth="1"/>
    <col min="7" max="7" width="14" bestFit="1" customWidth="1"/>
    <col min="8" max="8" width="12.88671875" bestFit="1" customWidth="1"/>
    <col min="9" max="9" width="14.6640625" bestFit="1" customWidth="1"/>
    <col min="10" max="10" width="13.6640625" bestFit="1" customWidth="1"/>
    <col min="11" max="11" width="11.6640625" bestFit="1" customWidth="1"/>
    <col min="12" max="12" width="10.6640625" bestFit="1" customWidth="1"/>
    <col min="13" max="13" width="15.109375" bestFit="1" customWidth="1"/>
    <col min="14" max="14" width="14.33203125" bestFit="1" customWidth="1"/>
    <col min="15" max="15" width="12.88671875" bestFit="1" customWidth="1"/>
    <col min="16" max="16" width="20.33203125" bestFit="1" customWidth="1"/>
    <col min="17" max="17" width="20.6640625" bestFit="1" customWidth="1"/>
    <col min="18" max="18" width="28.109375" bestFit="1" customWidth="1"/>
    <col min="19" max="19" width="24.21875" bestFit="1" customWidth="1"/>
    <col min="20" max="20" width="21"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5">
        <v>41638.083333333336</v>
      </c>
      <c r="B2" s="14">
        <v>223937.967869727</v>
      </c>
      <c r="C2" s="14">
        <v>230079.62101244801</v>
      </c>
      <c r="D2" s="6">
        <v>6827</v>
      </c>
      <c r="E2" s="1">
        <v>2013</v>
      </c>
      <c r="F2" s="1">
        <v>12</v>
      </c>
      <c r="G2" s="1" t="s">
        <v>20</v>
      </c>
      <c r="H2" s="12">
        <v>41609</v>
      </c>
      <c r="I2" s="1">
        <v>30</v>
      </c>
      <c r="J2" s="1">
        <v>2</v>
      </c>
      <c r="K2" s="1" t="s">
        <v>21</v>
      </c>
      <c r="L2" s="1" t="s">
        <v>22</v>
      </c>
      <c r="M2" s="15">
        <f>IFERROR(B2/D2,0)</f>
        <v>32.801811611209459</v>
      </c>
      <c r="N2" s="15">
        <f>IFERROR(C2/D2,0)</f>
        <v>33.701423906906108</v>
      </c>
      <c r="O2" s="14">
        <f>B2-C2</f>
        <v>-6141.6531427210139</v>
      </c>
      <c r="P2" s="13">
        <f>IFERROR(O2/B2,0)</f>
        <v>-2.7425689360072433E-2</v>
      </c>
      <c r="Q2" s="15">
        <f>M2-N2</f>
        <v>-0.8996122956966488</v>
      </c>
      <c r="R2" s="13">
        <f>IFERROR(Q2/M2,0)</f>
        <v>-2.7425689360072468E-2</v>
      </c>
      <c r="S2" s="15">
        <f>IFERROR(SUM($B$2:$B$1001)/SUM($D$2:$D$1001),0)</f>
        <v>35.267973231772061</v>
      </c>
      <c r="T2" s="15">
        <f>AVERAGEIFS($M$2:$M$1001,$A$2:$A$1001,"&gt;="&amp;A2-29,$A$2:$A$1001,"&lt;="&amp;A2)</f>
        <v>32.801811611209459</v>
      </c>
    </row>
    <row r="3" spans="1:20" x14ac:dyDescent="0.3">
      <c r="A3" s="5">
        <v>41639.083333333336</v>
      </c>
      <c r="B3" s="14">
        <v>300345.48456398601</v>
      </c>
      <c r="C3" s="14">
        <v>306986.12048428302</v>
      </c>
      <c r="D3" s="6">
        <v>9268</v>
      </c>
      <c r="E3" s="1">
        <v>2013</v>
      </c>
      <c r="F3" s="1">
        <v>12</v>
      </c>
      <c r="G3" s="1" t="s">
        <v>20</v>
      </c>
      <c r="H3" s="12">
        <v>41609</v>
      </c>
      <c r="I3" s="1">
        <v>31</v>
      </c>
      <c r="J3" s="1">
        <v>3</v>
      </c>
      <c r="K3" s="1" t="s">
        <v>23</v>
      </c>
      <c r="L3" s="1" t="s">
        <v>22</v>
      </c>
      <c r="M3" s="15">
        <f t="shared" ref="M3:M66" si="0">IFERROR(B3/D3,0)</f>
        <v>32.406720388863405</v>
      </c>
      <c r="N3" s="15">
        <f t="shared" ref="N3:N66" si="1">IFERROR(C3/D3,0)</f>
        <v>33.123232680652031</v>
      </c>
      <c r="O3" s="14">
        <f t="shared" ref="O3:O66" si="2">B3-C3</f>
        <v>-6640.6359202970052</v>
      </c>
      <c r="P3" s="13">
        <f t="shared" ref="P3:P66" si="3">IFERROR(O3/B3,0)</f>
        <v>-2.2109990865809986E-2</v>
      </c>
      <c r="Q3" s="15">
        <f t="shared" ref="Q3:Q66" si="4">M3-N3</f>
        <v>-0.71651229178862508</v>
      </c>
      <c r="R3" s="13">
        <f t="shared" ref="R3:R66" si="5">IFERROR(Q3/M3,0)</f>
        <v>-2.2109990865809892E-2</v>
      </c>
      <c r="S3" s="15">
        <f t="shared" ref="S3:S66" si="6">IFERROR(SUM($B$2:$B$1001)/SUM($D$2:$D$1001),0)</f>
        <v>35.267973231772061</v>
      </c>
      <c r="T3" s="15">
        <f t="shared" ref="T3:T66" si="7">AVERAGEIFS($M$2:$M$1001,$A$2:$A$1001,"&gt;="&amp;A3-29,$A$2:$A$1001,"&lt;="&amp;A3)</f>
        <v>32.604266000036432</v>
      </c>
    </row>
    <row r="4" spans="1:20" x14ac:dyDescent="0.3">
      <c r="A4" s="5">
        <v>41640.083333333336</v>
      </c>
      <c r="B4" s="14">
        <v>86782.467727417796</v>
      </c>
      <c r="C4" s="14">
        <v>87986.318214449901</v>
      </c>
      <c r="D4" s="6">
        <v>2678</v>
      </c>
      <c r="E4" s="1">
        <v>2014</v>
      </c>
      <c r="F4" s="1">
        <v>1</v>
      </c>
      <c r="G4" s="1" t="s">
        <v>24</v>
      </c>
      <c r="H4" s="12">
        <v>41640</v>
      </c>
      <c r="I4" s="1">
        <v>1</v>
      </c>
      <c r="J4" s="1">
        <v>4</v>
      </c>
      <c r="K4" s="1" t="s">
        <v>25</v>
      </c>
      <c r="L4" s="1" t="s">
        <v>22</v>
      </c>
      <c r="M4" s="15">
        <f t="shared" si="0"/>
        <v>32.405701167818442</v>
      </c>
      <c r="N4" s="15">
        <f t="shared" si="1"/>
        <v>32.855234583439099</v>
      </c>
      <c r="O4" s="14">
        <f t="shared" si="2"/>
        <v>-1203.8504870321049</v>
      </c>
      <c r="P4" s="13">
        <f t="shared" si="3"/>
        <v>-1.3872047183693578E-2</v>
      </c>
      <c r="Q4" s="15">
        <f t="shared" si="4"/>
        <v>-0.44953341562065674</v>
      </c>
      <c r="R4" s="13">
        <f t="shared" si="5"/>
        <v>-1.3872047183693739E-2</v>
      </c>
      <c r="S4" s="15">
        <f t="shared" si="6"/>
        <v>35.267973231772061</v>
      </c>
      <c r="T4" s="15">
        <f t="shared" si="7"/>
        <v>32.53807772263044</v>
      </c>
    </row>
    <row r="5" spans="1:20" x14ac:dyDescent="0.3">
      <c r="A5" s="5">
        <v>41641.083333333336</v>
      </c>
      <c r="B5" s="14">
        <v>200173.11675267699</v>
      </c>
      <c r="C5" s="14">
        <v>202881.17770623299</v>
      </c>
      <c r="D5" s="6">
        <v>6175</v>
      </c>
      <c r="E5" s="1">
        <v>2014</v>
      </c>
      <c r="F5" s="1">
        <v>1</v>
      </c>
      <c r="G5" s="1" t="s">
        <v>24</v>
      </c>
      <c r="H5" s="12">
        <v>41640</v>
      </c>
      <c r="I5" s="1">
        <v>2</v>
      </c>
      <c r="J5" s="1">
        <v>5</v>
      </c>
      <c r="K5" s="1" t="s">
        <v>26</v>
      </c>
      <c r="L5" s="1" t="s">
        <v>22</v>
      </c>
      <c r="M5" s="15">
        <f t="shared" si="0"/>
        <v>32.41669906925943</v>
      </c>
      <c r="N5" s="15">
        <f t="shared" si="1"/>
        <v>32.855251450402108</v>
      </c>
      <c r="O5" s="14">
        <f t="shared" si="2"/>
        <v>-2708.060953556007</v>
      </c>
      <c r="P5" s="13">
        <f t="shared" si="3"/>
        <v>-1.3528594635921765E-2</v>
      </c>
      <c r="Q5" s="15">
        <f t="shared" si="4"/>
        <v>-0.43855238114267792</v>
      </c>
      <c r="R5" s="13">
        <f t="shared" si="5"/>
        <v>-1.352859463592191E-2</v>
      </c>
      <c r="S5" s="15">
        <f t="shared" si="6"/>
        <v>35.267973231772061</v>
      </c>
      <c r="T5" s="15">
        <f t="shared" si="7"/>
        <v>32.507733059287688</v>
      </c>
    </row>
    <row r="6" spans="1:20" x14ac:dyDescent="0.3">
      <c r="A6" s="5">
        <v>41642.083333333336</v>
      </c>
      <c r="B6" s="14">
        <v>326906.07417633099</v>
      </c>
      <c r="C6" s="14">
        <v>333806.29187335499</v>
      </c>
      <c r="D6" s="6">
        <v>10084</v>
      </c>
      <c r="E6" s="1">
        <v>2014</v>
      </c>
      <c r="F6" s="1">
        <v>1</v>
      </c>
      <c r="G6" s="1" t="s">
        <v>24</v>
      </c>
      <c r="H6" s="12">
        <v>41640</v>
      </c>
      <c r="I6" s="1">
        <v>3</v>
      </c>
      <c r="J6" s="1">
        <v>6</v>
      </c>
      <c r="K6" s="1" t="s">
        <v>27</v>
      </c>
      <c r="L6" s="1" t="s">
        <v>22</v>
      </c>
      <c r="M6" s="15">
        <f t="shared" si="0"/>
        <v>32.418293750131987</v>
      </c>
      <c r="N6" s="15">
        <f t="shared" si="1"/>
        <v>33.102567619333101</v>
      </c>
      <c r="O6" s="14">
        <f t="shared" si="2"/>
        <v>-6900.2176970239962</v>
      </c>
      <c r="P6" s="13">
        <f t="shared" si="3"/>
        <v>-2.1107646024656194E-2</v>
      </c>
      <c r="Q6" s="15">
        <f t="shared" si="4"/>
        <v>-0.68427386920111388</v>
      </c>
      <c r="R6" s="13">
        <f t="shared" si="5"/>
        <v>-2.1107646024656309E-2</v>
      </c>
      <c r="S6" s="15">
        <f t="shared" si="6"/>
        <v>35.267973231772061</v>
      </c>
      <c r="T6" s="15">
        <f t="shared" si="7"/>
        <v>32.489845197456546</v>
      </c>
    </row>
    <row r="7" spans="1:20" x14ac:dyDescent="0.3">
      <c r="A7" s="5">
        <v>41643.083333333336</v>
      </c>
      <c r="B7" s="14">
        <v>307043.935422162</v>
      </c>
      <c r="C7" s="14">
        <v>313652.348272364</v>
      </c>
      <c r="D7" s="6">
        <v>9470</v>
      </c>
      <c r="E7" s="1">
        <v>2014</v>
      </c>
      <c r="F7" s="1">
        <v>1</v>
      </c>
      <c r="G7" s="1" t="s">
        <v>24</v>
      </c>
      <c r="H7" s="12">
        <v>41640</v>
      </c>
      <c r="I7" s="1">
        <v>4</v>
      </c>
      <c r="J7" s="1">
        <v>7</v>
      </c>
      <c r="K7" s="1" t="s">
        <v>28</v>
      </c>
      <c r="L7" s="1" t="s">
        <v>22</v>
      </c>
      <c r="M7" s="15">
        <f t="shared" si="0"/>
        <v>32.422802050914676</v>
      </c>
      <c r="N7" s="15">
        <f t="shared" si="1"/>
        <v>33.120628117461877</v>
      </c>
      <c r="O7" s="14">
        <f t="shared" si="2"/>
        <v>-6608.412850202003</v>
      </c>
      <c r="P7" s="13">
        <f t="shared" si="3"/>
        <v>-2.152269459781363E-2</v>
      </c>
      <c r="Q7" s="15">
        <f t="shared" si="4"/>
        <v>-0.6978260665472007</v>
      </c>
      <c r="R7" s="13">
        <f t="shared" si="5"/>
        <v>-2.1522694597813589E-2</v>
      </c>
      <c r="S7" s="15">
        <f t="shared" si="6"/>
        <v>35.267973231772061</v>
      </c>
      <c r="T7" s="15">
        <f t="shared" si="7"/>
        <v>32.478671339699567</v>
      </c>
    </row>
    <row r="8" spans="1:20" x14ac:dyDescent="0.3">
      <c r="A8" s="5">
        <v>41644.083333333336</v>
      </c>
      <c r="B8" s="14">
        <v>179188.88448780999</v>
      </c>
      <c r="C8" s="14">
        <v>183083.28498402701</v>
      </c>
      <c r="D8" s="6">
        <v>5524</v>
      </c>
      <c r="E8" s="1">
        <v>2014</v>
      </c>
      <c r="F8" s="1">
        <v>1</v>
      </c>
      <c r="G8" s="1" t="s">
        <v>24</v>
      </c>
      <c r="H8" s="12">
        <v>41640</v>
      </c>
      <c r="I8" s="1">
        <v>5</v>
      </c>
      <c r="J8" s="1">
        <v>1</v>
      </c>
      <c r="K8" s="1" t="s">
        <v>29</v>
      </c>
      <c r="L8" s="1" t="s">
        <v>22</v>
      </c>
      <c r="M8" s="15">
        <f t="shared" si="0"/>
        <v>32.43824845905322</v>
      </c>
      <c r="N8" s="15">
        <f t="shared" si="1"/>
        <v>33.143244928317706</v>
      </c>
      <c r="O8" s="14">
        <f t="shared" si="2"/>
        <v>-3894.4004962170147</v>
      </c>
      <c r="P8" s="13">
        <f t="shared" si="3"/>
        <v>-2.1733493722831596E-2</v>
      </c>
      <c r="Q8" s="15">
        <f t="shared" si="4"/>
        <v>-0.70499646926448634</v>
      </c>
      <c r="R8" s="13">
        <f t="shared" si="5"/>
        <v>-2.1733493722831641E-2</v>
      </c>
      <c r="S8" s="15">
        <f t="shared" si="6"/>
        <v>35.267973231772061</v>
      </c>
      <c r="T8" s="15">
        <f t="shared" si="7"/>
        <v>32.472896642464377</v>
      </c>
    </row>
    <row r="9" spans="1:20" x14ac:dyDescent="0.3">
      <c r="A9" s="5">
        <v>41645.083333333336</v>
      </c>
      <c r="B9" s="14">
        <v>306351.950858992</v>
      </c>
      <c r="C9" s="14">
        <v>313446.06814884301</v>
      </c>
      <c r="D9" s="6">
        <v>9448</v>
      </c>
      <c r="E9" s="1">
        <v>2014</v>
      </c>
      <c r="F9" s="1">
        <v>1</v>
      </c>
      <c r="G9" s="1" t="s">
        <v>24</v>
      </c>
      <c r="H9" s="12">
        <v>41640</v>
      </c>
      <c r="I9" s="1">
        <v>6</v>
      </c>
      <c r="J9" s="1">
        <v>2</v>
      </c>
      <c r="K9" s="1" t="s">
        <v>21</v>
      </c>
      <c r="L9" s="1" t="s">
        <v>22</v>
      </c>
      <c r="M9" s="15">
        <f t="shared" si="0"/>
        <v>32.425058304296357</v>
      </c>
      <c r="N9" s="15">
        <f t="shared" si="1"/>
        <v>33.175917458598967</v>
      </c>
      <c r="O9" s="14">
        <f t="shared" si="2"/>
        <v>-7094.1172898510122</v>
      </c>
      <c r="P9" s="13">
        <f t="shared" si="3"/>
        <v>-2.315675571825002E-2</v>
      </c>
      <c r="Q9" s="15">
        <f t="shared" si="4"/>
        <v>-0.75085915430260997</v>
      </c>
      <c r="R9" s="13">
        <f t="shared" si="5"/>
        <v>-2.3156755718250176E-2</v>
      </c>
      <c r="S9" s="15">
        <f t="shared" si="6"/>
        <v>35.267973231772061</v>
      </c>
      <c r="T9" s="15">
        <f t="shared" si="7"/>
        <v>32.466916850193371</v>
      </c>
    </row>
    <row r="10" spans="1:20" x14ac:dyDescent="0.3">
      <c r="A10" s="5">
        <v>41646.083333333336</v>
      </c>
      <c r="B10" s="14">
        <v>224020.40996847799</v>
      </c>
      <c r="C10" s="14">
        <v>229533.97372837999</v>
      </c>
      <c r="D10" s="6">
        <v>6911</v>
      </c>
      <c r="E10" s="1">
        <v>2014</v>
      </c>
      <c r="F10" s="1">
        <v>1</v>
      </c>
      <c r="G10" s="1" t="s">
        <v>24</v>
      </c>
      <c r="H10" s="12">
        <v>41640</v>
      </c>
      <c r="I10" s="1">
        <v>7</v>
      </c>
      <c r="J10" s="1">
        <v>3</v>
      </c>
      <c r="K10" s="1" t="s">
        <v>23</v>
      </c>
      <c r="L10" s="1" t="s">
        <v>22</v>
      </c>
      <c r="M10" s="15">
        <f t="shared" si="0"/>
        <v>32.41504991585559</v>
      </c>
      <c r="N10" s="15">
        <f t="shared" si="1"/>
        <v>33.212845279754013</v>
      </c>
      <c r="O10" s="14">
        <f t="shared" si="2"/>
        <v>-5513.5637599019974</v>
      </c>
      <c r="P10" s="13">
        <f t="shared" si="3"/>
        <v>-2.4611881393654327E-2</v>
      </c>
      <c r="Q10" s="15">
        <f t="shared" si="4"/>
        <v>-0.7977953638984232</v>
      </c>
      <c r="R10" s="13">
        <f t="shared" si="5"/>
        <v>-2.4611881393654351E-2</v>
      </c>
      <c r="S10" s="15">
        <f t="shared" si="6"/>
        <v>35.267973231772061</v>
      </c>
      <c r="T10" s="15">
        <f t="shared" si="7"/>
        <v>32.461153857489172</v>
      </c>
    </row>
    <row r="11" spans="1:20" x14ac:dyDescent="0.3">
      <c r="A11" s="5">
        <v>41647.083333333336</v>
      </c>
      <c r="B11" s="14">
        <v>101836.402236237</v>
      </c>
      <c r="C11" s="14">
        <v>99381.967517224897</v>
      </c>
      <c r="D11" s="6">
        <v>2990</v>
      </c>
      <c r="E11" s="1">
        <v>2014</v>
      </c>
      <c r="F11" s="1">
        <v>1</v>
      </c>
      <c r="G11" s="1" t="s">
        <v>24</v>
      </c>
      <c r="H11" s="12">
        <v>41640</v>
      </c>
      <c r="I11" s="1">
        <v>8</v>
      </c>
      <c r="J11" s="1">
        <v>4</v>
      </c>
      <c r="K11" s="1" t="s">
        <v>25</v>
      </c>
      <c r="L11" s="1" t="s">
        <v>22</v>
      </c>
      <c r="M11" s="15">
        <f t="shared" si="0"/>
        <v>34.058997403423746</v>
      </c>
      <c r="N11" s="15">
        <f t="shared" si="1"/>
        <v>33.238116226496622</v>
      </c>
      <c r="O11" s="14">
        <f t="shared" si="2"/>
        <v>2454.4347190121043</v>
      </c>
      <c r="P11" s="13">
        <f t="shared" si="3"/>
        <v>2.4101742256353292E-2</v>
      </c>
      <c r="Q11" s="15">
        <f t="shared" si="4"/>
        <v>0.82088117692712359</v>
      </c>
      <c r="R11" s="13">
        <f t="shared" si="5"/>
        <v>2.4101742256353247E-2</v>
      </c>
      <c r="S11" s="15">
        <f t="shared" si="6"/>
        <v>35.267973231772061</v>
      </c>
      <c r="T11" s="15">
        <f t="shared" si="7"/>
        <v>32.620938212082635</v>
      </c>
    </row>
    <row r="12" spans="1:20" x14ac:dyDescent="0.3">
      <c r="A12" s="5">
        <v>41648.083333333336</v>
      </c>
      <c r="B12" s="14">
        <v>107804.304947232</v>
      </c>
      <c r="C12" s="14">
        <v>104816.458512553</v>
      </c>
      <c r="D12" s="6">
        <v>3159</v>
      </c>
      <c r="E12" s="1">
        <v>2014</v>
      </c>
      <c r="F12" s="1">
        <v>1</v>
      </c>
      <c r="G12" s="1" t="s">
        <v>24</v>
      </c>
      <c r="H12" s="12">
        <v>41640</v>
      </c>
      <c r="I12" s="1">
        <v>9</v>
      </c>
      <c r="J12" s="1">
        <v>5</v>
      </c>
      <c r="K12" s="1" t="s">
        <v>26</v>
      </c>
      <c r="L12" s="1" t="s">
        <v>22</v>
      </c>
      <c r="M12" s="15">
        <f t="shared" si="0"/>
        <v>34.126085769937319</v>
      </c>
      <c r="N12" s="15">
        <f t="shared" si="1"/>
        <v>33.180265436072489</v>
      </c>
      <c r="O12" s="14">
        <f t="shared" si="2"/>
        <v>2987.8464346789988</v>
      </c>
      <c r="P12" s="13">
        <f t="shared" si="3"/>
        <v>2.7715464944943417E-2</v>
      </c>
      <c r="Q12" s="15">
        <f t="shared" si="4"/>
        <v>0.94582033386483033</v>
      </c>
      <c r="R12" s="13">
        <f t="shared" si="5"/>
        <v>2.7715464944943421E-2</v>
      </c>
      <c r="S12" s="15">
        <f t="shared" si="6"/>
        <v>35.267973231772061</v>
      </c>
      <c r="T12" s="15">
        <f t="shared" si="7"/>
        <v>32.75776980825124</v>
      </c>
    </row>
    <row r="13" spans="1:20" x14ac:dyDescent="0.3">
      <c r="A13" s="5">
        <v>41649.083333333336</v>
      </c>
      <c r="B13" s="14">
        <v>144829.95672392999</v>
      </c>
      <c r="C13" s="14">
        <v>141333.996283493</v>
      </c>
      <c r="D13" s="6">
        <v>4246</v>
      </c>
      <c r="E13" s="1">
        <v>2014</v>
      </c>
      <c r="F13" s="1">
        <v>1</v>
      </c>
      <c r="G13" s="1" t="s">
        <v>24</v>
      </c>
      <c r="H13" s="12">
        <v>41640</v>
      </c>
      <c r="I13" s="1">
        <v>10</v>
      </c>
      <c r="J13" s="1">
        <v>6</v>
      </c>
      <c r="K13" s="1" t="s">
        <v>27</v>
      </c>
      <c r="L13" s="1" t="s">
        <v>22</v>
      </c>
      <c r="M13" s="15">
        <f t="shared" si="0"/>
        <v>34.109740161076303</v>
      </c>
      <c r="N13" s="15">
        <f t="shared" si="1"/>
        <v>33.286386312645547</v>
      </c>
      <c r="O13" s="14">
        <f t="shared" si="2"/>
        <v>3495.9604404369893</v>
      </c>
      <c r="P13" s="13">
        <f t="shared" si="3"/>
        <v>2.413837937617334E-2</v>
      </c>
      <c r="Q13" s="15">
        <f t="shared" si="4"/>
        <v>0.82335384843075587</v>
      </c>
      <c r="R13" s="13">
        <f t="shared" si="5"/>
        <v>2.4138379376173344E-2</v>
      </c>
      <c r="S13" s="15">
        <f t="shared" si="6"/>
        <v>35.267973231772061</v>
      </c>
      <c r="T13" s="15">
        <f t="shared" si="7"/>
        <v>32.870434004319996</v>
      </c>
    </row>
    <row r="14" spans="1:20" x14ac:dyDescent="0.3">
      <c r="A14" s="5">
        <v>41650.083333333336</v>
      </c>
      <c r="B14" s="14">
        <v>146571.48235323999</v>
      </c>
      <c r="C14" s="14">
        <v>143179.669988393</v>
      </c>
      <c r="D14" s="6">
        <v>4297</v>
      </c>
      <c r="E14" s="1">
        <v>2014</v>
      </c>
      <c r="F14" s="1">
        <v>1</v>
      </c>
      <c r="G14" s="1" t="s">
        <v>24</v>
      </c>
      <c r="H14" s="12">
        <v>41640</v>
      </c>
      <c r="I14" s="1">
        <v>11</v>
      </c>
      <c r="J14" s="1">
        <v>7</v>
      </c>
      <c r="K14" s="1" t="s">
        <v>28</v>
      </c>
      <c r="L14" s="1" t="s">
        <v>22</v>
      </c>
      <c r="M14" s="15">
        <f t="shared" si="0"/>
        <v>34.110189051254359</v>
      </c>
      <c r="N14" s="15">
        <f t="shared" si="1"/>
        <v>33.320844772723525</v>
      </c>
      <c r="O14" s="14">
        <f t="shared" si="2"/>
        <v>3391.8123648469918</v>
      </c>
      <c r="P14" s="13">
        <f t="shared" si="3"/>
        <v>2.3141011541881397E-2</v>
      </c>
      <c r="Q14" s="15">
        <f t="shared" si="4"/>
        <v>0.78934427853083378</v>
      </c>
      <c r="R14" s="13">
        <f t="shared" si="5"/>
        <v>2.3141011541881404E-2</v>
      </c>
      <c r="S14" s="15">
        <f t="shared" si="6"/>
        <v>35.267973231772061</v>
      </c>
      <c r="T14" s="15">
        <f t="shared" si="7"/>
        <v>32.965799777161095</v>
      </c>
    </row>
    <row r="15" spans="1:20" x14ac:dyDescent="0.3">
      <c r="A15" s="5">
        <v>41651.083333333336</v>
      </c>
      <c r="B15" s="14">
        <v>95422.3729783171</v>
      </c>
      <c r="C15" s="14">
        <v>93126.1472383441</v>
      </c>
      <c r="D15" s="6">
        <v>2796</v>
      </c>
      <c r="E15" s="1">
        <v>2014</v>
      </c>
      <c r="F15" s="1">
        <v>1</v>
      </c>
      <c r="G15" s="1" t="s">
        <v>24</v>
      </c>
      <c r="H15" s="12">
        <v>41640</v>
      </c>
      <c r="I15" s="1">
        <v>12</v>
      </c>
      <c r="J15" s="1">
        <v>1</v>
      </c>
      <c r="K15" s="1" t="s">
        <v>29</v>
      </c>
      <c r="L15" s="1" t="s">
        <v>22</v>
      </c>
      <c r="M15" s="15">
        <f t="shared" si="0"/>
        <v>34.128173454333727</v>
      </c>
      <c r="N15" s="15">
        <f t="shared" si="1"/>
        <v>33.306919613141666</v>
      </c>
      <c r="O15" s="14">
        <f t="shared" si="2"/>
        <v>2296.2257399730006</v>
      </c>
      <c r="P15" s="13">
        <f t="shared" si="3"/>
        <v>2.4063808814467166E-2</v>
      </c>
      <c r="Q15" s="15">
        <f t="shared" si="4"/>
        <v>0.82125384119206046</v>
      </c>
      <c r="R15" s="13">
        <f t="shared" si="5"/>
        <v>2.406380881446717E-2</v>
      </c>
      <c r="S15" s="15">
        <f t="shared" si="6"/>
        <v>35.267973231772061</v>
      </c>
      <c r="T15" s="15">
        <f t="shared" si="7"/>
        <v>33.048826468387709</v>
      </c>
    </row>
    <row r="16" spans="1:20" x14ac:dyDescent="0.3">
      <c r="A16" s="5">
        <v>41652.083333333336</v>
      </c>
      <c r="B16" s="14">
        <v>114883.173791156</v>
      </c>
      <c r="C16" s="14">
        <v>112186.308663053</v>
      </c>
      <c r="D16" s="6">
        <v>3369</v>
      </c>
      <c r="E16" s="1">
        <v>2014</v>
      </c>
      <c r="F16" s="1">
        <v>1</v>
      </c>
      <c r="G16" s="1" t="s">
        <v>24</v>
      </c>
      <c r="H16" s="12">
        <v>41640</v>
      </c>
      <c r="I16" s="1">
        <v>13</v>
      </c>
      <c r="J16" s="1">
        <v>2</v>
      </c>
      <c r="K16" s="1" t="s">
        <v>21</v>
      </c>
      <c r="L16" s="1" t="s">
        <v>22</v>
      </c>
      <c r="M16" s="15">
        <f t="shared" si="0"/>
        <v>34.10008126778154</v>
      </c>
      <c r="N16" s="15">
        <f t="shared" si="1"/>
        <v>33.299587017825168</v>
      </c>
      <c r="O16" s="14">
        <f t="shared" si="2"/>
        <v>2696.8651281030034</v>
      </c>
      <c r="P16" s="13">
        <f t="shared" si="3"/>
        <v>2.3474848745087637E-2</v>
      </c>
      <c r="Q16" s="15">
        <f t="shared" si="4"/>
        <v>0.80049424995637253</v>
      </c>
      <c r="R16" s="13">
        <f t="shared" si="5"/>
        <v>2.3474848745087772E-2</v>
      </c>
      <c r="S16" s="15">
        <f t="shared" si="6"/>
        <v>35.267973231772061</v>
      </c>
      <c r="T16" s="15">
        <f t="shared" si="7"/>
        <v>33.118910121680635</v>
      </c>
    </row>
    <row r="17" spans="1:20" x14ac:dyDescent="0.3">
      <c r="A17" s="5">
        <v>41653.083333333336</v>
      </c>
      <c r="B17" s="14">
        <v>80090.800079892695</v>
      </c>
      <c r="C17" s="14">
        <v>78096.760182251106</v>
      </c>
      <c r="D17" s="6">
        <v>2348</v>
      </c>
      <c r="E17" s="1">
        <v>2014</v>
      </c>
      <c r="F17" s="1">
        <v>1</v>
      </c>
      <c r="G17" s="1" t="s">
        <v>24</v>
      </c>
      <c r="H17" s="12">
        <v>41640</v>
      </c>
      <c r="I17" s="1">
        <v>14</v>
      </c>
      <c r="J17" s="1">
        <v>3</v>
      </c>
      <c r="K17" s="1" t="s">
        <v>23</v>
      </c>
      <c r="L17" s="1" t="s">
        <v>22</v>
      </c>
      <c r="M17" s="15">
        <f t="shared" si="0"/>
        <v>34.110221499102508</v>
      </c>
      <c r="N17" s="15">
        <f t="shared" si="1"/>
        <v>33.260971116802004</v>
      </c>
      <c r="O17" s="14">
        <f t="shared" si="2"/>
        <v>1994.0398976415891</v>
      </c>
      <c r="P17" s="13">
        <f t="shared" si="3"/>
        <v>2.489724032788387E-2</v>
      </c>
      <c r="Q17" s="15">
        <f t="shared" si="4"/>
        <v>0.84925038230050376</v>
      </c>
      <c r="R17" s="13">
        <f t="shared" si="5"/>
        <v>2.4897240327883794E-2</v>
      </c>
      <c r="S17" s="15">
        <f t="shared" si="6"/>
        <v>35.267973231772061</v>
      </c>
      <c r="T17" s="15">
        <f t="shared" si="7"/>
        <v>33.180867082769502</v>
      </c>
    </row>
    <row r="18" spans="1:20" x14ac:dyDescent="0.3">
      <c r="A18" s="5">
        <v>41654.083333333336</v>
      </c>
      <c r="B18" s="14">
        <v>98945.371159077797</v>
      </c>
      <c r="C18" s="14">
        <v>97159.002586870003</v>
      </c>
      <c r="D18" s="6">
        <v>2903</v>
      </c>
      <c r="E18" s="1">
        <v>2014</v>
      </c>
      <c r="F18" s="1">
        <v>1</v>
      </c>
      <c r="G18" s="1" t="s">
        <v>24</v>
      </c>
      <c r="H18" s="12">
        <v>41640</v>
      </c>
      <c r="I18" s="1">
        <v>15</v>
      </c>
      <c r="J18" s="1">
        <v>4</v>
      </c>
      <c r="K18" s="1" t="s">
        <v>25</v>
      </c>
      <c r="L18" s="1" t="s">
        <v>22</v>
      </c>
      <c r="M18" s="15">
        <f t="shared" si="0"/>
        <v>34.083834364132898</v>
      </c>
      <c r="N18" s="15">
        <f t="shared" si="1"/>
        <v>33.468481772948678</v>
      </c>
      <c r="O18" s="14">
        <f t="shared" si="2"/>
        <v>1786.3685722077935</v>
      </c>
      <c r="P18" s="13">
        <f t="shared" si="3"/>
        <v>1.8054089355385699E-2</v>
      </c>
      <c r="Q18" s="15">
        <f t="shared" si="4"/>
        <v>0.61535259118421948</v>
      </c>
      <c r="R18" s="13">
        <f t="shared" si="5"/>
        <v>1.8054089355385654E-2</v>
      </c>
      <c r="S18" s="15">
        <f t="shared" si="6"/>
        <v>35.267973231772061</v>
      </c>
      <c r="T18" s="15">
        <f t="shared" si="7"/>
        <v>33.233982805202643</v>
      </c>
    </row>
    <row r="19" spans="1:20" x14ac:dyDescent="0.3">
      <c r="A19" s="5">
        <v>41655.083333333336</v>
      </c>
      <c r="B19" s="14">
        <v>84904.901714107793</v>
      </c>
      <c r="C19" s="14">
        <v>83350.433158824599</v>
      </c>
      <c r="D19" s="6">
        <v>2491</v>
      </c>
      <c r="E19" s="1">
        <v>2014</v>
      </c>
      <c r="F19" s="1">
        <v>1</v>
      </c>
      <c r="G19" s="1" t="s">
        <v>24</v>
      </c>
      <c r="H19" s="12">
        <v>41640</v>
      </c>
      <c r="I19" s="1">
        <v>16</v>
      </c>
      <c r="J19" s="1">
        <v>5</v>
      </c>
      <c r="K19" s="1" t="s">
        <v>26</v>
      </c>
      <c r="L19" s="1" t="s">
        <v>22</v>
      </c>
      <c r="M19" s="15">
        <f t="shared" si="0"/>
        <v>34.084665481376071</v>
      </c>
      <c r="N19" s="15">
        <f t="shared" si="1"/>
        <v>33.460631537063264</v>
      </c>
      <c r="O19" s="14">
        <f t="shared" si="2"/>
        <v>1554.4685552831943</v>
      </c>
      <c r="P19" s="13">
        <f t="shared" si="3"/>
        <v>1.8308348798487611E-2</v>
      </c>
      <c r="Q19" s="15">
        <f t="shared" si="4"/>
        <v>0.62403394431280645</v>
      </c>
      <c r="R19" s="13">
        <f t="shared" si="5"/>
        <v>1.8308348798487691E-2</v>
      </c>
      <c r="S19" s="15">
        <f t="shared" si="6"/>
        <v>35.267973231772061</v>
      </c>
      <c r="T19" s="15">
        <f t="shared" si="7"/>
        <v>33.281242953878944</v>
      </c>
    </row>
    <row r="20" spans="1:20" x14ac:dyDescent="0.3">
      <c r="A20" s="5">
        <v>41656.083333333336</v>
      </c>
      <c r="B20" s="14">
        <v>135460.61970398499</v>
      </c>
      <c r="C20" s="14">
        <v>132703.33541977199</v>
      </c>
      <c r="D20" s="6">
        <v>3968</v>
      </c>
      <c r="E20" s="1">
        <v>2014</v>
      </c>
      <c r="F20" s="1">
        <v>1</v>
      </c>
      <c r="G20" s="1" t="s">
        <v>24</v>
      </c>
      <c r="H20" s="12">
        <v>41640</v>
      </c>
      <c r="I20" s="1">
        <v>17</v>
      </c>
      <c r="J20" s="1">
        <v>6</v>
      </c>
      <c r="K20" s="1" t="s">
        <v>27</v>
      </c>
      <c r="L20" s="1" t="s">
        <v>22</v>
      </c>
      <c r="M20" s="15">
        <f t="shared" si="0"/>
        <v>34.138261014109119</v>
      </c>
      <c r="N20" s="15">
        <f t="shared" si="1"/>
        <v>33.443380902160278</v>
      </c>
      <c r="O20" s="14">
        <f t="shared" si="2"/>
        <v>2757.2842842130049</v>
      </c>
      <c r="P20" s="13">
        <f t="shared" si="3"/>
        <v>2.035487723471481E-2</v>
      </c>
      <c r="Q20" s="15">
        <f t="shared" si="4"/>
        <v>0.69488011194884081</v>
      </c>
      <c r="R20" s="13">
        <f t="shared" si="5"/>
        <v>2.0354877234714779E-2</v>
      </c>
      <c r="S20" s="15">
        <f t="shared" si="6"/>
        <v>35.267973231772061</v>
      </c>
      <c r="T20" s="15">
        <f t="shared" si="7"/>
        <v>33.326349167575273</v>
      </c>
    </row>
    <row r="21" spans="1:20" x14ac:dyDescent="0.3">
      <c r="A21" s="5">
        <v>41657.083333333336</v>
      </c>
      <c r="B21" s="14">
        <v>149925.74968577499</v>
      </c>
      <c r="C21" s="14">
        <v>146928.411780892</v>
      </c>
      <c r="D21" s="6">
        <v>4393</v>
      </c>
      <c r="E21" s="1">
        <v>2014</v>
      </c>
      <c r="F21" s="1">
        <v>1</v>
      </c>
      <c r="G21" s="1" t="s">
        <v>24</v>
      </c>
      <c r="H21" s="12">
        <v>41640</v>
      </c>
      <c r="I21" s="1">
        <v>18</v>
      </c>
      <c r="J21" s="1">
        <v>7</v>
      </c>
      <c r="K21" s="1" t="s">
        <v>28</v>
      </c>
      <c r="L21" s="1" t="s">
        <v>22</v>
      </c>
      <c r="M21" s="15">
        <f t="shared" si="0"/>
        <v>34.128329088498745</v>
      </c>
      <c r="N21" s="15">
        <f t="shared" si="1"/>
        <v>33.44603045319645</v>
      </c>
      <c r="O21" s="14">
        <f t="shared" si="2"/>
        <v>2997.3379048829956</v>
      </c>
      <c r="P21" s="13">
        <f t="shared" si="3"/>
        <v>1.9992148854783308E-2</v>
      </c>
      <c r="Q21" s="15">
        <f t="shared" si="4"/>
        <v>0.68229863530229551</v>
      </c>
      <c r="R21" s="13">
        <f t="shared" si="5"/>
        <v>1.9992148854783235E-2</v>
      </c>
      <c r="S21" s="15">
        <f t="shared" si="6"/>
        <v>35.267973231772061</v>
      </c>
      <c r="T21" s="15">
        <f t="shared" si="7"/>
        <v>33.366448163621449</v>
      </c>
    </row>
    <row r="22" spans="1:20" x14ac:dyDescent="0.3">
      <c r="A22" s="5">
        <v>41658.083333333336</v>
      </c>
      <c r="B22" s="14">
        <v>74297.307184182893</v>
      </c>
      <c r="C22" s="14">
        <v>72782.284321402898</v>
      </c>
      <c r="D22" s="6">
        <v>2176</v>
      </c>
      <c r="E22" s="1">
        <v>2014</v>
      </c>
      <c r="F22" s="1">
        <v>1</v>
      </c>
      <c r="G22" s="1" t="s">
        <v>24</v>
      </c>
      <c r="H22" s="12">
        <v>41640</v>
      </c>
      <c r="I22" s="1">
        <v>19</v>
      </c>
      <c r="J22" s="1">
        <v>1</v>
      </c>
      <c r="K22" s="1" t="s">
        <v>29</v>
      </c>
      <c r="L22" s="1" t="s">
        <v>22</v>
      </c>
      <c r="M22" s="15">
        <f t="shared" si="0"/>
        <v>34.1439830809664</v>
      </c>
      <c r="N22" s="15">
        <f t="shared" si="1"/>
        <v>33.44774095652707</v>
      </c>
      <c r="O22" s="14">
        <f t="shared" si="2"/>
        <v>1515.0228627799952</v>
      </c>
      <c r="P22" s="13">
        <f t="shared" si="3"/>
        <v>2.0391356298072233E-2</v>
      </c>
      <c r="Q22" s="15">
        <f t="shared" si="4"/>
        <v>0.69624212443932976</v>
      </c>
      <c r="R22" s="13">
        <f t="shared" si="5"/>
        <v>2.0391356298072053E-2</v>
      </c>
      <c r="S22" s="15">
        <f t="shared" si="6"/>
        <v>35.267973231772061</v>
      </c>
      <c r="T22" s="15">
        <f t="shared" si="7"/>
        <v>33.403473635875969</v>
      </c>
    </row>
    <row r="23" spans="1:20" x14ac:dyDescent="0.3">
      <c r="A23" s="5">
        <v>41659.083333333336</v>
      </c>
      <c r="B23" s="14">
        <v>83356.424561202701</v>
      </c>
      <c r="C23" s="14">
        <v>81789.136122352706</v>
      </c>
      <c r="D23" s="6">
        <v>2443</v>
      </c>
      <c r="E23" s="1">
        <v>2014</v>
      </c>
      <c r="F23" s="1">
        <v>1</v>
      </c>
      <c r="G23" s="1" t="s">
        <v>24</v>
      </c>
      <c r="H23" s="12">
        <v>41640</v>
      </c>
      <c r="I23" s="1">
        <v>20</v>
      </c>
      <c r="J23" s="1">
        <v>2</v>
      </c>
      <c r="K23" s="1" t="s">
        <v>21</v>
      </c>
      <c r="L23" s="1" t="s">
        <v>22</v>
      </c>
      <c r="M23" s="15">
        <f t="shared" si="0"/>
        <v>34.120517626362137</v>
      </c>
      <c r="N23" s="15">
        <f t="shared" si="1"/>
        <v>33.478975080782931</v>
      </c>
      <c r="O23" s="14">
        <f t="shared" si="2"/>
        <v>1567.2884388499951</v>
      </c>
      <c r="P23" s="13">
        <f t="shared" si="3"/>
        <v>1.8802251261379938E-2</v>
      </c>
      <c r="Q23" s="15">
        <f t="shared" si="4"/>
        <v>0.64154254557920609</v>
      </c>
      <c r="R23" s="13">
        <f t="shared" si="5"/>
        <v>1.8802251261380003E-2</v>
      </c>
      <c r="S23" s="15">
        <f t="shared" si="6"/>
        <v>35.267973231772061</v>
      </c>
      <c r="T23" s="15">
        <f t="shared" si="7"/>
        <v>33.436066544534434</v>
      </c>
    </row>
    <row r="24" spans="1:20" x14ac:dyDescent="0.3">
      <c r="A24" s="5">
        <v>41660.083333333336</v>
      </c>
      <c r="B24" s="14">
        <v>89922.014286172605</v>
      </c>
      <c r="C24" s="14">
        <v>88388.916069159706</v>
      </c>
      <c r="D24" s="6">
        <v>2638</v>
      </c>
      <c r="E24" s="1">
        <v>2014</v>
      </c>
      <c r="F24" s="1">
        <v>1</v>
      </c>
      <c r="G24" s="1" t="s">
        <v>24</v>
      </c>
      <c r="H24" s="12">
        <v>41640</v>
      </c>
      <c r="I24" s="1">
        <v>21</v>
      </c>
      <c r="J24" s="1">
        <v>3</v>
      </c>
      <c r="K24" s="1" t="s">
        <v>23</v>
      </c>
      <c r="L24" s="1" t="s">
        <v>22</v>
      </c>
      <c r="M24" s="15">
        <f t="shared" si="0"/>
        <v>34.087192678609782</v>
      </c>
      <c r="N24" s="15">
        <f t="shared" si="1"/>
        <v>33.506033384821727</v>
      </c>
      <c r="O24" s="14">
        <f t="shared" si="2"/>
        <v>1533.0982170128991</v>
      </c>
      <c r="P24" s="13">
        <f t="shared" si="3"/>
        <v>1.7049197898680136E-2</v>
      </c>
      <c r="Q24" s="15">
        <f t="shared" si="4"/>
        <v>0.58115929378805475</v>
      </c>
      <c r="R24" s="13">
        <f t="shared" si="5"/>
        <v>1.7049197898680018E-2</v>
      </c>
      <c r="S24" s="15">
        <f t="shared" si="6"/>
        <v>35.267973231772061</v>
      </c>
      <c r="T24" s="15">
        <f t="shared" si="7"/>
        <v>33.464376376450751</v>
      </c>
    </row>
    <row r="25" spans="1:20" x14ac:dyDescent="0.3">
      <c r="A25" s="5">
        <v>41661.083333333336</v>
      </c>
      <c r="B25" s="14">
        <v>57806.302780099002</v>
      </c>
      <c r="C25" s="14">
        <v>57157.282544092297</v>
      </c>
      <c r="D25" s="6">
        <v>1704</v>
      </c>
      <c r="E25" s="1">
        <v>2014</v>
      </c>
      <c r="F25" s="1">
        <v>1</v>
      </c>
      <c r="G25" s="1" t="s">
        <v>24</v>
      </c>
      <c r="H25" s="12">
        <v>41640</v>
      </c>
      <c r="I25" s="1">
        <v>22</v>
      </c>
      <c r="J25" s="1">
        <v>4</v>
      </c>
      <c r="K25" s="1" t="s">
        <v>25</v>
      </c>
      <c r="L25" s="1" t="s">
        <v>22</v>
      </c>
      <c r="M25" s="15">
        <f t="shared" si="0"/>
        <v>33.923886608039318</v>
      </c>
      <c r="N25" s="15">
        <f t="shared" si="1"/>
        <v>33.543006187847595</v>
      </c>
      <c r="O25" s="14">
        <f t="shared" si="2"/>
        <v>649.02023600670509</v>
      </c>
      <c r="P25" s="13">
        <f t="shared" si="3"/>
        <v>1.1227499507720524E-2</v>
      </c>
      <c r="Q25" s="15">
        <f t="shared" si="4"/>
        <v>0.38088042019172264</v>
      </c>
      <c r="R25" s="13">
        <f t="shared" si="5"/>
        <v>1.1227499507720357E-2</v>
      </c>
      <c r="S25" s="15">
        <f t="shared" si="6"/>
        <v>35.267973231772061</v>
      </c>
      <c r="T25" s="15">
        <f t="shared" si="7"/>
        <v>33.483522636100275</v>
      </c>
    </row>
    <row r="26" spans="1:20" x14ac:dyDescent="0.3">
      <c r="A26" s="5">
        <v>41662.083333333336</v>
      </c>
      <c r="B26" s="14">
        <v>63977.750348923597</v>
      </c>
      <c r="C26" s="14">
        <v>62863.987239062997</v>
      </c>
      <c r="D26" s="6">
        <v>1872</v>
      </c>
      <c r="E26" s="1">
        <v>2014</v>
      </c>
      <c r="F26" s="1">
        <v>1</v>
      </c>
      <c r="G26" s="1" t="s">
        <v>24</v>
      </c>
      <c r="H26" s="12">
        <v>41640</v>
      </c>
      <c r="I26" s="1">
        <v>23</v>
      </c>
      <c r="J26" s="1">
        <v>5</v>
      </c>
      <c r="K26" s="1" t="s">
        <v>26</v>
      </c>
      <c r="L26" s="1" t="s">
        <v>22</v>
      </c>
      <c r="M26" s="15">
        <f t="shared" si="0"/>
        <v>34.176148690664313</v>
      </c>
      <c r="N26" s="15">
        <f t="shared" si="1"/>
        <v>33.581189764456731</v>
      </c>
      <c r="O26" s="14">
        <f t="shared" si="2"/>
        <v>1113.7631098605998</v>
      </c>
      <c r="P26" s="13">
        <f t="shared" si="3"/>
        <v>1.7408600705500401E-2</v>
      </c>
      <c r="Q26" s="15">
        <f t="shared" si="4"/>
        <v>0.59495892620758184</v>
      </c>
      <c r="R26" s="13">
        <f t="shared" si="5"/>
        <v>1.7408600705500297E-2</v>
      </c>
      <c r="S26" s="15">
        <f t="shared" si="6"/>
        <v>35.267973231772061</v>
      </c>
      <c r="T26" s="15">
        <f t="shared" si="7"/>
        <v>33.511227678282836</v>
      </c>
    </row>
    <row r="27" spans="1:20" x14ac:dyDescent="0.3">
      <c r="A27" s="5">
        <v>41663.083333333336</v>
      </c>
      <c r="B27" s="14">
        <v>116958.799847952</v>
      </c>
      <c r="C27" s="14">
        <v>114823.79522381299</v>
      </c>
      <c r="D27" s="6">
        <v>3423</v>
      </c>
      <c r="E27" s="1">
        <v>2014</v>
      </c>
      <c r="F27" s="1">
        <v>1</v>
      </c>
      <c r="G27" s="1" t="s">
        <v>24</v>
      </c>
      <c r="H27" s="12">
        <v>41640</v>
      </c>
      <c r="I27" s="1">
        <v>24</v>
      </c>
      <c r="J27" s="1">
        <v>6</v>
      </c>
      <c r="K27" s="1" t="s">
        <v>27</v>
      </c>
      <c r="L27" s="1" t="s">
        <v>22</v>
      </c>
      <c r="M27" s="15">
        <f t="shared" si="0"/>
        <v>34.168507113044697</v>
      </c>
      <c r="N27" s="15">
        <f t="shared" si="1"/>
        <v>33.54478388075168</v>
      </c>
      <c r="O27" s="14">
        <f t="shared" si="2"/>
        <v>2135.0046241390082</v>
      </c>
      <c r="P27" s="13">
        <f t="shared" si="3"/>
        <v>1.8254330814906981E-2</v>
      </c>
      <c r="Q27" s="15">
        <f t="shared" si="4"/>
        <v>0.62372323229301685</v>
      </c>
      <c r="R27" s="13">
        <f t="shared" si="5"/>
        <v>1.8254330814906884E-2</v>
      </c>
      <c r="S27" s="15">
        <f t="shared" si="6"/>
        <v>35.267973231772061</v>
      </c>
      <c r="T27" s="15">
        <f t="shared" si="7"/>
        <v>33.536507656542909</v>
      </c>
    </row>
    <row r="28" spans="1:20" x14ac:dyDescent="0.3">
      <c r="A28" s="5">
        <v>41664.083333333336</v>
      </c>
      <c r="B28" s="14">
        <v>155272.82480547999</v>
      </c>
      <c r="C28" s="14">
        <v>152636.27656236599</v>
      </c>
      <c r="D28" s="6">
        <v>4544</v>
      </c>
      <c r="E28" s="1">
        <v>2014</v>
      </c>
      <c r="F28" s="1">
        <v>1</v>
      </c>
      <c r="G28" s="1" t="s">
        <v>24</v>
      </c>
      <c r="H28" s="12">
        <v>41640</v>
      </c>
      <c r="I28" s="1">
        <v>25</v>
      </c>
      <c r="J28" s="1">
        <v>7</v>
      </c>
      <c r="K28" s="1" t="s">
        <v>28</v>
      </c>
      <c r="L28" s="1" t="s">
        <v>22</v>
      </c>
      <c r="M28" s="15">
        <f t="shared" si="0"/>
        <v>34.170956163177813</v>
      </c>
      <c r="N28" s="15">
        <f t="shared" si="1"/>
        <v>33.590729877281248</v>
      </c>
      <c r="O28" s="14">
        <f t="shared" si="2"/>
        <v>2636.5482431139972</v>
      </c>
      <c r="P28" s="13">
        <f t="shared" si="3"/>
        <v>1.6980100970127688E-2</v>
      </c>
      <c r="Q28" s="15">
        <f t="shared" si="4"/>
        <v>0.58022628589656478</v>
      </c>
      <c r="R28" s="13">
        <f t="shared" si="5"/>
        <v>1.6980100970127643E-2</v>
      </c>
      <c r="S28" s="15">
        <f t="shared" si="6"/>
        <v>35.267973231772061</v>
      </c>
      <c r="T28" s="15">
        <f t="shared" si="7"/>
        <v>33.56000574938124</v>
      </c>
    </row>
    <row r="29" spans="1:20" x14ac:dyDescent="0.3">
      <c r="A29" s="5">
        <v>41665.083333333336</v>
      </c>
      <c r="B29" s="14">
        <v>82885.215909762701</v>
      </c>
      <c r="C29" s="14">
        <v>81583.166949853199</v>
      </c>
      <c r="D29" s="6">
        <v>2426</v>
      </c>
      <c r="E29" s="1">
        <v>2014</v>
      </c>
      <c r="F29" s="1">
        <v>1</v>
      </c>
      <c r="G29" s="1" t="s">
        <v>24</v>
      </c>
      <c r="H29" s="12">
        <v>41640</v>
      </c>
      <c r="I29" s="1">
        <v>26</v>
      </c>
      <c r="J29" s="1">
        <v>1</v>
      </c>
      <c r="K29" s="1" t="s">
        <v>29</v>
      </c>
      <c r="L29" s="1" t="s">
        <v>22</v>
      </c>
      <c r="M29" s="15">
        <f t="shared" si="0"/>
        <v>34.165381661072836</v>
      </c>
      <c r="N29" s="15">
        <f t="shared" si="1"/>
        <v>33.628675577021106</v>
      </c>
      <c r="O29" s="14">
        <f t="shared" si="2"/>
        <v>1302.0489599095017</v>
      </c>
      <c r="P29" s="13">
        <f t="shared" si="3"/>
        <v>1.5709061569279679E-2</v>
      </c>
      <c r="Q29" s="15">
        <f t="shared" si="4"/>
        <v>0.5367060840517297</v>
      </c>
      <c r="R29" s="13">
        <f t="shared" si="5"/>
        <v>1.5709061569279613E-2</v>
      </c>
      <c r="S29" s="15">
        <f t="shared" si="6"/>
        <v>35.267973231772061</v>
      </c>
      <c r="T29" s="15">
        <f t="shared" si="7"/>
        <v>33.581626317655939</v>
      </c>
    </row>
    <row r="30" spans="1:20" x14ac:dyDescent="0.3">
      <c r="A30" s="5">
        <v>41666.083333333336</v>
      </c>
      <c r="B30" s="14">
        <v>72353.425882453303</v>
      </c>
      <c r="C30" s="14">
        <v>71377.156455436299</v>
      </c>
      <c r="D30" s="6">
        <v>2117</v>
      </c>
      <c r="E30" s="1">
        <v>2014</v>
      </c>
      <c r="F30" s="1">
        <v>1</v>
      </c>
      <c r="G30" s="1" t="s">
        <v>24</v>
      </c>
      <c r="H30" s="12">
        <v>41640</v>
      </c>
      <c r="I30" s="1">
        <v>27</v>
      </c>
      <c r="J30" s="1">
        <v>2</v>
      </c>
      <c r="K30" s="1" t="s">
        <v>21</v>
      </c>
      <c r="L30" s="1" t="s">
        <v>22</v>
      </c>
      <c r="M30" s="15">
        <f t="shared" si="0"/>
        <v>34.177338631295846</v>
      </c>
      <c r="N30" s="15">
        <f t="shared" si="1"/>
        <v>33.716181603890554</v>
      </c>
      <c r="O30" s="14">
        <f t="shared" si="2"/>
        <v>976.26942701700318</v>
      </c>
      <c r="P30" s="13">
        <f t="shared" si="3"/>
        <v>1.3493064289769338E-2</v>
      </c>
      <c r="Q30" s="15">
        <f t="shared" si="4"/>
        <v>0.4611570274052923</v>
      </c>
      <c r="R30" s="13">
        <f t="shared" si="5"/>
        <v>1.3493064289769345E-2</v>
      </c>
      <c r="S30" s="15">
        <f t="shared" si="6"/>
        <v>35.267973231772061</v>
      </c>
      <c r="T30" s="15">
        <f t="shared" si="7"/>
        <v>33.602168121574557</v>
      </c>
    </row>
    <row r="31" spans="1:20" x14ac:dyDescent="0.3">
      <c r="A31" s="5">
        <v>41667.083333333336</v>
      </c>
      <c r="B31" s="14">
        <v>50415.9037623892</v>
      </c>
      <c r="C31" s="14">
        <v>49769.098243003202</v>
      </c>
      <c r="D31" s="6">
        <v>1476</v>
      </c>
      <c r="E31" s="1">
        <v>2014</v>
      </c>
      <c r="F31" s="1">
        <v>1</v>
      </c>
      <c r="G31" s="1" t="s">
        <v>24</v>
      </c>
      <c r="H31" s="12">
        <v>41640</v>
      </c>
      <c r="I31" s="1">
        <v>28</v>
      </c>
      <c r="J31" s="1">
        <v>3</v>
      </c>
      <c r="K31" s="1" t="s">
        <v>23</v>
      </c>
      <c r="L31" s="1" t="s">
        <v>22</v>
      </c>
      <c r="M31" s="15">
        <f t="shared" si="0"/>
        <v>34.157116370182386</v>
      </c>
      <c r="N31" s="15">
        <f t="shared" si="1"/>
        <v>33.718901248647157</v>
      </c>
      <c r="O31" s="14">
        <f t="shared" si="2"/>
        <v>646.8055193859982</v>
      </c>
      <c r="P31" s="13">
        <f t="shared" si="3"/>
        <v>1.2829394518729663E-2</v>
      </c>
      <c r="Q31" s="15">
        <f t="shared" si="4"/>
        <v>0.43821512153522946</v>
      </c>
      <c r="R31" s="13">
        <f t="shared" si="5"/>
        <v>1.2829394518729671E-2</v>
      </c>
      <c r="S31" s="15">
        <f t="shared" si="6"/>
        <v>35.267973231772061</v>
      </c>
      <c r="T31" s="15">
        <f t="shared" si="7"/>
        <v>33.620666396528151</v>
      </c>
    </row>
    <row r="32" spans="1:20" x14ac:dyDescent="0.3">
      <c r="A32" s="5">
        <v>41668.083333333336</v>
      </c>
      <c r="B32" s="14">
        <v>67458.301891273804</v>
      </c>
      <c r="C32" s="14">
        <v>66529.441996531401</v>
      </c>
      <c r="D32" s="6">
        <v>1974</v>
      </c>
      <c r="E32" s="1">
        <v>2014</v>
      </c>
      <c r="F32" s="1">
        <v>1</v>
      </c>
      <c r="G32" s="1" t="s">
        <v>24</v>
      </c>
      <c r="H32" s="12">
        <v>41640</v>
      </c>
      <c r="I32" s="1">
        <v>29</v>
      </c>
      <c r="J32" s="1">
        <v>4</v>
      </c>
      <c r="K32" s="1" t="s">
        <v>25</v>
      </c>
      <c r="L32" s="1" t="s">
        <v>22</v>
      </c>
      <c r="M32" s="15">
        <f t="shared" si="0"/>
        <v>34.17340521341125</v>
      </c>
      <c r="N32" s="15">
        <f t="shared" si="1"/>
        <v>33.702858154271226</v>
      </c>
      <c r="O32" s="14">
        <f t="shared" si="2"/>
        <v>928.85989474240341</v>
      </c>
      <c r="P32" s="13">
        <f t="shared" si="3"/>
        <v>1.3769393368951048E-2</v>
      </c>
      <c r="Q32" s="15">
        <f t="shared" si="4"/>
        <v>0.47054705914002426</v>
      </c>
      <c r="R32" s="13">
        <f t="shared" si="5"/>
        <v>1.3769393368951112E-2</v>
      </c>
      <c r="S32" s="15">
        <f t="shared" si="6"/>
        <v>35.267973231772061</v>
      </c>
      <c r="T32" s="15">
        <f t="shared" si="7"/>
        <v>33.666386183268209</v>
      </c>
    </row>
    <row r="33" spans="1:20" x14ac:dyDescent="0.3">
      <c r="A33" s="5">
        <v>41669.083333333336</v>
      </c>
      <c r="B33" s="14">
        <v>64640.369313193798</v>
      </c>
      <c r="C33" s="14">
        <v>63757.839868452102</v>
      </c>
      <c r="D33" s="6">
        <v>1892</v>
      </c>
      <c r="E33" s="1">
        <v>2014</v>
      </c>
      <c r="F33" s="1">
        <v>1</v>
      </c>
      <c r="G33" s="1" t="s">
        <v>24</v>
      </c>
      <c r="H33" s="12">
        <v>41640</v>
      </c>
      <c r="I33" s="1">
        <v>30</v>
      </c>
      <c r="J33" s="1">
        <v>5</v>
      </c>
      <c r="K33" s="1" t="s">
        <v>26</v>
      </c>
      <c r="L33" s="1" t="s">
        <v>22</v>
      </c>
      <c r="M33" s="15">
        <f t="shared" si="0"/>
        <v>34.165100059827587</v>
      </c>
      <c r="N33" s="15">
        <f t="shared" si="1"/>
        <v>33.6986468649324</v>
      </c>
      <c r="O33" s="14">
        <f t="shared" si="2"/>
        <v>882.52944474169635</v>
      </c>
      <c r="P33" s="13">
        <f t="shared" si="3"/>
        <v>1.365291464325781E-2</v>
      </c>
      <c r="Q33" s="15">
        <f t="shared" si="4"/>
        <v>0.46645319489518755</v>
      </c>
      <c r="R33" s="13">
        <f t="shared" si="5"/>
        <v>1.3652914643257786E-2</v>
      </c>
      <c r="S33" s="15">
        <f t="shared" si="6"/>
        <v>35.267973231772061</v>
      </c>
      <c r="T33" s="15">
        <f t="shared" si="7"/>
        <v>33.724998838967011</v>
      </c>
    </row>
    <row r="34" spans="1:20" x14ac:dyDescent="0.3">
      <c r="A34" s="5">
        <v>41670.083333333336</v>
      </c>
      <c r="B34" s="14">
        <v>137693.87350033101</v>
      </c>
      <c r="C34" s="14">
        <v>135609.50758204999</v>
      </c>
      <c r="D34" s="6">
        <v>4030</v>
      </c>
      <c r="E34" s="1">
        <v>2014</v>
      </c>
      <c r="F34" s="1">
        <v>1</v>
      </c>
      <c r="G34" s="1" t="s">
        <v>24</v>
      </c>
      <c r="H34" s="12">
        <v>41640</v>
      </c>
      <c r="I34" s="1">
        <v>31</v>
      </c>
      <c r="J34" s="1">
        <v>6</v>
      </c>
      <c r="K34" s="1" t="s">
        <v>27</v>
      </c>
      <c r="L34" s="1" t="s">
        <v>22</v>
      </c>
      <c r="M34" s="15">
        <f t="shared" si="0"/>
        <v>34.167214268072215</v>
      </c>
      <c r="N34" s="15">
        <f t="shared" si="1"/>
        <v>33.650001881401984</v>
      </c>
      <c r="O34" s="14">
        <f t="shared" si="2"/>
        <v>2084.3659182810225</v>
      </c>
      <c r="P34" s="13">
        <f t="shared" si="3"/>
        <v>1.5137680895265189E-2</v>
      </c>
      <c r="Q34" s="15">
        <f t="shared" si="4"/>
        <v>0.51721238667023073</v>
      </c>
      <c r="R34" s="13">
        <f t="shared" si="5"/>
        <v>1.5137680895265241E-2</v>
      </c>
      <c r="S34" s="15">
        <f t="shared" si="6"/>
        <v>35.267973231772061</v>
      </c>
      <c r="T34" s="15">
        <f t="shared" si="7"/>
        <v>33.78371594230881</v>
      </c>
    </row>
    <row r="35" spans="1:20" x14ac:dyDescent="0.3">
      <c r="A35" s="5">
        <v>41671.083333333336</v>
      </c>
      <c r="B35" s="14">
        <v>181209.128481213</v>
      </c>
      <c r="C35" s="14">
        <v>178435.71534579599</v>
      </c>
      <c r="D35" s="6">
        <v>5304</v>
      </c>
      <c r="E35" s="1">
        <v>2014</v>
      </c>
      <c r="F35" s="1">
        <v>2</v>
      </c>
      <c r="G35" s="1" t="s">
        <v>30</v>
      </c>
      <c r="H35" s="12">
        <v>41671</v>
      </c>
      <c r="I35" s="1">
        <v>1</v>
      </c>
      <c r="J35" s="1">
        <v>7</v>
      </c>
      <c r="K35" s="1" t="s">
        <v>28</v>
      </c>
      <c r="L35" s="1" t="s">
        <v>22</v>
      </c>
      <c r="M35" s="15">
        <f t="shared" si="0"/>
        <v>34.164616983637444</v>
      </c>
      <c r="N35" s="15">
        <f t="shared" si="1"/>
        <v>33.641726121002264</v>
      </c>
      <c r="O35" s="14">
        <f t="shared" si="2"/>
        <v>2773.4131354170095</v>
      </c>
      <c r="P35" s="13">
        <f t="shared" si="3"/>
        <v>1.5305040969304949E-2</v>
      </c>
      <c r="Q35" s="15">
        <f t="shared" si="4"/>
        <v>0.52289086263517959</v>
      </c>
      <c r="R35" s="13">
        <f t="shared" si="5"/>
        <v>1.5305040969304856E-2</v>
      </c>
      <c r="S35" s="15">
        <f t="shared" si="6"/>
        <v>35.267973231772061</v>
      </c>
      <c r="T35" s="15">
        <f t="shared" si="7"/>
        <v>33.841979872788073</v>
      </c>
    </row>
    <row r="36" spans="1:20" x14ac:dyDescent="0.3">
      <c r="A36" s="5">
        <v>41672.083333333336</v>
      </c>
      <c r="B36" s="14">
        <v>113433.581045457</v>
      </c>
      <c r="C36" s="14">
        <v>111466.516847537</v>
      </c>
      <c r="D36" s="6">
        <v>3320</v>
      </c>
      <c r="E36" s="1">
        <v>2014</v>
      </c>
      <c r="F36" s="1">
        <v>2</v>
      </c>
      <c r="G36" s="1" t="s">
        <v>30</v>
      </c>
      <c r="H36" s="12">
        <v>41671</v>
      </c>
      <c r="I36" s="1">
        <v>2</v>
      </c>
      <c r="J36" s="1">
        <v>1</v>
      </c>
      <c r="K36" s="1" t="s">
        <v>29</v>
      </c>
      <c r="L36" s="1" t="s">
        <v>22</v>
      </c>
      <c r="M36" s="15">
        <f t="shared" si="0"/>
        <v>34.166741278752106</v>
      </c>
      <c r="N36" s="15">
        <f t="shared" si="1"/>
        <v>33.574252062511142</v>
      </c>
      <c r="O36" s="14">
        <f t="shared" si="2"/>
        <v>1967.0641979200009</v>
      </c>
      <c r="P36" s="13">
        <f t="shared" si="3"/>
        <v>1.7341109923451382E-2</v>
      </c>
      <c r="Q36" s="15">
        <f t="shared" si="4"/>
        <v>0.5924892162409634</v>
      </c>
      <c r="R36" s="13">
        <f t="shared" si="5"/>
        <v>1.7341109923451361E-2</v>
      </c>
      <c r="S36" s="15">
        <f t="shared" si="6"/>
        <v>35.267973231772061</v>
      </c>
      <c r="T36" s="15">
        <f t="shared" si="7"/>
        <v>33.900261457075409</v>
      </c>
    </row>
    <row r="37" spans="1:20" x14ac:dyDescent="0.3">
      <c r="A37" s="5">
        <v>41673.083333333336</v>
      </c>
      <c r="B37" s="14">
        <v>143192.53335617599</v>
      </c>
      <c r="C37" s="14">
        <v>140505.63472300299</v>
      </c>
      <c r="D37" s="6">
        <v>4191</v>
      </c>
      <c r="E37" s="1">
        <v>2014</v>
      </c>
      <c r="F37" s="1">
        <v>2</v>
      </c>
      <c r="G37" s="1" t="s">
        <v>30</v>
      </c>
      <c r="H37" s="12">
        <v>41671</v>
      </c>
      <c r="I37" s="1">
        <v>3</v>
      </c>
      <c r="J37" s="1">
        <v>2</v>
      </c>
      <c r="K37" s="1" t="s">
        <v>21</v>
      </c>
      <c r="L37" s="1" t="s">
        <v>22</v>
      </c>
      <c r="M37" s="15">
        <f t="shared" si="0"/>
        <v>34.166674625668335</v>
      </c>
      <c r="N37" s="15">
        <f t="shared" si="1"/>
        <v>33.525563045335957</v>
      </c>
      <c r="O37" s="14">
        <f t="shared" si="2"/>
        <v>2686.8986331729975</v>
      </c>
      <c r="P37" s="13">
        <f t="shared" si="3"/>
        <v>1.8764237004520526E-2</v>
      </c>
      <c r="Q37" s="15">
        <f t="shared" si="4"/>
        <v>0.64111158033237814</v>
      </c>
      <c r="R37" s="13">
        <f t="shared" si="5"/>
        <v>1.8764237004520522E-2</v>
      </c>
      <c r="S37" s="15">
        <f t="shared" si="6"/>
        <v>35.267973231772061</v>
      </c>
      <c r="T37" s="15">
        <f t="shared" si="7"/>
        <v>33.958390542900524</v>
      </c>
    </row>
    <row r="38" spans="1:20" x14ac:dyDescent="0.3">
      <c r="A38" s="5">
        <v>41674.083333333336</v>
      </c>
      <c r="B38" s="14">
        <v>130126.649892881</v>
      </c>
      <c r="C38" s="14">
        <v>128496.287701173</v>
      </c>
      <c r="D38" s="6">
        <v>3809</v>
      </c>
      <c r="E38" s="1">
        <v>2014</v>
      </c>
      <c r="F38" s="1">
        <v>2</v>
      </c>
      <c r="G38" s="1" t="s">
        <v>30</v>
      </c>
      <c r="H38" s="12">
        <v>41671</v>
      </c>
      <c r="I38" s="1">
        <v>4</v>
      </c>
      <c r="J38" s="1">
        <v>3</v>
      </c>
      <c r="K38" s="1" t="s">
        <v>23</v>
      </c>
      <c r="L38" s="1" t="s">
        <v>22</v>
      </c>
      <c r="M38" s="15">
        <f t="shared" si="0"/>
        <v>34.162943001543972</v>
      </c>
      <c r="N38" s="15">
        <f t="shared" si="1"/>
        <v>33.734914072242844</v>
      </c>
      <c r="O38" s="14">
        <f t="shared" si="2"/>
        <v>1630.3621917080018</v>
      </c>
      <c r="P38" s="13">
        <f t="shared" si="3"/>
        <v>1.2529041461146508E-2</v>
      </c>
      <c r="Q38" s="15">
        <f t="shared" si="4"/>
        <v>0.4280289293011279</v>
      </c>
      <c r="R38" s="13">
        <f t="shared" si="5"/>
        <v>1.2529041461146466E-2</v>
      </c>
      <c r="S38" s="15">
        <f t="shared" si="6"/>
        <v>35.267973231772061</v>
      </c>
      <c r="T38" s="15">
        <f t="shared" si="7"/>
        <v>34.015880360983559</v>
      </c>
    </row>
    <row r="39" spans="1:20" x14ac:dyDescent="0.3">
      <c r="A39" s="5">
        <v>41675.083333333336</v>
      </c>
      <c r="B39" s="14">
        <v>187155.86854574</v>
      </c>
      <c r="C39" s="14">
        <v>195078.60333094301</v>
      </c>
      <c r="D39" s="6">
        <v>5764</v>
      </c>
      <c r="E39" s="1">
        <v>2014</v>
      </c>
      <c r="F39" s="1">
        <v>2</v>
      </c>
      <c r="G39" s="1" t="s">
        <v>30</v>
      </c>
      <c r="H39" s="12">
        <v>41671</v>
      </c>
      <c r="I39" s="1">
        <v>5</v>
      </c>
      <c r="J39" s="1">
        <v>4</v>
      </c>
      <c r="K39" s="1" t="s">
        <v>25</v>
      </c>
      <c r="L39" s="1" t="s">
        <v>22</v>
      </c>
      <c r="M39" s="15">
        <f t="shared" si="0"/>
        <v>32.469789824035395</v>
      </c>
      <c r="N39" s="15">
        <f t="shared" si="1"/>
        <v>33.844310085174016</v>
      </c>
      <c r="O39" s="14">
        <f t="shared" si="2"/>
        <v>-7922.734785203007</v>
      </c>
      <c r="P39" s="13">
        <f t="shared" si="3"/>
        <v>-4.2332280824347909E-2</v>
      </c>
      <c r="Q39" s="15">
        <f t="shared" si="4"/>
        <v>-1.3745202611386205</v>
      </c>
      <c r="R39" s="13">
        <f t="shared" si="5"/>
        <v>-4.2332280824347909E-2</v>
      </c>
      <c r="S39" s="15">
        <f t="shared" si="6"/>
        <v>35.267973231772061</v>
      </c>
      <c r="T39" s="15">
        <f t="shared" si="7"/>
        <v>34.01737141164152</v>
      </c>
    </row>
    <row r="40" spans="1:20" x14ac:dyDescent="0.3">
      <c r="A40" s="5">
        <v>41676.083333333336</v>
      </c>
      <c r="B40" s="14">
        <v>102314.70959650401</v>
      </c>
      <c r="C40" s="14">
        <v>101977.989955289</v>
      </c>
      <c r="D40" s="6">
        <v>3028</v>
      </c>
      <c r="E40" s="1">
        <v>2014</v>
      </c>
      <c r="F40" s="1">
        <v>2</v>
      </c>
      <c r="G40" s="1" t="s">
        <v>30</v>
      </c>
      <c r="H40" s="12">
        <v>41671</v>
      </c>
      <c r="I40" s="1">
        <v>6</v>
      </c>
      <c r="J40" s="1">
        <v>5</v>
      </c>
      <c r="K40" s="1" t="s">
        <v>26</v>
      </c>
      <c r="L40" s="1" t="s">
        <v>22</v>
      </c>
      <c r="M40" s="15">
        <f t="shared" si="0"/>
        <v>33.789534212848089</v>
      </c>
      <c r="N40" s="15">
        <f t="shared" si="1"/>
        <v>33.678332217730848</v>
      </c>
      <c r="O40" s="14">
        <f t="shared" si="2"/>
        <v>336.71964121500787</v>
      </c>
      <c r="P40" s="13">
        <f t="shared" si="3"/>
        <v>3.2910188822596557E-3</v>
      </c>
      <c r="Q40" s="15">
        <f t="shared" si="4"/>
        <v>0.11120199511724138</v>
      </c>
      <c r="R40" s="13">
        <f t="shared" si="5"/>
        <v>3.2910188822596457E-3</v>
      </c>
      <c r="S40" s="15">
        <f t="shared" si="6"/>
        <v>35.267973231772061</v>
      </c>
      <c r="T40" s="15">
        <f t="shared" si="7"/>
        <v>34.063187554874609</v>
      </c>
    </row>
    <row r="41" spans="1:20" x14ac:dyDescent="0.3">
      <c r="A41" s="5">
        <v>41677.083333333336</v>
      </c>
      <c r="B41" s="14">
        <v>301553.842555087</v>
      </c>
      <c r="C41" s="14">
        <v>313529.18774871598</v>
      </c>
      <c r="D41" s="6">
        <v>9284</v>
      </c>
      <c r="E41" s="1">
        <v>2014</v>
      </c>
      <c r="F41" s="1">
        <v>2</v>
      </c>
      <c r="G41" s="1" t="s">
        <v>30</v>
      </c>
      <c r="H41" s="12">
        <v>41671</v>
      </c>
      <c r="I41" s="1">
        <v>7</v>
      </c>
      <c r="J41" s="1">
        <v>6</v>
      </c>
      <c r="K41" s="1" t="s">
        <v>27</v>
      </c>
      <c r="L41" s="1" t="s">
        <v>22</v>
      </c>
      <c r="M41" s="15">
        <f t="shared" si="0"/>
        <v>32.481025695291578</v>
      </c>
      <c r="N41" s="15">
        <f t="shared" si="1"/>
        <v>33.770916388271864</v>
      </c>
      <c r="O41" s="14">
        <f t="shared" si="2"/>
        <v>-11975.345193628978</v>
      </c>
      <c r="P41" s="13">
        <f t="shared" si="3"/>
        <v>-3.9712129323775262E-2</v>
      </c>
      <c r="Q41" s="15">
        <f t="shared" si="4"/>
        <v>-1.2898906929802862</v>
      </c>
      <c r="R41" s="13">
        <f t="shared" si="5"/>
        <v>-3.9712129323775255E-2</v>
      </c>
      <c r="S41" s="15">
        <f t="shared" si="6"/>
        <v>35.267973231772061</v>
      </c>
      <c r="T41" s="15">
        <f t="shared" si="7"/>
        <v>34.010588497936872</v>
      </c>
    </row>
    <row r="42" spans="1:20" x14ac:dyDescent="0.3">
      <c r="A42" s="5">
        <v>41678.083333333336</v>
      </c>
      <c r="B42" s="14">
        <v>316073.17754939402</v>
      </c>
      <c r="C42" s="14">
        <v>329754.77946358197</v>
      </c>
      <c r="D42" s="6">
        <v>9737</v>
      </c>
      <c r="E42" s="1">
        <v>2014</v>
      </c>
      <c r="F42" s="1">
        <v>2</v>
      </c>
      <c r="G42" s="1" t="s">
        <v>30</v>
      </c>
      <c r="H42" s="12">
        <v>41671</v>
      </c>
      <c r="I42" s="1">
        <v>8</v>
      </c>
      <c r="J42" s="1">
        <v>7</v>
      </c>
      <c r="K42" s="1" t="s">
        <v>28</v>
      </c>
      <c r="L42" s="1" t="s">
        <v>22</v>
      </c>
      <c r="M42" s="15">
        <f t="shared" si="0"/>
        <v>32.461043190858994</v>
      </c>
      <c r="N42" s="15">
        <f t="shared" si="1"/>
        <v>33.86615789910465</v>
      </c>
      <c r="O42" s="14">
        <f t="shared" si="2"/>
        <v>-13681.601914187951</v>
      </c>
      <c r="P42" s="13">
        <f t="shared" si="3"/>
        <v>-4.3286184611631189E-2</v>
      </c>
      <c r="Q42" s="15">
        <f t="shared" si="4"/>
        <v>-1.4051147082456552</v>
      </c>
      <c r="R42" s="13">
        <f t="shared" si="5"/>
        <v>-4.3286184611631168E-2</v>
      </c>
      <c r="S42" s="15">
        <f t="shared" si="6"/>
        <v>35.267973231772061</v>
      </c>
      <c r="T42" s="15">
        <f t="shared" si="7"/>
        <v>33.955087078634257</v>
      </c>
    </row>
    <row r="43" spans="1:20" x14ac:dyDescent="0.3">
      <c r="A43" s="5">
        <v>41679.083333333336</v>
      </c>
      <c r="B43" s="14">
        <v>135178.042554582</v>
      </c>
      <c r="C43" s="14">
        <v>141530.70868329101</v>
      </c>
      <c r="D43" s="6">
        <v>4163</v>
      </c>
      <c r="E43" s="1">
        <v>2014</v>
      </c>
      <c r="F43" s="1">
        <v>2</v>
      </c>
      <c r="G43" s="1" t="s">
        <v>30</v>
      </c>
      <c r="H43" s="12">
        <v>41671</v>
      </c>
      <c r="I43" s="1">
        <v>9</v>
      </c>
      <c r="J43" s="1">
        <v>1</v>
      </c>
      <c r="K43" s="1" t="s">
        <v>29</v>
      </c>
      <c r="L43" s="1" t="s">
        <v>22</v>
      </c>
      <c r="M43" s="15">
        <f t="shared" si="0"/>
        <v>32.471304961465769</v>
      </c>
      <c r="N43" s="15">
        <f t="shared" si="1"/>
        <v>33.997287697163344</v>
      </c>
      <c r="O43" s="14">
        <f t="shared" si="2"/>
        <v>-6352.6661287090101</v>
      </c>
      <c r="P43" s="13">
        <f t="shared" si="3"/>
        <v>-4.6994807800563761E-2</v>
      </c>
      <c r="Q43" s="15">
        <f t="shared" si="4"/>
        <v>-1.5259827356975748</v>
      </c>
      <c r="R43" s="13">
        <f t="shared" si="5"/>
        <v>-4.6994807800563719E-2</v>
      </c>
      <c r="S43" s="15">
        <f t="shared" si="6"/>
        <v>35.267973231772061</v>
      </c>
      <c r="T43" s="15">
        <f t="shared" si="7"/>
        <v>33.900472571980572</v>
      </c>
    </row>
    <row r="44" spans="1:20" x14ac:dyDescent="0.3">
      <c r="A44" s="5">
        <v>41680.083333333336</v>
      </c>
      <c r="B44" s="14">
        <v>147727.51618631301</v>
      </c>
      <c r="C44" s="14">
        <v>154828.684575077</v>
      </c>
      <c r="D44" s="6">
        <v>4552</v>
      </c>
      <c r="E44" s="1">
        <v>2014</v>
      </c>
      <c r="F44" s="1">
        <v>2</v>
      </c>
      <c r="G44" s="1" t="s">
        <v>30</v>
      </c>
      <c r="H44" s="12">
        <v>41671</v>
      </c>
      <c r="I44" s="1">
        <v>10</v>
      </c>
      <c r="J44" s="1">
        <v>2</v>
      </c>
      <c r="K44" s="1" t="s">
        <v>21</v>
      </c>
      <c r="L44" s="1" t="s">
        <v>22</v>
      </c>
      <c r="M44" s="15">
        <f t="shared" si="0"/>
        <v>32.453320779067006</v>
      </c>
      <c r="N44" s="15">
        <f t="shared" si="1"/>
        <v>34.013331409287566</v>
      </c>
      <c r="O44" s="14">
        <f t="shared" si="2"/>
        <v>-7101.1683887639956</v>
      </c>
      <c r="P44" s="13">
        <f t="shared" si="3"/>
        <v>-4.8069368334928524E-2</v>
      </c>
      <c r="Q44" s="15">
        <f t="shared" si="4"/>
        <v>-1.5600106302205603</v>
      </c>
      <c r="R44" s="13">
        <f t="shared" si="5"/>
        <v>-4.8069368334928489E-2</v>
      </c>
      <c r="S44" s="15">
        <f t="shared" si="6"/>
        <v>35.267973231772061</v>
      </c>
      <c r="T44" s="15">
        <f t="shared" si="7"/>
        <v>33.845243629574327</v>
      </c>
    </row>
    <row r="45" spans="1:20" x14ac:dyDescent="0.3">
      <c r="A45" s="5">
        <v>41681.083333333336</v>
      </c>
      <c r="B45" s="14">
        <v>135498.74644438599</v>
      </c>
      <c r="C45" s="14">
        <v>139824.16164101299</v>
      </c>
      <c r="D45" s="6">
        <v>4172</v>
      </c>
      <c r="E45" s="1">
        <v>2014</v>
      </c>
      <c r="F45" s="1">
        <v>2</v>
      </c>
      <c r="G45" s="1" t="s">
        <v>30</v>
      </c>
      <c r="H45" s="12">
        <v>41671</v>
      </c>
      <c r="I45" s="1">
        <v>11</v>
      </c>
      <c r="J45" s="1">
        <v>3</v>
      </c>
      <c r="K45" s="1" t="s">
        <v>23</v>
      </c>
      <c r="L45" s="1" t="s">
        <v>22</v>
      </c>
      <c r="M45" s="15">
        <f t="shared" si="0"/>
        <v>32.478127143908438</v>
      </c>
      <c r="N45" s="15">
        <f t="shared" si="1"/>
        <v>33.514899722198706</v>
      </c>
      <c r="O45" s="14">
        <f t="shared" si="2"/>
        <v>-4325.4151966270001</v>
      </c>
      <c r="P45" s="13">
        <f t="shared" si="3"/>
        <v>-3.1922178692644368E-2</v>
      </c>
      <c r="Q45" s="15">
        <f t="shared" si="4"/>
        <v>-1.0367725782902681</v>
      </c>
      <c r="R45" s="13">
        <f t="shared" si="5"/>
        <v>-3.1922178692644354E-2</v>
      </c>
      <c r="S45" s="15">
        <f t="shared" si="6"/>
        <v>35.267973231772061</v>
      </c>
      <c r="T45" s="15">
        <f t="shared" si="7"/>
        <v>33.790242085893482</v>
      </c>
    </row>
    <row r="46" spans="1:20" x14ac:dyDescent="0.3">
      <c r="A46" s="5">
        <v>41682.083333333336</v>
      </c>
      <c r="B46" s="14">
        <v>163432.84520528201</v>
      </c>
      <c r="C46" s="14">
        <v>166893.36891900501</v>
      </c>
      <c r="D46" s="6">
        <v>5037</v>
      </c>
      <c r="E46" s="1">
        <v>2014</v>
      </c>
      <c r="F46" s="1">
        <v>2</v>
      </c>
      <c r="G46" s="1" t="s">
        <v>30</v>
      </c>
      <c r="H46" s="12">
        <v>41671</v>
      </c>
      <c r="I46" s="1">
        <v>12</v>
      </c>
      <c r="J46" s="1">
        <v>4</v>
      </c>
      <c r="K46" s="1" t="s">
        <v>25</v>
      </c>
      <c r="L46" s="1" t="s">
        <v>22</v>
      </c>
      <c r="M46" s="15">
        <f t="shared" si="0"/>
        <v>32.446465198586857</v>
      </c>
      <c r="N46" s="15">
        <f t="shared" si="1"/>
        <v>33.13348598749355</v>
      </c>
      <c r="O46" s="14">
        <f t="shared" si="2"/>
        <v>-3460.5237137229997</v>
      </c>
      <c r="P46" s="13">
        <f t="shared" si="3"/>
        <v>-2.1173979498284833E-2</v>
      </c>
      <c r="Q46" s="15">
        <f t="shared" si="4"/>
        <v>-0.68702078890669327</v>
      </c>
      <c r="R46" s="13">
        <f t="shared" si="5"/>
        <v>-2.1173979498284919E-2</v>
      </c>
      <c r="S46" s="15">
        <f t="shared" si="6"/>
        <v>35.267973231772061</v>
      </c>
      <c r="T46" s="15">
        <f t="shared" si="7"/>
        <v>33.735121550253666</v>
      </c>
    </row>
    <row r="47" spans="1:20" x14ac:dyDescent="0.3">
      <c r="A47" s="5">
        <v>41683.083333333336</v>
      </c>
      <c r="B47" s="14">
        <v>138291.63332158601</v>
      </c>
      <c r="C47" s="14">
        <v>141027.43445568101</v>
      </c>
      <c r="D47" s="6">
        <v>4259</v>
      </c>
      <c r="E47" s="1">
        <v>2014</v>
      </c>
      <c r="F47" s="1">
        <v>2</v>
      </c>
      <c r="G47" s="1" t="s">
        <v>30</v>
      </c>
      <c r="H47" s="12">
        <v>41671</v>
      </c>
      <c r="I47" s="1">
        <v>13</v>
      </c>
      <c r="J47" s="1">
        <v>5</v>
      </c>
      <c r="K47" s="1" t="s">
        <v>26</v>
      </c>
      <c r="L47" s="1" t="s">
        <v>22</v>
      </c>
      <c r="M47" s="15">
        <f t="shared" si="0"/>
        <v>32.470446894009392</v>
      </c>
      <c r="N47" s="15">
        <f t="shared" si="1"/>
        <v>33.112804521174219</v>
      </c>
      <c r="O47" s="14">
        <f t="shared" si="2"/>
        <v>-2735.8011340950034</v>
      </c>
      <c r="P47" s="13">
        <f t="shared" si="3"/>
        <v>-1.9782839123268718E-2</v>
      </c>
      <c r="Q47" s="15">
        <f t="shared" si="4"/>
        <v>-0.64235762716482725</v>
      </c>
      <c r="R47" s="13">
        <f t="shared" si="5"/>
        <v>-1.9782839123268687E-2</v>
      </c>
      <c r="S47" s="15">
        <f t="shared" si="6"/>
        <v>35.267973231772061</v>
      </c>
      <c r="T47" s="15">
        <f t="shared" si="7"/>
        <v>33.680462396750563</v>
      </c>
    </row>
    <row r="48" spans="1:20" x14ac:dyDescent="0.3">
      <c r="A48" s="5">
        <v>41684.083333333336</v>
      </c>
      <c r="B48" s="14">
        <v>336901.37170009897</v>
      </c>
      <c r="C48" s="14">
        <v>343519.87554694701</v>
      </c>
      <c r="D48" s="6">
        <v>10381</v>
      </c>
      <c r="E48" s="1">
        <v>2014</v>
      </c>
      <c r="F48" s="1">
        <v>2</v>
      </c>
      <c r="G48" s="1" t="s">
        <v>30</v>
      </c>
      <c r="H48" s="12">
        <v>41671</v>
      </c>
      <c r="I48" s="1">
        <v>14</v>
      </c>
      <c r="J48" s="1">
        <v>6</v>
      </c>
      <c r="K48" s="1" t="s">
        <v>27</v>
      </c>
      <c r="L48" s="1" t="s">
        <v>22</v>
      </c>
      <c r="M48" s="15">
        <f t="shared" si="0"/>
        <v>32.453652991050859</v>
      </c>
      <c r="N48" s="15">
        <f t="shared" si="1"/>
        <v>33.091212363640018</v>
      </c>
      <c r="O48" s="14">
        <f t="shared" si="2"/>
        <v>-6618.5038468480343</v>
      </c>
      <c r="P48" s="13">
        <f t="shared" si="3"/>
        <v>-1.9645226772005125E-2</v>
      </c>
      <c r="Q48" s="15">
        <f t="shared" si="4"/>
        <v>-0.63755937258915907</v>
      </c>
      <c r="R48" s="13">
        <f t="shared" si="5"/>
        <v>-1.9645226772005205E-2</v>
      </c>
      <c r="S48" s="15">
        <f t="shared" si="6"/>
        <v>35.267973231772061</v>
      </c>
      <c r="T48" s="15">
        <f t="shared" si="7"/>
        <v>33.626123017647821</v>
      </c>
    </row>
    <row r="49" spans="1:20" x14ac:dyDescent="0.3">
      <c r="A49" s="5">
        <v>41685.083333333336</v>
      </c>
      <c r="B49" s="14">
        <v>367729.26821441198</v>
      </c>
      <c r="C49" s="14">
        <v>373973.59333485202</v>
      </c>
      <c r="D49" s="6">
        <v>11332</v>
      </c>
      <c r="E49" s="1">
        <v>2014</v>
      </c>
      <c r="F49" s="1">
        <v>2</v>
      </c>
      <c r="G49" s="1" t="s">
        <v>30</v>
      </c>
      <c r="H49" s="12">
        <v>41671</v>
      </c>
      <c r="I49" s="1">
        <v>15</v>
      </c>
      <c r="J49" s="1">
        <v>7</v>
      </c>
      <c r="K49" s="1" t="s">
        <v>28</v>
      </c>
      <c r="L49" s="1" t="s">
        <v>22</v>
      </c>
      <c r="M49" s="15">
        <f t="shared" si="0"/>
        <v>32.450517844547477</v>
      </c>
      <c r="N49" s="15">
        <f t="shared" si="1"/>
        <v>33.001552535726439</v>
      </c>
      <c r="O49" s="14">
        <f t="shared" si="2"/>
        <v>-6244.325120440044</v>
      </c>
      <c r="P49" s="13">
        <f t="shared" si="3"/>
        <v>-1.6980767265985377E-2</v>
      </c>
      <c r="Q49" s="15">
        <f t="shared" si="4"/>
        <v>-0.55103469117896253</v>
      </c>
      <c r="R49" s="13">
        <f t="shared" si="5"/>
        <v>-1.6980767265985266E-2</v>
      </c>
      <c r="S49" s="15">
        <f t="shared" si="6"/>
        <v>35.267973231772061</v>
      </c>
      <c r="T49" s="15">
        <f t="shared" si="7"/>
        <v>33.571651429753537</v>
      </c>
    </row>
    <row r="50" spans="1:20" x14ac:dyDescent="0.3">
      <c r="A50" s="5">
        <v>41686.083333333336</v>
      </c>
      <c r="B50" s="14">
        <v>133913.841387391</v>
      </c>
      <c r="C50" s="14">
        <v>136797.07737015301</v>
      </c>
      <c r="D50" s="6">
        <v>4127</v>
      </c>
      <c r="E50" s="1">
        <v>2014</v>
      </c>
      <c r="F50" s="1">
        <v>2</v>
      </c>
      <c r="G50" s="1" t="s">
        <v>30</v>
      </c>
      <c r="H50" s="12">
        <v>41671</v>
      </c>
      <c r="I50" s="1">
        <v>16</v>
      </c>
      <c r="J50" s="1">
        <v>1</v>
      </c>
      <c r="K50" s="1" t="s">
        <v>29</v>
      </c>
      <c r="L50" s="1" t="s">
        <v>22</v>
      </c>
      <c r="M50" s="15">
        <f t="shared" si="0"/>
        <v>32.448229073755996</v>
      </c>
      <c r="N50" s="15">
        <f t="shared" si="1"/>
        <v>33.146856644088444</v>
      </c>
      <c r="O50" s="14">
        <f t="shared" si="2"/>
        <v>-2883.2359827620094</v>
      </c>
      <c r="P50" s="13">
        <f t="shared" si="3"/>
        <v>-2.1530530025057497E-2</v>
      </c>
      <c r="Q50" s="15">
        <f t="shared" si="4"/>
        <v>-0.69862757033244804</v>
      </c>
      <c r="R50" s="13">
        <f t="shared" si="5"/>
        <v>-2.1530530025057525E-2</v>
      </c>
      <c r="S50" s="15">
        <f t="shared" si="6"/>
        <v>35.267973231772061</v>
      </c>
      <c r="T50" s="15">
        <f t="shared" si="7"/>
        <v>33.515317031741766</v>
      </c>
    </row>
    <row r="51" spans="1:20" x14ac:dyDescent="0.3">
      <c r="A51" s="5">
        <v>41687.083333333336</v>
      </c>
      <c r="B51" s="14">
        <v>150800.34701666201</v>
      </c>
      <c r="C51" s="14">
        <v>152887.10639947999</v>
      </c>
      <c r="D51" s="6">
        <v>4649</v>
      </c>
      <c r="E51" s="1">
        <v>2014</v>
      </c>
      <c r="F51" s="1">
        <v>2</v>
      </c>
      <c r="G51" s="1" t="s">
        <v>30</v>
      </c>
      <c r="H51" s="12">
        <v>41671</v>
      </c>
      <c r="I51" s="1">
        <v>17</v>
      </c>
      <c r="J51" s="1">
        <v>2</v>
      </c>
      <c r="K51" s="1" t="s">
        <v>21</v>
      </c>
      <c r="L51" s="1" t="s">
        <v>22</v>
      </c>
      <c r="M51" s="15">
        <f t="shared" si="0"/>
        <v>32.437157886999785</v>
      </c>
      <c r="N51" s="15">
        <f t="shared" si="1"/>
        <v>32.886019875130131</v>
      </c>
      <c r="O51" s="14">
        <f t="shared" si="2"/>
        <v>-2086.7593828179815</v>
      </c>
      <c r="P51" s="13">
        <f t="shared" si="3"/>
        <v>-1.3837895098394001E-2</v>
      </c>
      <c r="Q51" s="15">
        <f t="shared" si="4"/>
        <v>-0.44886198813034639</v>
      </c>
      <c r="R51" s="13">
        <f t="shared" si="5"/>
        <v>-1.3837895098393994E-2</v>
      </c>
      <c r="S51" s="15">
        <f t="shared" si="6"/>
        <v>35.267973231772061</v>
      </c>
      <c r="T51" s="15">
        <f t="shared" si="7"/>
        <v>33.458944658358462</v>
      </c>
    </row>
    <row r="52" spans="1:20" x14ac:dyDescent="0.3">
      <c r="A52" s="5">
        <v>41688.083333333336</v>
      </c>
      <c r="B52" s="14">
        <v>55591.930335773897</v>
      </c>
      <c r="C52" s="14">
        <v>53463.244211993297</v>
      </c>
      <c r="D52" s="6">
        <v>1627</v>
      </c>
      <c r="E52" s="1">
        <v>2014</v>
      </c>
      <c r="F52" s="1">
        <v>2</v>
      </c>
      <c r="G52" s="1" t="s">
        <v>30</v>
      </c>
      <c r="H52" s="12">
        <v>41671</v>
      </c>
      <c r="I52" s="1">
        <v>18</v>
      </c>
      <c r="J52" s="1">
        <v>3</v>
      </c>
      <c r="K52" s="1" t="s">
        <v>23</v>
      </c>
      <c r="L52" s="1" t="s">
        <v>22</v>
      </c>
      <c r="M52" s="15">
        <f t="shared" si="0"/>
        <v>34.168365295497168</v>
      </c>
      <c r="N52" s="15">
        <f t="shared" si="1"/>
        <v>32.860014881372649</v>
      </c>
      <c r="O52" s="14">
        <f t="shared" si="2"/>
        <v>2128.6861237806006</v>
      </c>
      <c r="P52" s="13">
        <f t="shared" si="3"/>
        <v>3.8291279164500827E-2</v>
      </c>
      <c r="Q52" s="15">
        <f t="shared" si="4"/>
        <v>1.3083504141245186</v>
      </c>
      <c r="R52" s="13">
        <f t="shared" si="5"/>
        <v>3.8291279164500674E-2</v>
      </c>
      <c r="S52" s="15">
        <f t="shared" si="6"/>
        <v>35.267973231772061</v>
      </c>
      <c r="T52" s="15">
        <f t="shared" si="7"/>
        <v>33.459757398842825</v>
      </c>
    </row>
    <row r="53" spans="1:20" x14ac:dyDescent="0.3">
      <c r="A53" s="5">
        <v>41689.083333333336</v>
      </c>
      <c r="B53" s="14">
        <v>106427.191838824</v>
      </c>
      <c r="C53" s="14">
        <v>107736.44407595901</v>
      </c>
      <c r="D53" s="6">
        <v>3281</v>
      </c>
      <c r="E53" s="1">
        <v>2014</v>
      </c>
      <c r="F53" s="1">
        <v>2</v>
      </c>
      <c r="G53" s="1" t="s">
        <v>30</v>
      </c>
      <c r="H53" s="12">
        <v>41671</v>
      </c>
      <c r="I53" s="1">
        <v>19</v>
      </c>
      <c r="J53" s="1">
        <v>4</v>
      </c>
      <c r="K53" s="1" t="s">
        <v>25</v>
      </c>
      <c r="L53" s="1" t="s">
        <v>22</v>
      </c>
      <c r="M53" s="15">
        <f t="shared" si="0"/>
        <v>32.437425126127401</v>
      </c>
      <c r="N53" s="15">
        <f t="shared" si="1"/>
        <v>32.836465734824444</v>
      </c>
      <c r="O53" s="14">
        <f t="shared" si="2"/>
        <v>-1309.252237135006</v>
      </c>
      <c r="P53" s="13">
        <f t="shared" si="3"/>
        <v>-1.2301858336333541E-2</v>
      </c>
      <c r="Q53" s="15">
        <f t="shared" si="4"/>
        <v>-0.39904060869704239</v>
      </c>
      <c r="R53" s="13">
        <f t="shared" si="5"/>
        <v>-1.2301858336333448E-2</v>
      </c>
      <c r="S53" s="15">
        <f t="shared" si="6"/>
        <v>35.267973231772061</v>
      </c>
      <c r="T53" s="15">
        <f t="shared" si="7"/>
        <v>33.403654315501669</v>
      </c>
    </row>
    <row r="54" spans="1:20" x14ac:dyDescent="0.3">
      <c r="A54" s="5">
        <v>41690.083333333336</v>
      </c>
      <c r="B54" s="14">
        <v>78940.554424797898</v>
      </c>
      <c r="C54" s="14">
        <v>75934.394822039598</v>
      </c>
      <c r="D54" s="6">
        <v>2310</v>
      </c>
      <c r="E54" s="1">
        <v>2014</v>
      </c>
      <c r="F54" s="1">
        <v>2</v>
      </c>
      <c r="G54" s="1" t="s">
        <v>30</v>
      </c>
      <c r="H54" s="12">
        <v>41671</v>
      </c>
      <c r="I54" s="1">
        <v>20</v>
      </c>
      <c r="J54" s="1">
        <v>5</v>
      </c>
      <c r="K54" s="1" t="s">
        <v>26</v>
      </c>
      <c r="L54" s="1" t="s">
        <v>22</v>
      </c>
      <c r="M54" s="15">
        <f t="shared" si="0"/>
        <v>34.173400183895197</v>
      </c>
      <c r="N54" s="15">
        <f t="shared" si="1"/>
        <v>32.872032390493331</v>
      </c>
      <c r="O54" s="14">
        <f t="shared" si="2"/>
        <v>3006.1596027583</v>
      </c>
      <c r="P54" s="13">
        <f t="shared" si="3"/>
        <v>3.8081308456252287E-2</v>
      </c>
      <c r="Q54" s="15">
        <f t="shared" si="4"/>
        <v>1.3013677934018659</v>
      </c>
      <c r="R54" s="13">
        <f t="shared" si="5"/>
        <v>3.8081308456252412E-2</v>
      </c>
      <c r="S54" s="15">
        <f t="shared" si="6"/>
        <v>35.267973231772061</v>
      </c>
      <c r="T54" s="15">
        <f t="shared" si="7"/>
        <v>33.406527899011181</v>
      </c>
    </row>
    <row r="55" spans="1:20" x14ac:dyDescent="0.3">
      <c r="A55" s="5">
        <v>41691.083333333336</v>
      </c>
      <c r="B55" s="14">
        <v>317916.31785853399</v>
      </c>
      <c r="C55" s="14">
        <v>322089.78895544203</v>
      </c>
      <c r="D55" s="6">
        <v>9802</v>
      </c>
      <c r="E55" s="1">
        <v>2014</v>
      </c>
      <c r="F55" s="1">
        <v>2</v>
      </c>
      <c r="G55" s="1" t="s">
        <v>30</v>
      </c>
      <c r="H55" s="12">
        <v>41671</v>
      </c>
      <c r="I55" s="1">
        <v>21</v>
      </c>
      <c r="J55" s="1">
        <v>6</v>
      </c>
      <c r="K55" s="1" t="s">
        <v>27</v>
      </c>
      <c r="L55" s="1" t="s">
        <v>22</v>
      </c>
      <c r="M55" s="15">
        <f t="shared" si="0"/>
        <v>32.433821450574783</v>
      </c>
      <c r="N55" s="15">
        <f t="shared" si="1"/>
        <v>32.859598954850235</v>
      </c>
      <c r="O55" s="14">
        <f t="shared" si="2"/>
        <v>-4173.4710969080334</v>
      </c>
      <c r="P55" s="13">
        <f t="shared" si="3"/>
        <v>-1.3127577486491711E-2</v>
      </c>
      <c r="Q55" s="15">
        <f t="shared" si="4"/>
        <v>-0.42577750427545169</v>
      </c>
      <c r="R55" s="13">
        <f t="shared" si="5"/>
        <v>-1.3127577486491534E-2</v>
      </c>
      <c r="S55" s="15">
        <f t="shared" si="6"/>
        <v>35.267973231772061</v>
      </c>
      <c r="T55" s="15">
        <f t="shared" si="7"/>
        <v>33.356859060429031</v>
      </c>
    </row>
    <row r="56" spans="1:20" x14ac:dyDescent="0.3">
      <c r="A56" s="5">
        <v>41692.083333333336</v>
      </c>
      <c r="B56" s="14">
        <v>309217.87556252599</v>
      </c>
      <c r="C56" s="14">
        <v>320116.92432327801</v>
      </c>
      <c r="D56" s="6">
        <v>9772</v>
      </c>
      <c r="E56" s="1">
        <v>2014</v>
      </c>
      <c r="F56" s="1">
        <v>2</v>
      </c>
      <c r="G56" s="1" t="s">
        <v>30</v>
      </c>
      <c r="H56" s="12">
        <v>41671</v>
      </c>
      <c r="I56" s="1">
        <v>22</v>
      </c>
      <c r="J56" s="1">
        <v>7</v>
      </c>
      <c r="K56" s="1" t="s">
        <v>28</v>
      </c>
      <c r="L56" s="1" t="s">
        <v>22</v>
      </c>
      <c r="M56" s="15">
        <f t="shared" si="0"/>
        <v>31.643253741560173</v>
      </c>
      <c r="N56" s="15">
        <f t="shared" si="1"/>
        <v>32.75858824429779</v>
      </c>
      <c r="O56" s="14">
        <f t="shared" si="2"/>
        <v>-10899.048760752019</v>
      </c>
      <c r="P56" s="13">
        <f t="shared" si="3"/>
        <v>-3.5247149735197492E-2</v>
      </c>
      <c r="Q56" s="15">
        <f t="shared" si="4"/>
        <v>-1.1153345027376176</v>
      </c>
      <c r="R56" s="13">
        <f t="shared" si="5"/>
        <v>-3.5247149735197422E-2</v>
      </c>
      <c r="S56" s="15">
        <f t="shared" si="6"/>
        <v>35.267973231772061</v>
      </c>
      <c r="T56" s="15">
        <f t="shared" si="7"/>
        <v>33.272429228792227</v>
      </c>
    </row>
    <row r="57" spans="1:20" x14ac:dyDescent="0.3">
      <c r="A57" s="5">
        <v>41693.083333333336</v>
      </c>
      <c r="B57" s="14">
        <v>138491.54995046201</v>
      </c>
      <c r="C57" s="14">
        <v>140752.60159166699</v>
      </c>
      <c r="D57" s="6">
        <v>4270</v>
      </c>
      <c r="E57" s="1">
        <v>2014</v>
      </c>
      <c r="F57" s="1">
        <v>2</v>
      </c>
      <c r="G57" s="1" t="s">
        <v>30</v>
      </c>
      <c r="H57" s="12">
        <v>41671</v>
      </c>
      <c r="I57" s="1">
        <v>23</v>
      </c>
      <c r="J57" s="1">
        <v>1</v>
      </c>
      <c r="K57" s="1" t="s">
        <v>29</v>
      </c>
      <c r="L57" s="1" t="s">
        <v>22</v>
      </c>
      <c r="M57" s="15">
        <f t="shared" si="0"/>
        <v>32.433618255377517</v>
      </c>
      <c r="N57" s="15">
        <f t="shared" si="1"/>
        <v>32.963138546057841</v>
      </c>
      <c r="O57" s="14">
        <f t="shared" si="2"/>
        <v>-2261.0516412049765</v>
      </c>
      <c r="P57" s="13">
        <f t="shared" si="3"/>
        <v>-1.6326278693636887E-2</v>
      </c>
      <c r="Q57" s="15">
        <f t="shared" si="4"/>
        <v>-0.52952029068032402</v>
      </c>
      <c r="R57" s="13">
        <f t="shared" si="5"/>
        <v>-1.6326278693636939E-2</v>
      </c>
      <c r="S57" s="15">
        <f t="shared" si="6"/>
        <v>35.267973231772061</v>
      </c>
      <c r="T57" s="15">
        <f t="shared" si="7"/>
        <v>33.214599600203329</v>
      </c>
    </row>
    <row r="58" spans="1:20" x14ac:dyDescent="0.3">
      <c r="A58" s="5">
        <v>41694.083333333336</v>
      </c>
      <c r="B58" s="14">
        <v>133146.222205236</v>
      </c>
      <c r="C58" s="14">
        <v>134505.40422379499</v>
      </c>
      <c r="D58" s="6">
        <v>4106</v>
      </c>
      <c r="E58" s="1">
        <v>2014</v>
      </c>
      <c r="F58" s="1">
        <v>2</v>
      </c>
      <c r="G58" s="1" t="s">
        <v>30</v>
      </c>
      <c r="H58" s="12">
        <v>41671</v>
      </c>
      <c r="I58" s="1">
        <v>24</v>
      </c>
      <c r="J58" s="1">
        <v>2</v>
      </c>
      <c r="K58" s="1" t="s">
        <v>21</v>
      </c>
      <c r="L58" s="1" t="s">
        <v>22</v>
      </c>
      <c r="M58" s="15">
        <f t="shared" si="0"/>
        <v>32.427233854173402</v>
      </c>
      <c r="N58" s="15">
        <f t="shared" si="1"/>
        <v>32.758257239112275</v>
      </c>
      <c r="O58" s="14">
        <f t="shared" si="2"/>
        <v>-1359.1820185589895</v>
      </c>
      <c r="P58" s="13">
        <f t="shared" si="3"/>
        <v>-1.0208190634683584E-2</v>
      </c>
      <c r="Q58" s="15">
        <f t="shared" si="4"/>
        <v>-0.33102338493887373</v>
      </c>
      <c r="R58" s="13">
        <f t="shared" si="5"/>
        <v>-1.020819063468378E-2</v>
      </c>
      <c r="S58" s="15">
        <f t="shared" si="6"/>
        <v>35.267973231772061</v>
      </c>
      <c r="T58" s="15">
        <f t="shared" si="7"/>
        <v>33.156475523236509</v>
      </c>
    </row>
    <row r="59" spans="1:20" x14ac:dyDescent="0.3">
      <c r="A59" s="5">
        <v>41695.083333333336</v>
      </c>
      <c r="B59" s="14">
        <v>224994.65618289201</v>
      </c>
      <c r="C59" s="14">
        <v>227546.446559601</v>
      </c>
      <c r="D59" s="6">
        <v>6937</v>
      </c>
      <c r="E59" s="1">
        <v>2014</v>
      </c>
      <c r="F59" s="1">
        <v>2</v>
      </c>
      <c r="G59" s="1" t="s">
        <v>30</v>
      </c>
      <c r="H59" s="12">
        <v>41671</v>
      </c>
      <c r="I59" s="1">
        <v>25</v>
      </c>
      <c r="J59" s="1">
        <v>3</v>
      </c>
      <c r="K59" s="1" t="s">
        <v>23</v>
      </c>
      <c r="L59" s="1" t="s">
        <v>22</v>
      </c>
      <c r="M59" s="15">
        <f t="shared" si="0"/>
        <v>32.433999738055647</v>
      </c>
      <c r="N59" s="15">
        <f t="shared" si="1"/>
        <v>32.801851889808418</v>
      </c>
      <c r="O59" s="14">
        <f t="shared" si="2"/>
        <v>-2551.7903767089883</v>
      </c>
      <c r="P59" s="13">
        <f t="shared" si="3"/>
        <v>-1.1341559928582072E-2</v>
      </c>
      <c r="Q59" s="15">
        <f t="shared" si="4"/>
        <v>-0.36785215175277131</v>
      </c>
      <c r="R59" s="13">
        <f t="shared" si="5"/>
        <v>-1.1341559928582009E-2</v>
      </c>
      <c r="S59" s="15">
        <f t="shared" si="6"/>
        <v>35.267973231772061</v>
      </c>
      <c r="T59" s="15">
        <f t="shared" si="7"/>
        <v>33.098762792469266</v>
      </c>
    </row>
    <row r="60" spans="1:20" x14ac:dyDescent="0.3">
      <c r="A60" s="5">
        <v>41696.083333333336</v>
      </c>
      <c r="B60" s="14">
        <v>225051.59146803201</v>
      </c>
      <c r="C60" s="14">
        <v>228214.142119431</v>
      </c>
      <c r="D60" s="6">
        <v>6934</v>
      </c>
      <c r="E60" s="1">
        <v>2014</v>
      </c>
      <c r="F60" s="1">
        <v>2</v>
      </c>
      <c r="G60" s="1" t="s">
        <v>30</v>
      </c>
      <c r="H60" s="12">
        <v>41671</v>
      </c>
      <c r="I60" s="1">
        <v>26</v>
      </c>
      <c r="J60" s="1">
        <v>4</v>
      </c>
      <c r="K60" s="1" t="s">
        <v>25</v>
      </c>
      <c r="L60" s="1" t="s">
        <v>22</v>
      </c>
      <c r="M60" s="15">
        <f t="shared" si="0"/>
        <v>32.456243361412177</v>
      </c>
      <c r="N60" s="15">
        <f t="shared" si="1"/>
        <v>32.912336619473749</v>
      </c>
      <c r="O60" s="14">
        <f t="shared" si="2"/>
        <v>-3162.5506513989822</v>
      </c>
      <c r="P60" s="13">
        <f t="shared" si="3"/>
        <v>-1.4052558485676003E-2</v>
      </c>
      <c r="Q60" s="15">
        <f t="shared" si="4"/>
        <v>-0.45609325806157131</v>
      </c>
      <c r="R60" s="13">
        <f t="shared" si="5"/>
        <v>-1.4052558485675793E-2</v>
      </c>
      <c r="S60" s="15">
        <f t="shared" si="6"/>
        <v>35.267973231772061</v>
      </c>
      <c r="T60" s="15">
        <f t="shared" si="7"/>
        <v>33.041392950139809</v>
      </c>
    </row>
    <row r="61" spans="1:20" x14ac:dyDescent="0.3">
      <c r="A61" s="5">
        <v>41697.083333333336</v>
      </c>
      <c r="B61" s="14">
        <v>344299.68244112999</v>
      </c>
      <c r="C61" s="14">
        <v>365935.65295592602</v>
      </c>
      <c r="D61" s="6">
        <v>11082</v>
      </c>
      <c r="E61" s="1">
        <v>2014</v>
      </c>
      <c r="F61" s="1">
        <v>2</v>
      </c>
      <c r="G61" s="1" t="s">
        <v>30</v>
      </c>
      <c r="H61" s="12">
        <v>41671</v>
      </c>
      <c r="I61" s="1">
        <v>27</v>
      </c>
      <c r="J61" s="1">
        <v>5</v>
      </c>
      <c r="K61" s="1" t="s">
        <v>26</v>
      </c>
      <c r="L61" s="1" t="s">
        <v>22</v>
      </c>
      <c r="M61" s="15">
        <f t="shared" si="0"/>
        <v>31.068370550544124</v>
      </c>
      <c r="N61" s="15">
        <f t="shared" si="1"/>
        <v>33.020723060451722</v>
      </c>
      <c r="O61" s="14">
        <f t="shared" si="2"/>
        <v>-21635.970514796034</v>
      </c>
      <c r="P61" s="13">
        <f t="shared" si="3"/>
        <v>-6.2840518357130504E-2</v>
      </c>
      <c r="Q61" s="15">
        <f t="shared" si="4"/>
        <v>-1.9523525099075982</v>
      </c>
      <c r="R61" s="13">
        <f t="shared" si="5"/>
        <v>-6.284051835713042E-2</v>
      </c>
      <c r="S61" s="15">
        <f t="shared" si="6"/>
        <v>35.267973231772061</v>
      </c>
      <c r="T61" s="15">
        <f t="shared" si="7"/>
        <v>32.938434756151871</v>
      </c>
    </row>
    <row r="62" spans="1:20" x14ac:dyDescent="0.3">
      <c r="A62" s="5">
        <v>41698.083333333336</v>
      </c>
      <c r="B62" s="14">
        <v>661876.49999964901</v>
      </c>
      <c r="C62" s="14">
        <v>686656.79099217104</v>
      </c>
      <c r="D62" s="6">
        <v>20805</v>
      </c>
      <c r="E62" s="1">
        <v>2014</v>
      </c>
      <c r="F62" s="1">
        <v>2</v>
      </c>
      <c r="G62" s="1" t="s">
        <v>30</v>
      </c>
      <c r="H62" s="12">
        <v>41671</v>
      </c>
      <c r="I62" s="1">
        <v>28</v>
      </c>
      <c r="J62" s="1">
        <v>6</v>
      </c>
      <c r="K62" s="1" t="s">
        <v>27</v>
      </c>
      <c r="L62" s="1" t="s">
        <v>22</v>
      </c>
      <c r="M62" s="15">
        <f t="shared" si="0"/>
        <v>31.813338139853354</v>
      </c>
      <c r="N62" s="15">
        <f t="shared" si="1"/>
        <v>33.004411967900552</v>
      </c>
      <c r="O62" s="14">
        <f t="shared" si="2"/>
        <v>-24780.29099252203</v>
      </c>
      <c r="P62" s="13">
        <f t="shared" si="3"/>
        <v>-3.7439448284589602E-2</v>
      </c>
      <c r="Q62" s="15">
        <f t="shared" si="4"/>
        <v>-1.1910738280471982</v>
      </c>
      <c r="R62" s="13">
        <f t="shared" si="5"/>
        <v>-3.7439448284589498E-2</v>
      </c>
      <c r="S62" s="15">
        <f t="shared" si="6"/>
        <v>35.267973231772061</v>
      </c>
      <c r="T62" s="15">
        <f t="shared" si="7"/>
        <v>32.85976585369994</v>
      </c>
    </row>
    <row r="63" spans="1:20" x14ac:dyDescent="0.3">
      <c r="A63" s="5">
        <v>41699.083333333336</v>
      </c>
      <c r="B63" s="14">
        <v>846678.38816080405</v>
      </c>
      <c r="C63" s="14">
        <v>872081.58500352094</v>
      </c>
      <c r="D63" s="6">
        <v>26410</v>
      </c>
      <c r="E63" s="1">
        <v>2014</v>
      </c>
      <c r="F63" s="1">
        <v>3</v>
      </c>
      <c r="G63" s="1" t="s">
        <v>31</v>
      </c>
      <c r="H63" s="12">
        <v>41699</v>
      </c>
      <c r="I63" s="1">
        <v>1</v>
      </c>
      <c r="J63" s="1">
        <v>7</v>
      </c>
      <c r="K63" s="1" t="s">
        <v>28</v>
      </c>
      <c r="L63" s="1" t="s">
        <v>22</v>
      </c>
      <c r="M63" s="15">
        <f t="shared" si="0"/>
        <v>32.059007503248921</v>
      </c>
      <c r="N63" s="15">
        <f t="shared" si="1"/>
        <v>33.020885460186328</v>
      </c>
      <c r="O63" s="14">
        <f t="shared" si="2"/>
        <v>-25403.19684271689</v>
      </c>
      <c r="P63" s="13">
        <f t="shared" si="3"/>
        <v>-3.000336042342943E-2</v>
      </c>
      <c r="Q63" s="15">
        <f t="shared" si="4"/>
        <v>-0.96187795693740696</v>
      </c>
      <c r="R63" s="13">
        <f t="shared" si="5"/>
        <v>-3.0003360423429465E-2</v>
      </c>
      <c r="S63" s="15">
        <f t="shared" si="6"/>
        <v>35.267973231772061</v>
      </c>
      <c r="T63" s="15">
        <f t="shared" si="7"/>
        <v>32.78956276848065</v>
      </c>
    </row>
    <row r="64" spans="1:20" x14ac:dyDescent="0.3">
      <c r="A64" s="5">
        <v>41700.083333333336</v>
      </c>
      <c r="B64" s="14">
        <v>478902.304871823</v>
      </c>
      <c r="C64" s="14">
        <v>495554.44992388802</v>
      </c>
      <c r="D64" s="6">
        <v>15004</v>
      </c>
      <c r="E64" s="1">
        <v>2014</v>
      </c>
      <c r="F64" s="1">
        <v>3</v>
      </c>
      <c r="G64" s="1" t="s">
        <v>31</v>
      </c>
      <c r="H64" s="12">
        <v>41699</v>
      </c>
      <c r="I64" s="1">
        <v>2</v>
      </c>
      <c r="J64" s="1">
        <v>1</v>
      </c>
      <c r="K64" s="1" t="s">
        <v>29</v>
      </c>
      <c r="L64" s="1" t="s">
        <v>22</v>
      </c>
      <c r="M64" s="15">
        <f t="shared" si="0"/>
        <v>31.918308775781323</v>
      </c>
      <c r="N64" s="15">
        <f t="shared" si="1"/>
        <v>33.028155820040524</v>
      </c>
      <c r="O64" s="14">
        <f t="shared" si="2"/>
        <v>-16652.145052065025</v>
      </c>
      <c r="P64" s="13">
        <f t="shared" si="3"/>
        <v>-3.477148654885244E-2</v>
      </c>
      <c r="Q64" s="15">
        <f t="shared" si="4"/>
        <v>-1.109847044259201</v>
      </c>
      <c r="R64" s="13">
        <f t="shared" si="5"/>
        <v>-3.4771486548852502E-2</v>
      </c>
      <c r="S64" s="15">
        <f t="shared" si="6"/>
        <v>35.267973231772061</v>
      </c>
      <c r="T64" s="15">
        <f t="shared" si="7"/>
        <v>32.714599252070954</v>
      </c>
    </row>
    <row r="65" spans="1:20" x14ac:dyDescent="0.3">
      <c r="A65" s="5">
        <v>41701.083333333336</v>
      </c>
      <c r="B65" s="14">
        <v>538827.20213254297</v>
      </c>
      <c r="C65" s="14">
        <v>557567.13698481303</v>
      </c>
      <c r="D65" s="6">
        <v>16884</v>
      </c>
      <c r="E65" s="1">
        <v>2014</v>
      </c>
      <c r="F65" s="1">
        <v>3</v>
      </c>
      <c r="G65" s="1" t="s">
        <v>31</v>
      </c>
      <c r="H65" s="12">
        <v>41699</v>
      </c>
      <c r="I65" s="1">
        <v>3</v>
      </c>
      <c r="J65" s="1">
        <v>2</v>
      </c>
      <c r="K65" s="1" t="s">
        <v>21</v>
      </c>
      <c r="L65" s="1" t="s">
        <v>22</v>
      </c>
      <c r="M65" s="15">
        <f t="shared" si="0"/>
        <v>31.913480344263384</v>
      </c>
      <c r="N65" s="15">
        <f t="shared" si="1"/>
        <v>33.023403043402809</v>
      </c>
      <c r="O65" s="14">
        <f t="shared" si="2"/>
        <v>-18739.93485227006</v>
      </c>
      <c r="P65" s="13">
        <f t="shared" si="3"/>
        <v>-3.477911801427637E-2</v>
      </c>
      <c r="Q65" s="15">
        <f t="shared" si="4"/>
        <v>-1.1099226991394247</v>
      </c>
      <c r="R65" s="13">
        <f t="shared" si="5"/>
        <v>-3.4779118014276342E-2</v>
      </c>
      <c r="S65" s="15">
        <f t="shared" si="6"/>
        <v>35.267973231772061</v>
      </c>
      <c r="T65" s="15">
        <f t="shared" si="7"/>
        <v>32.639561364091819</v>
      </c>
    </row>
    <row r="66" spans="1:20" x14ac:dyDescent="0.3">
      <c r="A66" s="5">
        <v>41702.083333333336</v>
      </c>
      <c r="B66" s="14">
        <v>310346.12128754501</v>
      </c>
      <c r="C66" s="14">
        <v>323325.02992702503</v>
      </c>
      <c r="D66" s="6">
        <v>9789</v>
      </c>
      <c r="E66" s="1">
        <v>2014</v>
      </c>
      <c r="F66" s="1">
        <v>3</v>
      </c>
      <c r="G66" s="1" t="s">
        <v>31</v>
      </c>
      <c r="H66" s="12">
        <v>41699</v>
      </c>
      <c r="I66" s="1">
        <v>4</v>
      </c>
      <c r="J66" s="1">
        <v>3</v>
      </c>
      <c r="K66" s="1" t="s">
        <v>23</v>
      </c>
      <c r="L66" s="1" t="s">
        <v>22</v>
      </c>
      <c r="M66" s="15">
        <f t="shared" si="0"/>
        <v>31.703557185365717</v>
      </c>
      <c r="N66" s="15">
        <f t="shared" si="1"/>
        <v>33.02942383563439</v>
      </c>
      <c r="O66" s="14">
        <f t="shared" si="2"/>
        <v>-12978.908639480011</v>
      </c>
      <c r="P66" s="13">
        <f t="shared" si="3"/>
        <v>-4.1820753504615775E-2</v>
      </c>
      <c r="Q66" s="15">
        <f t="shared" si="4"/>
        <v>-1.3258666502686722</v>
      </c>
      <c r="R66" s="13">
        <f t="shared" si="5"/>
        <v>-4.1820753504615844E-2</v>
      </c>
      <c r="S66" s="15">
        <f t="shared" si="6"/>
        <v>35.267973231772061</v>
      </c>
      <c r="T66" s="15">
        <f t="shared" si="7"/>
        <v>32.557455227645605</v>
      </c>
    </row>
    <row r="67" spans="1:20" x14ac:dyDescent="0.3">
      <c r="A67" s="5">
        <v>41703.083333333336</v>
      </c>
      <c r="B67" s="14">
        <v>256390.522210472</v>
      </c>
      <c r="C67" s="14">
        <v>267308.50708270998</v>
      </c>
      <c r="D67" s="6">
        <v>8079</v>
      </c>
      <c r="E67" s="1">
        <v>2014</v>
      </c>
      <c r="F67" s="1">
        <v>3</v>
      </c>
      <c r="G67" s="1" t="s">
        <v>31</v>
      </c>
      <c r="H67" s="12">
        <v>41699</v>
      </c>
      <c r="I67" s="1">
        <v>5</v>
      </c>
      <c r="J67" s="1">
        <v>4</v>
      </c>
      <c r="K67" s="1" t="s">
        <v>25</v>
      </c>
      <c r="L67" s="1" t="s">
        <v>22</v>
      </c>
      <c r="M67" s="15">
        <f t="shared" ref="M67:M130" si="8">IFERROR(B67/D67,0)</f>
        <v>31.735427925544251</v>
      </c>
      <c r="N67" s="15">
        <f t="shared" ref="N67:N130" si="9">IFERROR(C67/D67,0)</f>
        <v>33.086830929905929</v>
      </c>
      <c r="O67" s="14">
        <f t="shared" ref="O67:O130" si="10">B67-C67</f>
        <v>-10917.984872237983</v>
      </c>
      <c r="P67" s="13">
        <f t="shared" ref="P67:P130" si="11">IFERROR(O67/B67,0)</f>
        <v>-4.2583418365501689E-2</v>
      </c>
      <c r="Q67" s="15">
        <f t="shared" ref="Q67:Q130" si="12">M67-N67</f>
        <v>-1.3514030043616785</v>
      </c>
      <c r="R67" s="13">
        <f t="shared" ref="R67:R130" si="13">IFERROR(Q67/M67,0)</f>
        <v>-4.2583418365501759E-2</v>
      </c>
      <c r="S67" s="15">
        <f t="shared" ref="S67:S130" si="14">IFERROR(SUM($B$2:$B$1001)/SUM($D$2:$D$1001),0)</f>
        <v>35.267973231772061</v>
      </c>
      <c r="T67" s="15">
        <f t="shared" ref="T67:T130" si="15">AVERAGEIFS($M$2:$M$1001,$A$2:$A$1001,"&gt;="&amp;A67-29,$A$2:$A$1001,"&lt;="&amp;A67)</f>
        <v>32.4764136709748</v>
      </c>
    </row>
    <row r="68" spans="1:20" x14ac:dyDescent="0.3">
      <c r="A68" s="5">
        <v>41704.083333333336</v>
      </c>
      <c r="B68" s="14">
        <v>167803.65977609399</v>
      </c>
      <c r="C68" s="14">
        <v>168135.69000612199</v>
      </c>
      <c r="D68" s="6">
        <v>5072</v>
      </c>
      <c r="E68" s="1">
        <v>2014</v>
      </c>
      <c r="F68" s="1">
        <v>3</v>
      </c>
      <c r="G68" s="1" t="s">
        <v>31</v>
      </c>
      <c r="H68" s="12">
        <v>41699</v>
      </c>
      <c r="I68" s="1">
        <v>6</v>
      </c>
      <c r="J68" s="1">
        <v>5</v>
      </c>
      <c r="K68" s="1" t="s">
        <v>26</v>
      </c>
      <c r="L68" s="1" t="s">
        <v>22</v>
      </c>
      <c r="M68" s="15">
        <f t="shared" si="8"/>
        <v>33.084317779198344</v>
      </c>
      <c r="N68" s="15">
        <f t="shared" si="9"/>
        <v>33.149781152626574</v>
      </c>
      <c r="O68" s="14">
        <f t="shared" si="10"/>
        <v>-332.03023002800182</v>
      </c>
      <c r="P68" s="13">
        <f t="shared" si="11"/>
        <v>-1.9786828873162889E-3</v>
      </c>
      <c r="Q68" s="15">
        <f t="shared" si="12"/>
        <v>-6.5463373428229943E-2</v>
      </c>
      <c r="R68" s="13">
        <f t="shared" si="13"/>
        <v>-1.9786828873161722E-3</v>
      </c>
      <c r="S68" s="15">
        <f t="shared" si="14"/>
        <v>35.267973231772061</v>
      </c>
      <c r="T68" s="15">
        <f t="shared" si="15"/>
        <v>32.440459496896622</v>
      </c>
    </row>
    <row r="69" spans="1:20" x14ac:dyDescent="0.3">
      <c r="A69" s="5">
        <v>41705.083333333336</v>
      </c>
      <c r="B69" s="14">
        <v>465318.02151156601</v>
      </c>
      <c r="C69" s="14">
        <v>483774.59671529202</v>
      </c>
      <c r="D69" s="6">
        <v>14551</v>
      </c>
      <c r="E69" s="1">
        <v>2014</v>
      </c>
      <c r="F69" s="1">
        <v>3</v>
      </c>
      <c r="G69" s="1" t="s">
        <v>31</v>
      </c>
      <c r="H69" s="12">
        <v>41699</v>
      </c>
      <c r="I69" s="1">
        <v>7</v>
      </c>
      <c r="J69" s="1">
        <v>6</v>
      </c>
      <c r="K69" s="1" t="s">
        <v>27</v>
      </c>
      <c r="L69" s="1" t="s">
        <v>22</v>
      </c>
      <c r="M69" s="15">
        <f t="shared" si="8"/>
        <v>31.978422205454333</v>
      </c>
      <c r="N69" s="15">
        <f t="shared" si="9"/>
        <v>33.246828170936155</v>
      </c>
      <c r="O69" s="14">
        <f t="shared" si="10"/>
        <v>-18456.57520372601</v>
      </c>
      <c r="P69" s="13">
        <f t="shared" si="11"/>
        <v>-3.9664432389209005E-2</v>
      </c>
      <c r="Q69" s="15">
        <f t="shared" si="12"/>
        <v>-1.2684059654818221</v>
      </c>
      <c r="R69" s="13">
        <f t="shared" si="13"/>
        <v>-3.9664432389208963E-2</v>
      </c>
      <c r="S69" s="15">
        <f t="shared" si="14"/>
        <v>35.267973231772061</v>
      </c>
      <c r="T69" s="15">
        <f t="shared" si="15"/>
        <v>32.424080576277248</v>
      </c>
    </row>
    <row r="70" spans="1:20" x14ac:dyDescent="0.3">
      <c r="A70" s="5">
        <v>41706.083333333336</v>
      </c>
      <c r="B70" s="14">
        <v>520146.74963959103</v>
      </c>
      <c r="C70" s="14">
        <v>541498.95824459603</v>
      </c>
      <c r="D70" s="6">
        <v>16262</v>
      </c>
      <c r="E70" s="1">
        <v>2014</v>
      </c>
      <c r="F70" s="1">
        <v>3</v>
      </c>
      <c r="G70" s="1" t="s">
        <v>31</v>
      </c>
      <c r="H70" s="12">
        <v>41699</v>
      </c>
      <c r="I70" s="1">
        <v>8</v>
      </c>
      <c r="J70" s="1">
        <v>7</v>
      </c>
      <c r="K70" s="1" t="s">
        <v>28</v>
      </c>
      <c r="L70" s="1" t="s">
        <v>22</v>
      </c>
      <c r="M70" s="15">
        <f t="shared" si="8"/>
        <v>31.985410751419938</v>
      </c>
      <c r="N70" s="15">
        <f t="shared" si="9"/>
        <v>33.298423210219902</v>
      </c>
      <c r="O70" s="14">
        <f t="shared" si="10"/>
        <v>-21352.208605004998</v>
      </c>
      <c r="P70" s="13">
        <f t="shared" si="11"/>
        <v>-4.1050354769687429E-2</v>
      </c>
      <c r="Q70" s="15">
        <f t="shared" si="12"/>
        <v>-1.3130124587999639</v>
      </c>
      <c r="R70" s="13">
        <f t="shared" si="13"/>
        <v>-4.1050354769687457E-2</v>
      </c>
      <c r="S70" s="15">
        <f t="shared" si="14"/>
        <v>35.267973231772061</v>
      </c>
      <c r="T70" s="15">
        <f t="shared" si="15"/>
        <v>32.363943127562976</v>
      </c>
    </row>
    <row r="71" spans="1:20" x14ac:dyDescent="0.3">
      <c r="A71" s="5">
        <v>41707.083333333336</v>
      </c>
      <c r="B71" s="14">
        <v>224699.25281941201</v>
      </c>
      <c r="C71" s="14">
        <v>233589.98296831999</v>
      </c>
      <c r="D71" s="6">
        <v>7014</v>
      </c>
      <c r="E71" s="1">
        <v>2014</v>
      </c>
      <c r="F71" s="1">
        <v>3</v>
      </c>
      <c r="G71" s="1" t="s">
        <v>31</v>
      </c>
      <c r="H71" s="12">
        <v>41699</v>
      </c>
      <c r="I71" s="1">
        <v>9</v>
      </c>
      <c r="J71" s="1">
        <v>1</v>
      </c>
      <c r="K71" s="1" t="s">
        <v>29</v>
      </c>
      <c r="L71" s="1" t="s">
        <v>22</v>
      </c>
      <c r="M71" s="15">
        <f t="shared" si="8"/>
        <v>32.03582161668264</v>
      </c>
      <c r="N71" s="15">
        <f t="shared" si="9"/>
        <v>33.303390785332191</v>
      </c>
      <c r="O71" s="14">
        <f t="shared" si="10"/>
        <v>-8890.7301489079837</v>
      </c>
      <c r="P71" s="13">
        <f t="shared" si="11"/>
        <v>-3.9567243937626055E-2</v>
      </c>
      <c r="Q71" s="15">
        <f t="shared" si="12"/>
        <v>-1.2675691686495512</v>
      </c>
      <c r="R71" s="13">
        <f t="shared" si="13"/>
        <v>-3.9567243937625909E-2</v>
      </c>
      <c r="S71" s="15">
        <f t="shared" si="14"/>
        <v>35.267973231772061</v>
      </c>
      <c r="T71" s="15">
        <f t="shared" si="15"/>
        <v>32.349102991609342</v>
      </c>
    </row>
    <row r="72" spans="1:20" x14ac:dyDescent="0.3">
      <c r="A72" s="5">
        <v>41708.083333333336</v>
      </c>
      <c r="B72" s="14">
        <v>286230.67889633798</v>
      </c>
      <c r="C72" s="14">
        <v>297642.89143645897</v>
      </c>
      <c r="D72" s="6">
        <v>8932</v>
      </c>
      <c r="E72" s="1">
        <v>2014</v>
      </c>
      <c r="F72" s="1">
        <v>3</v>
      </c>
      <c r="G72" s="1" t="s">
        <v>31</v>
      </c>
      <c r="H72" s="12">
        <v>41699</v>
      </c>
      <c r="I72" s="1">
        <v>10</v>
      </c>
      <c r="J72" s="1">
        <v>2</v>
      </c>
      <c r="K72" s="1" t="s">
        <v>21</v>
      </c>
      <c r="L72" s="1" t="s">
        <v>22</v>
      </c>
      <c r="M72" s="15">
        <f t="shared" si="8"/>
        <v>32.045530552657631</v>
      </c>
      <c r="N72" s="15">
        <f t="shared" si="9"/>
        <v>33.323207729115424</v>
      </c>
      <c r="O72" s="14">
        <f t="shared" si="10"/>
        <v>-11412.212540120992</v>
      </c>
      <c r="P72" s="13">
        <f t="shared" si="11"/>
        <v>-3.9870682570172948E-2</v>
      </c>
      <c r="Q72" s="15">
        <f t="shared" si="12"/>
        <v>-1.277677176457793</v>
      </c>
      <c r="R72" s="13">
        <f t="shared" si="13"/>
        <v>-3.9870682570173004E-2</v>
      </c>
      <c r="S72" s="15">
        <f t="shared" si="14"/>
        <v>35.267973231772061</v>
      </c>
      <c r="T72" s="15">
        <f t="shared" si="15"/>
        <v>32.33525257033596</v>
      </c>
    </row>
    <row r="73" spans="1:20" x14ac:dyDescent="0.3">
      <c r="A73" s="5">
        <v>41709.083333333336</v>
      </c>
      <c r="B73" s="14">
        <v>187143.018062583</v>
      </c>
      <c r="C73" s="14">
        <v>191499.04281320801</v>
      </c>
      <c r="D73" s="6">
        <v>5737</v>
      </c>
      <c r="E73" s="1">
        <v>2014</v>
      </c>
      <c r="F73" s="1">
        <v>3</v>
      </c>
      <c r="G73" s="1" t="s">
        <v>31</v>
      </c>
      <c r="H73" s="12">
        <v>41699</v>
      </c>
      <c r="I73" s="1">
        <v>11</v>
      </c>
      <c r="J73" s="1">
        <v>3</v>
      </c>
      <c r="K73" s="1" t="s">
        <v>23</v>
      </c>
      <c r="L73" s="1" t="s">
        <v>22</v>
      </c>
      <c r="M73" s="15">
        <f t="shared" si="8"/>
        <v>32.620362221123059</v>
      </c>
      <c r="N73" s="15">
        <f t="shared" si="9"/>
        <v>33.379648389961304</v>
      </c>
      <c r="O73" s="14">
        <f t="shared" si="10"/>
        <v>-4356.0247506250162</v>
      </c>
      <c r="P73" s="13">
        <f t="shared" si="11"/>
        <v>-2.3276448118242414E-2</v>
      </c>
      <c r="Q73" s="15">
        <f t="shared" si="12"/>
        <v>-0.75928616883824418</v>
      </c>
      <c r="R73" s="13">
        <f t="shared" si="13"/>
        <v>-2.3276448118242365E-2</v>
      </c>
      <c r="S73" s="15">
        <f t="shared" si="14"/>
        <v>35.267973231772061</v>
      </c>
      <c r="T73" s="15">
        <f t="shared" si="15"/>
        <v>32.340221145657871</v>
      </c>
    </row>
    <row r="74" spans="1:20" x14ac:dyDescent="0.3">
      <c r="A74" s="5">
        <v>41710.083333333336</v>
      </c>
      <c r="B74" s="14">
        <v>191700.38912823499</v>
      </c>
      <c r="C74" s="14">
        <v>197153.42401906001</v>
      </c>
      <c r="D74" s="6">
        <v>5903</v>
      </c>
      <c r="E74" s="1">
        <v>2014</v>
      </c>
      <c r="F74" s="1">
        <v>3</v>
      </c>
      <c r="G74" s="1" t="s">
        <v>31</v>
      </c>
      <c r="H74" s="12">
        <v>41699</v>
      </c>
      <c r="I74" s="1">
        <v>12</v>
      </c>
      <c r="J74" s="1">
        <v>4</v>
      </c>
      <c r="K74" s="1" t="s">
        <v>25</v>
      </c>
      <c r="L74" s="1" t="s">
        <v>22</v>
      </c>
      <c r="M74" s="15">
        <f t="shared" si="8"/>
        <v>32.475078625823308</v>
      </c>
      <c r="N74" s="15">
        <f t="shared" si="9"/>
        <v>33.39885211232594</v>
      </c>
      <c r="O74" s="14">
        <f t="shared" si="10"/>
        <v>-5453.0348908250162</v>
      </c>
      <c r="P74" s="13">
        <f t="shared" si="11"/>
        <v>-2.8445612007481597E-2</v>
      </c>
      <c r="Q74" s="15">
        <f t="shared" si="12"/>
        <v>-0.92377348650263258</v>
      </c>
      <c r="R74" s="13">
        <f t="shared" si="13"/>
        <v>-2.8445612007481726E-2</v>
      </c>
      <c r="S74" s="15">
        <f t="shared" si="14"/>
        <v>35.267973231772061</v>
      </c>
      <c r="T74" s="15">
        <f t="shared" si="15"/>
        <v>32.340946407216421</v>
      </c>
    </row>
    <row r="75" spans="1:20" x14ac:dyDescent="0.3">
      <c r="A75" s="5">
        <v>41711.083333333336</v>
      </c>
      <c r="B75" s="14">
        <v>164663.967602802</v>
      </c>
      <c r="C75" s="14">
        <v>168975.174045441</v>
      </c>
      <c r="D75" s="6">
        <v>5056</v>
      </c>
      <c r="E75" s="1">
        <v>2014</v>
      </c>
      <c r="F75" s="1">
        <v>3</v>
      </c>
      <c r="G75" s="1" t="s">
        <v>31</v>
      </c>
      <c r="H75" s="12">
        <v>41699</v>
      </c>
      <c r="I75" s="1">
        <v>13</v>
      </c>
      <c r="J75" s="1">
        <v>5</v>
      </c>
      <c r="K75" s="1" t="s">
        <v>26</v>
      </c>
      <c r="L75" s="1" t="s">
        <v>22</v>
      </c>
      <c r="M75" s="15">
        <f t="shared" si="8"/>
        <v>32.568031567009889</v>
      </c>
      <c r="N75" s="15">
        <f t="shared" si="9"/>
        <v>33.420722714683741</v>
      </c>
      <c r="O75" s="14">
        <f t="shared" si="10"/>
        <v>-4311.2064426389989</v>
      </c>
      <c r="P75" s="13">
        <f t="shared" si="11"/>
        <v>-2.618184479216713E-2</v>
      </c>
      <c r="Q75" s="15">
        <f t="shared" si="12"/>
        <v>-0.8526911476738519</v>
      </c>
      <c r="R75" s="13">
        <f t="shared" si="13"/>
        <v>-2.6181844792167109E-2</v>
      </c>
      <c r="S75" s="15">
        <f t="shared" si="14"/>
        <v>35.267973231772061</v>
      </c>
      <c r="T75" s="15">
        <f t="shared" si="15"/>
        <v>32.343943221319805</v>
      </c>
    </row>
    <row r="76" spans="1:20" x14ac:dyDescent="0.3">
      <c r="A76" s="5">
        <v>41712.083333333336</v>
      </c>
      <c r="B76" s="14">
        <v>395941.34513216198</v>
      </c>
      <c r="C76" s="14">
        <v>406765.91395402298</v>
      </c>
      <c r="D76" s="6">
        <v>12167</v>
      </c>
      <c r="E76" s="1">
        <v>2014</v>
      </c>
      <c r="F76" s="1">
        <v>3</v>
      </c>
      <c r="G76" s="1" t="s">
        <v>31</v>
      </c>
      <c r="H76" s="12">
        <v>41699</v>
      </c>
      <c r="I76" s="1">
        <v>14</v>
      </c>
      <c r="J76" s="1">
        <v>6</v>
      </c>
      <c r="K76" s="1" t="s">
        <v>27</v>
      </c>
      <c r="L76" s="1" t="s">
        <v>22</v>
      </c>
      <c r="M76" s="15">
        <f t="shared" si="8"/>
        <v>32.54223268941908</v>
      </c>
      <c r="N76" s="15">
        <f t="shared" si="9"/>
        <v>33.431898903100432</v>
      </c>
      <c r="O76" s="14">
        <f t="shared" si="10"/>
        <v>-10824.568821861001</v>
      </c>
      <c r="P76" s="13">
        <f t="shared" si="11"/>
        <v>-2.7338819133040648E-2</v>
      </c>
      <c r="Q76" s="15">
        <f t="shared" si="12"/>
        <v>-0.88966621368135179</v>
      </c>
      <c r="R76" s="13">
        <f t="shared" si="13"/>
        <v>-2.7338819133040666E-2</v>
      </c>
      <c r="S76" s="15">
        <f t="shared" si="14"/>
        <v>35.267973231772061</v>
      </c>
      <c r="T76" s="15">
        <f t="shared" si="15"/>
        <v>32.347135471014212</v>
      </c>
    </row>
    <row r="77" spans="1:20" x14ac:dyDescent="0.3">
      <c r="A77" s="5">
        <v>41713.083333333336</v>
      </c>
      <c r="B77" s="14">
        <v>518183.21037491399</v>
      </c>
      <c r="C77" s="14">
        <v>534383.14311860898</v>
      </c>
      <c r="D77" s="6">
        <v>15971</v>
      </c>
      <c r="E77" s="1">
        <v>2014</v>
      </c>
      <c r="F77" s="1">
        <v>3</v>
      </c>
      <c r="G77" s="1" t="s">
        <v>31</v>
      </c>
      <c r="H77" s="12">
        <v>41699</v>
      </c>
      <c r="I77" s="1">
        <v>15</v>
      </c>
      <c r="J77" s="1">
        <v>7</v>
      </c>
      <c r="K77" s="1" t="s">
        <v>28</v>
      </c>
      <c r="L77" s="1" t="s">
        <v>22</v>
      </c>
      <c r="M77" s="15">
        <f t="shared" si="8"/>
        <v>32.445257677973451</v>
      </c>
      <c r="N77" s="15">
        <f t="shared" si="9"/>
        <v>33.459591955332101</v>
      </c>
      <c r="O77" s="14">
        <f t="shared" si="10"/>
        <v>-16199.932743694982</v>
      </c>
      <c r="P77" s="13">
        <f t="shared" si="11"/>
        <v>-3.126294410807727E-2</v>
      </c>
      <c r="Q77" s="15">
        <f t="shared" si="12"/>
        <v>-1.0143342773586497</v>
      </c>
      <c r="R77" s="13">
        <f t="shared" si="13"/>
        <v>-3.1262944108077291E-2</v>
      </c>
      <c r="S77" s="15">
        <f t="shared" si="14"/>
        <v>35.267973231772061</v>
      </c>
      <c r="T77" s="15">
        <f t="shared" si="15"/>
        <v>32.346295830479683</v>
      </c>
    </row>
    <row r="78" spans="1:20" x14ac:dyDescent="0.3">
      <c r="A78" s="5">
        <v>41714.083333333336</v>
      </c>
      <c r="B78" s="14">
        <v>226617.95494027101</v>
      </c>
      <c r="C78" s="14">
        <v>233191.10456622299</v>
      </c>
      <c r="D78" s="6">
        <v>6968</v>
      </c>
      <c r="E78" s="1">
        <v>2014</v>
      </c>
      <c r="F78" s="1">
        <v>3</v>
      </c>
      <c r="G78" s="1" t="s">
        <v>31</v>
      </c>
      <c r="H78" s="12">
        <v>41699</v>
      </c>
      <c r="I78" s="1">
        <v>16</v>
      </c>
      <c r="J78" s="1">
        <v>1</v>
      </c>
      <c r="K78" s="1" t="s">
        <v>29</v>
      </c>
      <c r="L78" s="1" t="s">
        <v>22</v>
      </c>
      <c r="M78" s="15">
        <f t="shared" si="8"/>
        <v>32.52266861944188</v>
      </c>
      <c r="N78" s="15">
        <f t="shared" si="9"/>
        <v>33.466002377471725</v>
      </c>
      <c r="O78" s="14">
        <f t="shared" si="10"/>
        <v>-6573.1496259519772</v>
      </c>
      <c r="P78" s="13">
        <f t="shared" si="11"/>
        <v>-2.9005422927254117E-2</v>
      </c>
      <c r="Q78" s="15">
        <f t="shared" si="12"/>
        <v>-0.9433337580298442</v>
      </c>
      <c r="R78" s="13">
        <f t="shared" si="13"/>
        <v>-2.9005422927254016E-2</v>
      </c>
      <c r="S78" s="15">
        <f t="shared" si="14"/>
        <v>35.267973231772061</v>
      </c>
      <c r="T78" s="15">
        <f t="shared" si="15"/>
        <v>32.348596351426046</v>
      </c>
    </row>
    <row r="79" spans="1:20" x14ac:dyDescent="0.3">
      <c r="A79" s="5">
        <v>41715.083333333336</v>
      </c>
      <c r="B79" s="14">
        <v>243707.87194737699</v>
      </c>
      <c r="C79" s="14">
        <v>250794.22126409499</v>
      </c>
      <c r="D79" s="6">
        <v>7494</v>
      </c>
      <c r="E79" s="1">
        <v>2014</v>
      </c>
      <c r="F79" s="1">
        <v>3</v>
      </c>
      <c r="G79" s="1" t="s">
        <v>31</v>
      </c>
      <c r="H79" s="12">
        <v>41699</v>
      </c>
      <c r="I79" s="1">
        <v>17</v>
      </c>
      <c r="J79" s="1">
        <v>2</v>
      </c>
      <c r="K79" s="1" t="s">
        <v>21</v>
      </c>
      <c r="L79" s="1" t="s">
        <v>22</v>
      </c>
      <c r="M79" s="15">
        <f t="shared" si="8"/>
        <v>32.520399245713506</v>
      </c>
      <c r="N79" s="15">
        <f t="shared" si="9"/>
        <v>33.466002303722313</v>
      </c>
      <c r="O79" s="14">
        <f t="shared" si="10"/>
        <v>-7086.3493167179986</v>
      </c>
      <c r="P79" s="13">
        <f t="shared" si="11"/>
        <v>-2.9077227830573031E-2</v>
      </c>
      <c r="Q79" s="15">
        <f t="shared" si="12"/>
        <v>-0.94560305800880684</v>
      </c>
      <c r="R79" s="13">
        <f t="shared" si="13"/>
        <v>-2.9077227830573028E-2</v>
      </c>
      <c r="S79" s="15">
        <f t="shared" si="14"/>
        <v>35.267973231772061</v>
      </c>
      <c r="T79" s="15">
        <f t="shared" si="15"/>
        <v>32.350925731464919</v>
      </c>
    </row>
    <row r="80" spans="1:20" x14ac:dyDescent="0.3">
      <c r="A80" s="5">
        <v>41716.083333333336</v>
      </c>
      <c r="B80" s="14">
        <v>94849.743799770498</v>
      </c>
      <c r="C80" s="14">
        <v>90571.588922976895</v>
      </c>
      <c r="D80" s="6">
        <v>2707</v>
      </c>
      <c r="E80" s="1">
        <v>2014</v>
      </c>
      <c r="F80" s="1">
        <v>3</v>
      </c>
      <c r="G80" s="1" t="s">
        <v>31</v>
      </c>
      <c r="H80" s="12">
        <v>41699</v>
      </c>
      <c r="I80" s="1">
        <v>18</v>
      </c>
      <c r="J80" s="1">
        <v>3</v>
      </c>
      <c r="K80" s="1" t="s">
        <v>23</v>
      </c>
      <c r="L80" s="1" t="s">
        <v>22</v>
      </c>
      <c r="M80" s="15">
        <f t="shared" si="8"/>
        <v>35.038693682959178</v>
      </c>
      <c r="N80" s="15">
        <f t="shared" si="9"/>
        <v>33.458289221639042</v>
      </c>
      <c r="O80" s="14">
        <f t="shared" si="10"/>
        <v>4278.1548767936038</v>
      </c>
      <c r="P80" s="13">
        <f t="shared" si="11"/>
        <v>4.5104548577641547E-2</v>
      </c>
      <c r="Q80" s="15">
        <f t="shared" si="12"/>
        <v>1.5804044613201356</v>
      </c>
      <c r="R80" s="13">
        <f t="shared" si="13"/>
        <v>4.5104548577641589E-2</v>
      </c>
      <c r="S80" s="15">
        <f t="shared" si="14"/>
        <v>35.267973231772061</v>
      </c>
      <c r="T80" s="15">
        <f t="shared" si="15"/>
        <v>32.437274551771694</v>
      </c>
    </row>
    <row r="81" spans="1:20" x14ac:dyDescent="0.3">
      <c r="A81" s="5">
        <v>41717.083333333336</v>
      </c>
      <c r="B81" s="14">
        <v>92386.783066575605</v>
      </c>
      <c r="C81" s="14">
        <v>88255.840991793899</v>
      </c>
      <c r="D81" s="6">
        <v>2637</v>
      </c>
      <c r="E81" s="1">
        <v>2014</v>
      </c>
      <c r="F81" s="1">
        <v>3</v>
      </c>
      <c r="G81" s="1" t="s">
        <v>31</v>
      </c>
      <c r="H81" s="12">
        <v>41699</v>
      </c>
      <c r="I81" s="1">
        <v>19</v>
      </c>
      <c r="J81" s="1">
        <v>4</v>
      </c>
      <c r="K81" s="1" t="s">
        <v>25</v>
      </c>
      <c r="L81" s="1" t="s">
        <v>22</v>
      </c>
      <c r="M81" s="15">
        <f t="shared" si="8"/>
        <v>35.034805865216384</v>
      </c>
      <c r="N81" s="15">
        <f t="shared" si="9"/>
        <v>33.4682749305248</v>
      </c>
      <c r="O81" s="14">
        <f t="shared" si="10"/>
        <v>4130.9420747817057</v>
      </c>
      <c r="P81" s="13">
        <f t="shared" si="11"/>
        <v>4.4713561157388428E-2</v>
      </c>
      <c r="Q81" s="15">
        <f t="shared" si="12"/>
        <v>1.5665309346915848</v>
      </c>
      <c r="R81" s="13">
        <f t="shared" si="13"/>
        <v>4.4713561157388462E-2</v>
      </c>
      <c r="S81" s="15">
        <f t="shared" si="14"/>
        <v>35.267973231772061</v>
      </c>
      <c r="T81" s="15">
        <f t="shared" si="15"/>
        <v>32.523862817712242</v>
      </c>
    </row>
    <row r="82" spans="1:20" x14ac:dyDescent="0.3">
      <c r="A82" s="5">
        <v>41718.083333333336</v>
      </c>
      <c r="B82" s="14">
        <v>180394.82770443999</v>
      </c>
      <c r="C82" s="14">
        <v>172344.304439481</v>
      </c>
      <c r="D82" s="6">
        <v>5149</v>
      </c>
      <c r="E82" s="1">
        <v>2014</v>
      </c>
      <c r="F82" s="1">
        <v>3</v>
      </c>
      <c r="G82" s="1" t="s">
        <v>31</v>
      </c>
      <c r="H82" s="12">
        <v>41699</v>
      </c>
      <c r="I82" s="1">
        <v>20</v>
      </c>
      <c r="J82" s="1">
        <v>5</v>
      </c>
      <c r="K82" s="1" t="s">
        <v>26</v>
      </c>
      <c r="L82" s="1" t="s">
        <v>22</v>
      </c>
      <c r="M82" s="15">
        <f t="shared" si="8"/>
        <v>35.034924782373274</v>
      </c>
      <c r="N82" s="15">
        <f t="shared" si="9"/>
        <v>33.471412786848127</v>
      </c>
      <c r="O82" s="14">
        <f t="shared" si="10"/>
        <v>8050.5232649589889</v>
      </c>
      <c r="P82" s="13">
        <f t="shared" si="11"/>
        <v>4.4627239968038419E-2</v>
      </c>
      <c r="Q82" s="15">
        <f t="shared" si="12"/>
        <v>1.5635119955251469</v>
      </c>
      <c r="R82" s="13">
        <f t="shared" si="13"/>
        <v>4.4627239968038378E-2</v>
      </c>
      <c r="S82" s="15">
        <f t="shared" si="14"/>
        <v>35.267973231772061</v>
      </c>
      <c r="T82" s="15">
        <f t="shared" si="15"/>
        <v>32.552748133941449</v>
      </c>
    </row>
    <row r="83" spans="1:20" x14ac:dyDescent="0.3">
      <c r="A83" s="5">
        <v>41719.083333333336</v>
      </c>
      <c r="B83" s="14">
        <v>200939.69236394399</v>
      </c>
      <c r="C83" s="14">
        <v>192019.14427492701</v>
      </c>
      <c r="D83" s="6">
        <v>5735</v>
      </c>
      <c r="E83" s="1">
        <v>2014</v>
      </c>
      <c r="F83" s="1">
        <v>3</v>
      </c>
      <c r="G83" s="1" t="s">
        <v>31</v>
      </c>
      <c r="H83" s="12">
        <v>41699</v>
      </c>
      <c r="I83" s="1">
        <v>21</v>
      </c>
      <c r="J83" s="1">
        <v>6</v>
      </c>
      <c r="K83" s="1" t="s">
        <v>27</v>
      </c>
      <c r="L83" s="1" t="s">
        <v>22</v>
      </c>
      <c r="M83" s="15">
        <f t="shared" si="8"/>
        <v>35.037435460147165</v>
      </c>
      <c r="N83" s="15">
        <f t="shared" si="9"/>
        <v>33.481978077580997</v>
      </c>
      <c r="O83" s="14">
        <f t="shared" si="10"/>
        <v>8920.5480890169856</v>
      </c>
      <c r="P83" s="13">
        <f t="shared" si="11"/>
        <v>4.4394156197173823E-2</v>
      </c>
      <c r="Q83" s="15">
        <f t="shared" si="12"/>
        <v>1.5554573825661677</v>
      </c>
      <c r="R83" s="13">
        <f t="shared" si="13"/>
        <v>4.4394156197173754E-2</v>
      </c>
      <c r="S83" s="15">
        <f t="shared" si="14"/>
        <v>35.267973231772061</v>
      </c>
      <c r="T83" s="15">
        <f t="shared" si="15"/>
        <v>32.639415145075439</v>
      </c>
    </row>
    <row r="84" spans="1:20" x14ac:dyDescent="0.3">
      <c r="A84" s="5">
        <v>41720.083333333336</v>
      </c>
      <c r="B84" s="14">
        <v>172953.92471044001</v>
      </c>
      <c r="C84" s="14">
        <v>165201.30501851</v>
      </c>
      <c r="D84" s="6">
        <v>4936</v>
      </c>
      <c r="E84" s="1">
        <v>2014</v>
      </c>
      <c r="F84" s="1">
        <v>3</v>
      </c>
      <c r="G84" s="1" t="s">
        <v>31</v>
      </c>
      <c r="H84" s="12">
        <v>41699</v>
      </c>
      <c r="I84" s="1">
        <v>22</v>
      </c>
      <c r="J84" s="1">
        <v>7</v>
      </c>
      <c r="K84" s="1" t="s">
        <v>28</v>
      </c>
      <c r="L84" s="1" t="s">
        <v>22</v>
      </c>
      <c r="M84" s="15">
        <f t="shared" si="8"/>
        <v>35.039287826264186</v>
      </c>
      <c r="N84" s="15">
        <f t="shared" si="9"/>
        <v>33.468659849779172</v>
      </c>
      <c r="O84" s="14">
        <f t="shared" si="10"/>
        <v>7752.6196919300128</v>
      </c>
      <c r="P84" s="13">
        <f t="shared" si="11"/>
        <v>4.4824768821577612E-2</v>
      </c>
      <c r="Q84" s="15">
        <f t="shared" si="12"/>
        <v>1.5706279764850137</v>
      </c>
      <c r="R84" s="13">
        <f t="shared" si="13"/>
        <v>4.4824768821577696E-2</v>
      </c>
      <c r="S84" s="15">
        <f t="shared" si="14"/>
        <v>35.267973231772061</v>
      </c>
      <c r="T84" s="15">
        <f t="shared" si="15"/>
        <v>32.668278066487737</v>
      </c>
    </row>
    <row r="85" spans="1:20" x14ac:dyDescent="0.3">
      <c r="A85" s="5">
        <v>41721.083333333336</v>
      </c>
      <c r="B85" s="14">
        <v>70194.799537861196</v>
      </c>
      <c r="C85" s="14">
        <v>67061.622709446907</v>
      </c>
      <c r="D85" s="6">
        <v>2003</v>
      </c>
      <c r="E85" s="1">
        <v>2014</v>
      </c>
      <c r="F85" s="1">
        <v>3</v>
      </c>
      <c r="G85" s="1" t="s">
        <v>31</v>
      </c>
      <c r="H85" s="12">
        <v>41699</v>
      </c>
      <c r="I85" s="1">
        <v>23</v>
      </c>
      <c r="J85" s="1">
        <v>1</v>
      </c>
      <c r="K85" s="1" t="s">
        <v>29</v>
      </c>
      <c r="L85" s="1" t="s">
        <v>22</v>
      </c>
      <c r="M85" s="15">
        <f t="shared" si="8"/>
        <v>35.044832520150372</v>
      </c>
      <c r="N85" s="15">
        <f t="shared" si="9"/>
        <v>33.480590469019923</v>
      </c>
      <c r="O85" s="14">
        <f t="shared" si="10"/>
        <v>3133.176828414289</v>
      </c>
      <c r="P85" s="13">
        <f t="shared" si="11"/>
        <v>4.4635455176766155E-2</v>
      </c>
      <c r="Q85" s="15">
        <f t="shared" si="12"/>
        <v>1.5642420511304493</v>
      </c>
      <c r="R85" s="13">
        <f t="shared" si="13"/>
        <v>4.4635455176766169E-2</v>
      </c>
      <c r="S85" s="15">
        <f t="shared" si="14"/>
        <v>35.267973231772061</v>
      </c>
      <c r="T85" s="15">
        <f t="shared" si="15"/>
        <v>32.755311768806926</v>
      </c>
    </row>
    <row r="86" spans="1:20" x14ac:dyDescent="0.3">
      <c r="A86" s="5">
        <v>41722.083333333336</v>
      </c>
      <c r="B86" s="14">
        <v>81378.214631670999</v>
      </c>
      <c r="C86" s="14">
        <v>77703.6463336835</v>
      </c>
      <c r="D86" s="6">
        <v>2323</v>
      </c>
      <c r="E86" s="1">
        <v>2014</v>
      </c>
      <c r="F86" s="1">
        <v>3</v>
      </c>
      <c r="G86" s="1" t="s">
        <v>31</v>
      </c>
      <c r="H86" s="12">
        <v>41699</v>
      </c>
      <c r="I86" s="1">
        <v>24</v>
      </c>
      <c r="J86" s="1">
        <v>2</v>
      </c>
      <c r="K86" s="1" t="s">
        <v>21</v>
      </c>
      <c r="L86" s="1" t="s">
        <v>22</v>
      </c>
      <c r="M86" s="15">
        <f t="shared" si="8"/>
        <v>35.031517275794663</v>
      </c>
      <c r="N86" s="15">
        <f t="shared" si="9"/>
        <v>33.449697087250755</v>
      </c>
      <c r="O86" s="14">
        <f t="shared" si="10"/>
        <v>3674.5682979874982</v>
      </c>
      <c r="P86" s="13">
        <f t="shared" si="11"/>
        <v>4.5154201460662416E-2</v>
      </c>
      <c r="Q86" s="15">
        <f t="shared" si="12"/>
        <v>1.581820188543908</v>
      </c>
      <c r="R86" s="13">
        <f t="shared" si="13"/>
        <v>4.5154201460662416E-2</v>
      </c>
      <c r="S86" s="15">
        <f t="shared" si="14"/>
        <v>35.267973231772061</v>
      </c>
      <c r="T86" s="15">
        <f t="shared" si="15"/>
        <v>32.868253886614738</v>
      </c>
    </row>
    <row r="87" spans="1:20" x14ac:dyDescent="0.3">
      <c r="A87" s="5">
        <v>41723.083333333336</v>
      </c>
      <c r="B87" s="14">
        <v>130227.014714579</v>
      </c>
      <c r="C87" s="14">
        <v>127394.289242136</v>
      </c>
      <c r="D87" s="6">
        <v>3822</v>
      </c>
      <c r="E87" s="1">
        <v>2014</v>
      </c>
      <c r="F87" s="1">
        <v>3</v>
      </c>
      <c r="G87" s="1" t="s">
        <v>31</v>
      </c>
      <c r="H87" s="12">
        <v>41699</v>
      </c>
      <c r="I87" s="1">
        <v>25</v>
      </c>
      <c r="J87" s="1">
        <v>3</v>
      </c>
      <c r="K87" s="1" t="s">
        <v>23</v>
      </c>
      <c r="L87" s="1" t="s">
        <v>22</v>
      </c>
      <c r="M87" s="15">
        <f t="shared" si="8"/>
        <v>34.073002280109627</v>
      </c>
      <c r="N87" s="15">
        <f t="shared" si="9"/>
        <v>33.331839152835165</v>
      </c>
      <c r="O87" s="14">
        <f t="shared" si="10"/>
        <v>2832.7254724429949</v>
      </c>
      <c r="P87" s="13">
        <f t="shared" si="11"/>
        <v>2.1752210773252637E-2</v>
      </c>
      <c r="Q87" s="15">
        <f t="shared" si="12"/>
        <v>0.74116312727446143</v>
      </c>
      <c r="R87" s="13">
        <f t="shared" si="13"/>
        <v>2.1752210773252612E-2</v>
      </c>
      <c r="S87" s="15">
        <f t="shared" si="14"/>
        <v>35.267973231772061</v>
      </c>
      <c r="T87" s="15">
        <f t="shared" si="15"/>
        <v>32.922900020772481</v>
      </c>
    </row>
    <row r="88" spans="1:20" x14ac:dyDescent="0.3">
      <c r="A88" s="5">
        <v>41724.083333333336</v>
      </c>
      <c r="B88" s="14">
        <v>125310.036407854</v>
      </c>
      <c r="C88" s="14">
        <v>122275.102582177</v>
      </c>
      <c r="D88" s="6">
        <v>3666</v>
      </c>
      <c r="E88" s="1">
        <v>2014</v>
      </c>
      <c r="F88" s="1">
        <v>3</v>
      </c>
      <c r="G88" s="1" t="s">
        <v>31</v>
      </c>
      <c r="H88" s="12">
        <v>41699</v>
      </c>
      <c r="I88" s="1">
        <v>26</v>
      </c>
      <c r="J88" s="1">
        <v>4</v>
      </c>
      <c r="K88" s="1" t="s">
        <v>25</v>
      </c>
      <c r="L88" s="1" t="s">
        <v>22</v>
      </c>
      <c r="M88" s="15">
        <f t="shared" si="8"/>
        <v>34.181679325655757</v>
      </c>
      <c r="N88" s="15">
        <f t="shared" si="9"/>
        <v>33.35381958051746</v>
      </c>
      <c r="O88" s="14">
        <f t="shared" si="10"/>
        <v>3034.9338256769988</v>
      </c>
      <c r="P88" s="13">
        <f t="shared" si="11"/>
        <v>2.4219399440592451E-2</v>
      </c>
      <c r="Q88" s="15">
        <f t="shared" si="12"/>
        <v>0.82785974513829785</v>
      </c>
      <c r="R88" s="13">
        <f t="shared" si="13"/>
        <v>2.4219399440592457E-2</v>
      </c>
      <c r="S88" s="15">
        <f t="shared" si="14"/>
        <v>35.267973231772061</v>
      </c>
      <c r="T88" s="15">
        <f t="shared" si="15"/>
        <v>32.981381536488556</v>
      </c>
    </row>
    <row r="89" spans="1:20" x14ac:dyDescent="0.3">
      <c r="A89" s="5">
        <v>41725.083333333336</v>
      </c>
      <c r="B89" s="14">
        <v>119452.33963454999</v>
      </c>
      <c r="C89" s="14">
        <v>118186.575041227</v>
      </c>
      <c r="D89" s="6">
        <v>3543</v>
      </c>
      <c r="E89" s="1">
        <v>2014</v>
      </c>
      <c r="F89" s="1">
        <v>3</v>
      </c>
      <c r="G89" s="1" t="s">
        <v>31</v>
      </c>
      <c r="H89" s="12">
        <v>41699</v>
      </c>
      <c r="I89" s="1">
        <v>27</v>
      </c>
      <c r="J89" s="1">
        <v>5</v>
      </c>
      <c r="K89" s="1" t="s">
        <v>26</v>
      </c>
      <c r="L89" s="1" t="s">
        <v>22</v>
      </c>
      <c r="M89" s="15">
        <f t="shared" si="8"/>
        <v>33.715026710287887</v>
      </c>
      <c r="N89" s="15">
        <f t="shared" si="9"/>
        <v>33.357768851602316</v>
      </c>
      <c r="O89" s="14">
        <f t="shared" si="10"/>
        <v>1265.7645933229942</v>
      </c>
      <c r="P89" s="13">
        <f t="shared" si="11"/>
        <v>1.0596398506680137E-2</v>
      </c>
      <c r="Q89" s="15">
        <f t="shared" si="12"/>
        <v>0.35725785868557125</v>
      </c>
      <c r="R89" s="13">
        <f t="shared" si="13"/>
        <v>1.059639850668001E-2</v>
      </c>
      <c r="S89" s="15">
        <f t="shared" si="14"/>
        <v>35.267973231772061</v>
      </c>
      <c r="T89" s="15">
        <f t="shared" si="15"/>
        <v>33.024082435562967</v>
      </c>
    </row>
    <row r="90" spans="1:20" x14ac:dyDescent="0.3">
      <c r="A90" s="5">
        <v>41726.083333333336</v>
      </c>
      <c r="B90" s="14">
        <v>276174.76932028402</v>
      </c>
      <c r="C90" s="14">
        <v>271550.89558082301</v>
      </c>
      <c r="D90" s="6">
        <v>8130</v>
      </c>
      <c r="E90" s="1">
        <v>2014</v>
      </c>
      <c r="F90" s="1">
        <v>3</v>
      </c>
      <c r="G90" s="1" t="s">
        <v>31</v>
      </c>
      <c r="H90" s="12">
        <v>41699</v>
      </c>
      <c r="I90" s="1">
        <v>28</v>
      </c>
      <c r="J90" s="1">
        <v>6</v>
      </c>
      <c r="K90" s="1" t="s">
        <v>27</v>
      </c>
      <c r="L90" s="1" t="s">
        <v>22</v>
      </c>
      <c r="M90" s="15">
        <f t="shared" si="8"/>
        <v>33.969836324758184</v>
      </c>
      <c r="N90" s="15">
        <f t="shared" si="9"/>
        <v>33.401094167382901</v>
      </c>
      <c r="O90" s="14">
        <f t="shared" si="10"/>
        <v>4623.8737394610071</v>
      </c>
      <c r="P90" s="13">
        <f t="shared" si="11"/>
        <v>1.674256395992E-2</v>
      </c>
      <c r="Q90" s="15">
        <f t="shared" si="12"/>
        <v>0.56874215737528289</v>
      </c>
      <c r="R90" s="13">
        <f t="shared" si="13"/>
        <v>1.6742563959920156E-2</v>
      </c>
      <c r="S90" s="15">
        <f t="shared" si="14"/>
        <v>35.267973231772061</v>
      </c>
      <c r="T90" s="15">
        <f t="shared" si="15"/>
        <v>33.074535534341166</v>
      </c>
    </row>
    <row r="91" spans="1:20" x14ac:dyDescent="0.3">
      <c r="A91" s="5">
        <v>41727.083333333336</v>
      </c>
      <c r="B91" s="14">
        <v>357369.266940651</v>
      </c>
      <c r="C91" s="14">
        <v>352250.83007461799</v>
      </c>
      <c r="D91" s="6">
        <v>10518</v>
      </c>
      <c r="E91" s="1">
        <v>2014</v>
      </c>
      <c r="F91" s="1">
        <v>3</v>
      </c>
      <c r="G91" s="1" t="s">
        <v>31</v>
      </c>
      <c r="H91" s="12">
        <v>41699</v>
      </c>
      <c r="I91" s="1">
        <v>29</v>
      </c>
      <c r="J91" s="1">
        <v>7</v>
      </c>
      <c r="K91" s="1" t="s">
        <v>28</v>
      </c>
      <c r="L91" s="1" t="s">
        <v>22</v>
      </c>
      <c r="M91" s="15">
        <f t="shared" si="8"/>
        <v>33.97692212784284</v>
      </c>
      <c r="N91" s="15">
        <f t="shared" si="9"/>
        <v>33.490286183173417</v>
      </c>
      <c r="O91" s="14">
        <f t="shared" si="10"/>
        <v>5118.4368660330074</v>
      </c>
      <c r="P91" s="13">
        <f t="shared" si="11"/>
        <v>1.432254348520416E-2</v>
      </c>
      <c r="Q91" s="15">
        <f t="shared" si="12"/>
        <v>0.48663594466942328</v>
      </c>
      <c r="R91" s="13">
        <f t="shared" si="13"/>
        <v>1.4322543485204123E-2</v>
      </c>
      <c r="S91" s="15">
        <f t="shared" si="14"/>
        <v>35.267973231772061</v>
      </c>
      <c r="T91" s="15">
        <f t="shared" si="15"/>
        <v>33.171487253584459</v>
      </c>
    </row>
    <row r="92" spans="1:20" x14ac:dyDescent="0.3">
      <c r="A92" s="5">
        <v>41728.083333333336</v>
      </c>
      <c r="B92" s="14">
        <v>163865.49027270399</v>
      </c>
      <c r="C92" s="14">
        <v>160525.426877714</v>
      </c>
      <c r="D92" s="6">
        <v>4791</v>
      </c>
      <c r="E92" s="1">
        <v>2014</v>
      </c>
      <c r="F92" s="1">
        <v>3</v>
      </c>
      <c r="G92" s="1" t="s">
        <v>31</v>
      </c>
      <c r="H92" s="12">
        <v>41699</v>
      </c>
      <c r="I92" s="1">
        <v>30</v>
      </c>
      <c r="J92" s="1">
        <v>1</v>
      </c>
      <c r="K92" s="1" t="s">
        <v>29</v>
      </c>
      <c r="L92" s="1" t="s">
        <v>22</v>
      </c>
      <c r="M92" s="15">
        <f t="shared" si="8"/>
        <v>34.202774008078478</v>
      </c>
      <c r="N92" s="15">
        <f t="shared" si="9"/>
        <v>33.505620304260901</v>
      </c>
      <c r="O92" s="14">
        <f t="shared" si="10"/>
        <v>3340.063394989993</v>
      </c>
      <c r="P92" s="13">
        <f t="shared" si="11"/>
        <v>2.0382957933555618E-2</v>
      </c>
      <c r="Q92" s="15">
        <f t="shared" si="12"/>
        <v>0.6971537038175768</v>
      </c>
      <c r="R92" s="13">
        <f t="shared" si="13"/>
        <v>2.0382957933555726E-2</v>
      </c>
      <c r="S92" s="15">
        <f t="shared" si="14"/>
        <v>35.267973231772061</v>
      </c>
      <c r="T92" s="15">
        <f t="shared" si="15"/>
        <v>33.251135115858624</v>
      </c>
    </row>
    <row r="93" spans="1:20" x14ac:dyDescent="0.3">
      <c r="A93" s="5">
        <v>41729.083333333336</v>
      </c>
      <c r="B93" s="14">
        <v>190719.61452860001</v>
      </c>
      <c r="C93" s="14">
        <v>187072.59522993799</v>
      </c>
      <c r="D93" s="6">
        <v>5583</v>
      </c>
      <c r="E93" s="1">
        <v>2014</v>
      </c>
      <c r="F93" s="1">
        <v>3</v>
      </c>
      <c r="G93" s="1" t="s">
        <v>31</v>
      </c>
      <c r="H93" s="12">
        <v>41699</v>
      </c>
      <c r="I93" s="1">
        <v>31</v>
      </c>
      <c r="J93" s="1">
        <v>2</v>
      </c>
      <c r="K93" s="1" t="s">
        <v>21</v>
      </c>
      <c r="L93" s="1" t="s">
        <v>22</v>
      </c>
      <c r="M93" s="15">
        <f t="shared" si="8"/>
        <v>34.160776379831631</v>
      </c>
      <c r="N93" s="15">
        <f t="shared" si="9"/>
        <v>33.507539894310945</v>
      </c>
      <c r="O93" s="14">
        <f t="shared" si="10"/>
        <v>3647.0192986620241</v>
      </c>
      <c r="P93" s="13">
        <f t="shared" si="11"/>
        <v>1.9122413327419572E-2</v>
      </c>
      <c r="Q93" s="15">
        <f t="shared" si="12"/>
        <v>0.65323648552068647</v>
      </c>
      <c r="R93" s="13">
        <f t="shared" si="13"/>
        <v>1.9122413327419405E-2</v>
      </c>
      <c r="S93" s="15">
        <f t="shared" si="14"/>
        <v>35.267973231772061</v>
      </c>
      <c r="T93" s="15">
        <f t="shared" si="15"/>
        <v>33.321194078411388</v>
      </c>
    </row>
    <row r="94" spans="1:20" x14ac:dyDescent="0.3">
      <c r="A94" s="5">
        <v>41730.083333333336</v>
      </c>
      <c r="B94" s="14">
        <v>244535.20522546399</v>
      </c>
      <c r="C94" s="14">
        <v>239700.68479759901</v>
      </c>
      <c r="D94" s="6">
        <v>7155</v>
      </c>
      <c r="E94" s="1">
        <v>2014</v>
      </c>
      <c r="F94" s="1">
        <v>4</v>
      </c>
      <c r="G94" s="1" t="s">
        <v>32</v>
      </c>
      <c r="H94" s="12">
        <v>41730</v>
      </c>
      <c r="I94" s="1">
        <v>1</v>
      </c>
      <c r="J94" s="1">
        <v>3</v>
      </c>
      <c r="K94" s="1" t="s">
        <v>23</v>
      </c>
      <c r="L94" s="1" t="s">
        <v>22</v>
      </c>
      <c r="M94" s="15">
        <f t="shared" si="8"/>
        <v>34.176828123754575</v>
      </c>
      <c r="N94" s="15">
        <f t="shared" si="9"/>
        <v>33.501143926987979</v>
      </c>
      <c r="O94" s="14">
        <f t="shared" si="10"/>
        <v>4834.5204278649762</v>
      </c>
      <c r="P94" s="13">
        <f t="shared" si="11"/>
        <v>1.9770242993876887E-2</v>
      </c>
      <c r="Q94" s="15">
        <f t="shared" si="12"/>
        <v>0.6756841967665963</v>
      </c>
      <c r="R94" s="13">
        <f t="shared" si="13"/>
        <v>1.9770242993876971E-2</v>
      </c>
      <c r="S94" s="15">
        <f t="shared" si="14"/>
        <v>35.267973231772061</v>
      </c>
      <c r="T94" s="15">
        <f t="shared" si="15"/>
        <v>33.396478056677161</v>
      </c>
    </row>
    <row r="95" spans="1:20" x14ac:dyDescent="0.3">
      <c r="A95" s="5">
        <v>41731.083333333336</v>
      </c>
      <c r="B95" s="14">
        <v>155620.50378882699</v>
      </c>
      <c r="C95" s="14">
        <v>153366.01881055199</v>
      </c>
      <c r="D95" s="6">
        <v>4575</v>
      </c>
      <c r="E95" s="1">
        <v>2014</v>
      </c>
      <c r="F95" s="1">
        <v>4</v>
      </c>
      <c r="G95" s="1" t="s">
        <v>32</v>
      </c>
      <c r="H95" s="12">
        <v>41730</v>
      </c>
      <c r="I95" s="1">
        <v>2</v>
      </c>
      <c r="J95" s="1">
        <v>4</v>
      </c>
      <c r="K95" s="1" t="s">
        <v>25</v>
      </c>
      <c r="L95" s="1" t="s">
        <v>22</v>
      </c>
      <c r="M95" s="15">
        <f t="shared" si="8"/>
        <v>34.015410664224476</v>
      </c>
      <c r="N95" s="15">
        <f t="shared" si="9"/>
        <v>33.522627062415737</v>
      </c>
      <c r="O95" s="14">
        <f t="shared" si="10"/>
        <v>2254.4849782749952</v>
      </c>
      <c r="P95" s="13">
        <f t="shared" si="11"/>
        <v>1.448706901331121E-2</v>
      </c>
      <c r="Q95" s="15">
        <f t="shared" si="12"/>
        <v>0.49278360180873904</v>
      </c>
      <c r="R95" s="13">
        <f t="shared" si="13"/>
        <v>1.448706901331112E-2</v>
      </c>
      <c r="S95" s="15">
        <f t="shared" si="14"/>
        <v>35.267973231772061</v>
      </c>
      <c r="T95" s="15">
        <f t="shared" si="15"/>
        <v>33.466542400675863</v>
      </c>
    </row>
    <row r="96" spans="1:20" x14ac:dyDescent="0.3">
      <c r="A96" s="5">
        <v>41732.083333333336</v>
      </c>
      <c r="B96" s="14">
        <v>136001.97816007701</v>
      </c>
      <c r="C96" s="14">
        <v>134523.06863371999</v>
      </c>
      <c r="D96" s="6">
        <v>3997</v>
      </c>
      <c r="E96" s="1">
        <v>2014</v>
      </c>
      <c r="F96" s="1">
        <v>4</v>
      </c>
      <c r="G96" s="1" t="s">
        <v>32</v>
      </c>
      <c r="H96" s="12">
        <v>41730</v>
      </c>
      <c r="I96" s="1">
        <v>3</v>
      </c>
      <c r="J96" s="1">
        <v>5</v>
      </c>
      <c r="K96" s="1" t="s">
        <v>26</v>
      </c>
      <c r="L96" s="1" t="s">
        <v>22</v>
      </c>
      <c r="M96" s="15">
        <f t="shared" si="8"/>
        <v>34.026014050557173</v>
      </c>
      <c r="N96" s="15">
        <f t="shared" si="9"/>
        <v>33.656009165303978</v>
      </c>
      <c r="O96" s="14">
        <f t="shared" si="10"/>
        <v>1478.9095263570198</v>
      </c>
      <c r="P96" s="13">
        <f t="shared" si="11"/>
        <v>1.0874176584522279E-2</v>
      </c>
      <c r="Q96" s="15">
        <f t="shared" si="12"/>
        <v>0.37000488525319497</v>
      </c>
      <c r="R96" s="13">
        <f t="shared" si="13"/>
        <v>1.0874176584522282E-2</v>
      </c>
      <c r="S96" s="15">
        <f t="shared" si="14"/>
        <v>35.267973231772061</v>
      </c>
      <c r="T96" s="15">
        <f t="shared" si="15"/>
        <v>33.543957629515575</v>
      </c>
    </row>
    <row r="97" spans="1:20" x14ac:dyDescent="0.3">
      <c r="A97" s="5">
        <v>41733.083333333336</v>
      </c>
      <c r="B97" s="14">
        <v>190559.88751276699</v>
      </c>
      <c r="C97" s="14">
        <v>187742.30001175299</v>
      </c>
      <c r="D97" s="6">
        <v>5558</v>
      </c>
      <c r="E97" s="1">
        <v>2014</v>
      </c>
      <c r="F97" s="1">
        <v>4</v>
      </c>
      <c r="G97" s="1" t="s">
        <v>32</v>
      </c>
      <c r="H97" s="12">
        <v>41730</v>
      </c>
      <c r="I97" s="1">
        <v>4</v>
      </c>
      <c r="J97" s="1">
        <v>6</v>
      </c>
      <c r="K97" s="1" t="s">
        <v>27</v>
      </c>
      <c r="L97" s="1" t="s">
        <v>22</v>
      </c>
      <c r="M97" s="15">
        <f t="shared" si="8"/>
        <v>34.285694046917413</v>
      </c>
      <c r="N97" s="15">
        <f t="shared" si="9"/>
        <v>33.778751351520867</v>
      </c>
      <c r="O97" s="14">
        <f t="shared" si="10"/>
        <v>2817.5875010140007</v>
      </c>
      <c r="P97" s="13">
        <f t="shared" si="11"/>
        <v>1.4785837343786374E-2</v>
      </c>
      <c r="Q97" s="15">
        <f t="shared" si="12"/>
        <v>0.50694269539654613</v>
      </c>
      <c r="R97" s="13">
        <f t="shared" si="13"/>
        <v>1.4785837343786388E-2</v>
      </c>
      <c r="S97" s="15">
        <f t="shared" si="14"/>
        <v>35.267973231772061</v>
      </c>
      <c r="T97" s="15">
        <f t="shared" si="15"/>
        <v>33.62896650022801</v>
      </c>
    </row>
    <row r="98" spans="1:20" x14ac:dyDescent="0.3">
      <c r="A98" s="5">
        <v>41734.083333333336</v>
      </c>
      <c r="B98" s="14">
        <v>217110.502529121</v>
      </c>
      <c r="C98" s="14">
        <v>213540.73418419401</v>
      </c>
      <c r="D98" s="6">
        <v>6320</v>
      </c>
      <c r="E98" s="1">
        <v>2014</v>
      </c>
      <c r="F98" s="1">
        <v>4</v>
      </c>
      <c r="G98" s="1" t="s">
        <v>32</v>
      </c>
      <c r="H98" s="12">
        <v>41730</v>
      </c>
      <c r="I98" s="1">
        <v>5</v>
      </c>
      <c r="J98" s="1">
        <v>7</v>
      </c>
      <c r="K98" s="1" t="s">
        <v>28</v>
      </c>
      <c r="L98" s="1" t="s">
        <v>22</v>
      </c>
      <c r="M98" s="15">
        <f t="shared" si="8"/>
        <v>34.35292761536725</v>
      </c>
      <c r="N98" s="15">
        <f t="shared" si="9"/>
        <v>33.788090851929432</v>
      </c>
      <c r="O98" s="14">
        <f t="shared" si="10"/>
        <v>3569.7683449269971</v>
      </c>
      <c r="P98" s="13">
        <f t="shared" si="11"/>
        <v>1.6442172549659059E-2</v>
      </c>
      <c r="Q98" s="15">
        <f t="shared" si="12"/>
        <v>0.56483676343781752</v>
      </c>
      <c r="R98" s="13">
        <f t="shared" si="13"/>
        <v>1.6442172549659101E-2</v>
      </c>
      <c r="S98" s="15">
        <f t="shared" si="14"/>
        <v>35.267973231772061</v>
      </c>
      <c r="T98" s="15">
        <f t="shared" si="15"/>
        <v>33.671253494766979</v>
      </c>
    </row>
    <row r="99" spans="1:20" x14ac:dyDescent="0.3">
      <c r="A99" s="5">
        <v>41735.083333333336</v>
      </c>
      <c r="B99" s="14">
        <v>119190.099982556</v>
      </c>
      <c r="C99" s="14">
        <v>116856.31461341601</v>
      </c>
      <c r="D99" s="6">
        <v>3447</v>
      </c>
      <c r="E99" s="1">
        <v>2014</v>
      </c>
      <c r="F99" s="1">
        <v>4</v>
      </c>
      <c r="G99" s="1" t="s">
        <v>32</v>
      </c>
      <c r="H99" s="12">
        <v>41730</v>
      </c>
      <c r="I99" s="1">
        <v>6</v>
      </c>
      <c r="J99" s="1">
        <v>1</v>
      </c>
      <c r="K99" s="1" t="s">
        <v>29</v>
      </c>
      <c r="L99" s="1" t="s">
        <v>22</v>
      </c>
      <c r="M99" s="15">
        <f t="shared" si="8"/>
        <v>34.577922826387002</v>
      </c>
      <c r="N99" s="15">
        <f t="shared" si="9"/>
        <v>33.900874561478389</v>
      </c>
      <c r="O99" s="14">
        <f t="shared" si="10"/>
        <v>2333.7853691399941</v>
      </c>
      <c r="P99" s="13">
        <f t="shared" si="11"/>
        <v>1.9580362542539642E-2</v>
      </c>
      <c r="Q99" s="15">
        <f t="shared" si="12"/>
        <v>0.67704826490861336</v>
      </c>
      <c r="R99" s="13">
        <f t="shared" si="13"/>
        <v>1.9580362542539607E-2</v>
      </c>
      <c r="S99" s="15">
        <f t="shared" si="14"/>
        <v>35.267973231772061</v>
      </c>
      <c r="T99" s="15">
        <f t="shared" si="15"/>
        <v>33.757903515464733</v>
      </c>
    </row>
    <row r="100" spans="1:20" x14ac:dyDescent="0.3">
      <c r="A100" s="5">
        <v>41736.083333333336</v>
      </c>
      <c r="B100" s="14">
        <v>131910.197451532</v>
      </c>
      <c r="C100" s="14">
        <v>130784.44470906501</v>
      </c>
      <c r="D100" s="6">
        <v>3854</v>
      </c>
      <c r="E100" s="1">
        <v>2014</v>
      </c>
      <c r="F100" s="1">
        <v>4</v>
      </c>
      <c r="G100" s="1" t="s">
        <v>32</v>
      </c>
      <c r="H100" s="12">
        <v>41730</v>
      </c>
      <c r="I100" s="1">
        <v>7</v>
      </c>
      <c r="J100" s="1">
        <v>2</v>
      </c>
      <c r="K100" s="1" t="s">
        <v>21</v>
      </c>
      <c r="L100" s="1" t="s">
        <v>22</v>
      </c>
      <c r="M100" s="15">
        <f t="shared" si="8"/>
        <v>34.226828607039963</v>
      </c>
      <c r="N100" s="15">
        <f t="shared" si="9"/>
        <v>33.934728777650491</v>
      </c>
      <c r="O100" s="14">
        <f t="shared" si="10"/>
        <v>1125.752742466997</v>
      </c>
      <c r="P100" s="13">
        <f t="shared" si="11"/>
        <v>8.5342358984841511E-3</v>
      </c>
      <c r="Q100" s="15">
        <f t="shared" si="12"/>
        <v>0.29209982938947121</v>
      </c>
      <c r="R100" s="13">
        <f t="shared" si="13"/>
        <v>8.5342358984843401E-3</v>
      </c>
      <c r="S100" s="15">
        <f t="shared" si="14"/>
        <v>35.267973231772061</v>
      </c>
      <c r="T100" s="15">
        <f t="shared" si="15"/>
        <v>33.832617443985399</v>
      </c>
    </row>
    <row r="101" spans="1:20" x14ac:dyDescent="0.3">
      <c r="A101" s="5">
        <v>41737.083333333336</v>
      </c>
      <c r="B101" s="14">
        <v>118921.30767625901</v>
      </c>
      <c r="C101" s="14">
        <v>115305.80518544601</v>
      </c>
      <c r="D101" s="6">
        <v>3394</v>
      </c>
      <c r="E101" s="1">
        <v>2014</v>
      </c>
      <c r="F101" s="1">
        <v>4</v>
      </c>
      <c r="G101" s="1" t="s">
        <v>32</v>
      </c>
      <c r="H101" s="12">
        <v>41730</v>
      </c>
      <c r="I101" s="1">
        <v>8</v>
      </c>
      <c r="J101" s="1">
        <v>3</v>
      </c>
      <c r="K101" s="1" t="s">
        <v>23</v>
      </c>
      <c r="L101" s="1" t="s">
        <v>22</v>
      </c>
      <c r="M101" s="15">
        <f t="shared" si="8"/>
        <v>35.038688178037418</v>
      </c>
      <c r="N101" s="15">
        <f t="shared" si="9"/>
        <v>33.973425216690046</v>
      </c>
      <c r="O101" s="14">
        <f t="shared" si="10"/>
        <v>3615.5024908129999</v>
      </c>
      <c r="P101" s="13">
        <f t="shared" si="11"/>
        <v>3.040247842426631E-2</v>
      </c>
      <c r="Q101" s="15">
        <f t="shared" si="12"/>
        <v>1.0652629613473721</v>
      </c>
      <c r="R101" s="13">
        <f t="shared" si="13"/>
        <v>3.040247842426615E-2</v>
      </c>
      <c r="S101" s="15">
        <f t="shared" si="14"/>
        <v>35.267973231772061</v>
      </c>
      <c r="T101" s="15">
        <f t="shared" si="15"/>
        <v>33.932712996030553</v>
      </c>
    </row>
    <row r="102" spans="1:20" x14ac:dyDescent="0.3">
      <c r="A102" s="5">
        <v>41738.083333333336</v>
      </c>
      <c r="B102" s="14">
        <v>124828.282836809</v>
      </c>
      <c r="C102" s="14">
        <v>121264.703118163</v>
      </c>
      <c r="D102" s="6">
        <v>3563</v>
      </c>
      <c r="E102" s="1">
        <v>2014</v>
      </c>
      <c r="F102" s="1">
        <v>4</v>
      </c>
      <c r="G102" s="1" t="s">
        <v>32</v>
      </c>
      <c r="H102" s="12">
        <v>41730</v>
      </c>
      <c r="I102" s="1">
        <v>9</v>
      </c>
      <c r="J102" s="1">
        <v>4</v>
      </c>
      <c r="K102" s="1" t="s">
        <v>25</v>
      </c>
      <c r="L102" s="1" t="s">
        <v>22</v>
      </c>
      <c r="M102" s="15">
        <f t="shared" si="8"/>
        <v>35.034600852317993</v>
      </c>
      <c r="N102" s="15">
        <f t="shared" si="9"/>
        <v>34.034438147112823</v>
      </c>
      <c r="O102" s="14">
        <f t="shared" si="10"/>
        <v>3563.5797186459968</v>
      </c>
      <c r="P102" s="13">
        <f t="shared" si="11"/>
        <v>2.854785500257782E-2</v>
      </c>
      <c r="Q102" s="15">
        <f t="shared" si="12"/>
        <v>1.0001627052051703</v>
      </c>
      <c r="R102" s="13">
        <f t="shared" si="13"/>
        <v>2.8547855002578015E-2</v>
      </c>
      <c r="S102" s="15">
        <f t="shared" si="14"/>
        <v>35.267973231772061</v>
      </c>
      <c r="T102" s="15">
        <f t="shared" si="15"/>
        <v>34.032348672685899</v>
      </c>
    </row>
    <row r="103" spans="1:20" x14ac:dyDescent="0.3">
      <c r="A103" s="5">
        <v>41739.083333333336</v>
      </c>
      <c r="B103" s="14">
        <v>179326.49022809599</v>
      </c>
      <c r="C103" s="14">
        <v>183278.502426986</v>
      </c>
      <c r="D103" s="6">
        <v>5380</v>
      </c>
      <c r="E103" s="1">
        <v>2014</v>
      </c>
      <c r="F103" s="1">
        <v>4</v>
      </c>
      <c r="G103" s="1" t="s">
        <v>32</v>
      </c>
      <c r="H103" s="12">
        <v>41730</v>
      </c>
      <c r="I103" s="1">
        <v>10</v>
      </c>
      <c r="J103" s="1">
        <v>5</v>
      </c>
      <c r="K103" s="1" t="s">
        <v>26</v>
      </c>
      <c r="L103" s="1" t="s">
        <v>22</v>
      </c>
      <c r="M103" s="15">
        <f t="shared" si="8"/>
        <v>33.332061380686987</v>
      </c>
      <c r="N103" s="15">
        <f t="shared" si="9"/>
        <v>34.066636138844984</v>
      </c>
      <c r="O103" s="14">
        <f t="shared" si="10"/>
        <v>-3952.0121988900064</v>
      </c>
      <c r="P103" s="13">
        <f t="shared" si="11"/>
        <v>-2.2038083686705782E-2</v>
      </c>
      <c r="Q103" s="15">
        <f t="shared" si="12"/>
        <v>-0.73457475815799711</v>
      </c>
      <c r="R103" s="13">
        <f t="shared" si="13"/>
        <v>-2.2038083686705883E-2</v>
      </c>
      <c r="S103" s="15">
        <f t="shared" si="14"/>
        <v>35.267973231772061</v>
      </c>
      <c r="T103" s="15">
        <f t="shared" si="15"/>
        <v>34.056071978004702</v>
      </c>
    </row>
    <row r="104" spans="1:20" x14ac:dyDescent="0.3">
      <c r="A104" s="5">
        <v>41740.083333333336</v>
      </c>
      <c r="B104" s="14">
        <v>318949.81705616001</v>
      </c>
      <c r="C104" s="14">
        <v>326322.52601226</v>
      </c>
      <c r="D104" s="6">
        <v>9573</v>
      </c>
      <c r="E104" s="1">
        <v>2014</v>
      </c>
      <c r="F104" s="1">
        <v>4</v>
      </c>
      <c r="G104" s="1" t="s">
        <v>32</v>
      </c>
      <c r="H104" s="12">
        <v>41730</v>
      </c>
      <c r="I104" s="1">
        <v>11</v>
      </c>
      <c r="J104" s="1">
        <v>6</v>
      </c>
      <c r="K104" s="1" t="s">
        <v>27</v>
      </c>
      <c r="L104" s="1" t="s">
        <v>22</v>
      </c>
      <c r="M104" s="15">
        <f t="shared" si="8"/>
        <v>33.317645153678058</v>
      </c>
      <c r="N104" s="15">
        <f t="shared" si="9"/>
        <v>34.087801735324348</v>
      </c>
      <c r="O104" s="14">
        <f t="shared" si="10"/>
        <v>-7372.7089560999884</v>
      </c>
      <c r="P104" s="13">
        <f t="shared" si="11"/>
        <v>-2.3115576688986835E-2</v>
      </c>
      <c r="Q104" s="15">
        <f t="shared" si="12"/>
        <v>-0.77015658164629031</v>
      </c>
      <c r="R104" s="13">
        <f t="shared" si="13"/>
        <v>-2.3115576688986672E-2</v>
      </c>
      <c r="S104" s="15">
        <f t="shared" si="14"/>
        <v>35.267973231772061</v>
      </c>
      <c r="T104" s="15">
        <f t="shared" si="15"/>
        <v>34.084157528933183</v>
      </c>
    </row>
    <row r="105" spans="1:20" x14ac:dyDescent="0.3">
      <c r="A105" s="5">
        <v>41741.083333333336</v>
      </c>
      <c r="B105" s="14">
        <v>375031.10932268901</v>
      </c>
      <c r="C105" s="14">
        <v>383727.19401292398</v>
      </c>
      <c r="D105" s="6">
        <v>11250</v>
      </c>
      <c r="E105" s="1">
        <v>2014</v>
      </c>
      <c r="F105" s="1">
        <v>4</v>
      </c>
      <c r="G105" s="1" t="s">
        <v>32</v>
      </c>
      <c r="H105" s="12">
        <v>41730</v>
      </c>
      <c r="I105" s="1">
        <v>12</v>
      </c>
      <c r="J105" s="1">
        <v>7</v>
      </c>
      <c r="K105" s="1" t="s">
        <v>28</v>
      </c>
      <c r="L105" s="1" t="s">
        <v>22</v>
      </c>
      <c r="M105" s="15">
        <f t="shared" si="8"/>
        <v>33.336098606461242</v>
      </c>
      <c r="N105" s="15">
        <f t="shared" si="9"/>
        <v>34.109083912259912</v>
      </c>
      <c r="O105" s="14">
        <f t="shared" si="10"/>
        <v>-8696.0846902349731</v>
      </c>
      <c r="P105" s="13">
        <f t="shared" si="11"/>
        <v>-2.3187635569593718E-2</v>
      </c>
      <c r="Q105" s="15">
        <f t="shared" si="12"/>
        <v>-0.7729853057986702</v>
      </c>
      <c r="R105" s="13">
        <f t="shared" si="13"/>
        <v>-2.3187635569593894E-2</v>
      </c>
      <c r="S105" s="15">
        <f t="shared" si="14"/>
        <v>35.267973231772061</v>
      </c>
      <c r="T105" s="15">
        <f t="shared" si="15"/>
        <v>34.109759763581572</v>
      </c>
    </row>
    <row r="106" spans="1:20" x14ac:dyDescent="0.3">
      <c r="A106" s="5">
        <v>41742.083333333336</v>
      </c>
      <c r="B106" s="14">
        <v>166393.54070527299</v>
      </c>
      <c r="C106" s="14">
        <v>170061.864146523</v>
      </c>
      <c r="D106" s="6">
        <v>4990</v>
      </c>
      <c r="E106" s="1">
        <v>2014</v>
      </c>
      <c r="F106" s="1">
        <v>4</v>
      </c>
      <c r="G106" s="1" t="s">
        <v>32</v>
      </c>
      <c r="H106" s="12">
        <v>41730</v>
      </c>
      <c r="I106" s="1">
        <v>13</v>
      </c>
      <c r="J106" s="1">
        <v>1</v>
      </c>
      <c r="K106" s="1" t="s">
        <v>29</v>
      </c>
      <c r="L106" s="1" t="s">
        <v>22</v>
      </c>
      <c r="M106" s="15">
        <f t="shared" si="8"/>
        <v>33.345398938932462</v>
      </c>
      <c r="N106" s="15">
        <f t="shared" si="9"/>
        <v>34.080533897098796</v>
      </c>
      <c r="O106" s="14">
        <f t="shared" si="10"/>
        <v>-3668.3234412500169</v>
      </c>
      <c r="P106" s="13">
        <f t="shared" si="11"/>
        <v>-2.2046068769866426E-2</v>
      </c>
      <c r="Q106" s="15">
        <f t="shared" si="12"/>
        <v>-0.73513495816633423</v>
      </c>
      <c r="R106" s="13">
        <f t="shared" si="13"/>
        <v>-2.2046068769866374E-2</v>
      </c>
      <c r="S106" s="15">
        <f t="shared" si="14"/>
        <v>35.267973231772061</v>
      </c>
      <c r="T106" s="15">
        <f t="shared" si="15"/>
        <v>34.136531971898684</v>
      </c>
    </row>
    <row r="107" spans="1:20" x14ac:dyDescent="0.3">
      <c r="A107" s="5">
        <v>41743.083333333336</v>
      </c>
      <c r="B107" s="14">
        <v>193652.327767829</v>
      </c>
      <c r="C107" s="14">
        <v>198212.06872996801</v>
      </c>
      <c r="D107" s="6">
        <v>5810</v>
      </c>
      <c r="E107" s="1">
        <v>2014</v>
      </c>
      <c r="F107" s="1">
        <v>4</v>
      </c>
      <c r="G107" s="1" t="s">
        <v>32</v>
      </c>
      <c r="H107" s="12">
        <v>41730</v>
      </c>
      <c r="I107" s="1">
        <v>14</v>
      </c>
      <c r="J107" s="1">
        <v>2</v>
      </c>
      <c r="K107" s="1" t="s">
        <v>21</v>
      </c>
      <c r="L107" s="1" t="s">
        <v>22</v>
      </c>
      <c r="M107" s="15">
        <f t="shared" si="8"/>
        <v>33.330865364514459</v>
      </c>
      <c r="N107" s="15">
        <f t="shared" si="9"/>
        <v>34.115674480201037</v>
      </c>
      <c r="O107" s="14">
        <f t="shared" si="10"/>
        <v>-4559.7409621390107</v>
      </c>
      <c r="P107" s="13">
        <f t="shared" si="11"/>
        <v>-2.3546016795655114E-2</v>
      </c>
      <c r="Q107" s="15">
        <f t="shared" si="12"/>
        <v>-0.78480911568657774</v>
      </c>
      <c r="R107" s="13">
        <f t="shared" si="13"/>
        <v>-2.3546016795655142E-2</v>
      </c>
      <c r="S107" s="15">
        <f t="shared" si="14"/>
        <v>35.267973231772061</v>
      </c>
      <c r="T107" s="15">
        <f t="shared" si="15"/>
        <v>34.166052228116719</v>
      </c>
    </row>
    <row r="108" spans="1:20" x14ac:dyDescent="0.3">
      <c r="A108" s="5">
        <v>41744.083333333336</v>
      </c>
      <c r="B108" s="14">
        <v>249805.517213491</v>
      </c>
      <c r="C108" s="14">
        <v>255956.65403528899</v>
      </c>
      <c r="D108" s="6">
        <v>7497</v>
      </c>
      <c r="E108" s="1">
        <v>2014</v>
      </c>
      <c r="F108" s="1">
        <v>4</v>
      </c>
      <c r="G108" s="1" t="s">
        <v>32</v>
      </c>
      <c r="H108" s="12">
        <v>41730</v>
      </c>
      <c r="I108" s="1">
        <v>15</v>
      </c>
      <c r="J108" s="1">
        <v>3</v>
      </c>
      <c r="K108" s="1" t="s">
        <v>23</v>
      </c>
      <c r="L108" s="1" t="s">
        <v>22</v>
      </c>
      <c r="M108" s="15">
        <f t="shared" si="8"/>
        <v>33.32073058736708</v>
      </c>
      <c r="N108" s="15">
        <f t="shared" si="9"/>
        <v>34.141210355514069</v>
      </c>
      <c r="O108" s="14">
        <f t="shared" si="10"/>
        <v>-6151.1368217979907</v>
      </c>
      <c r="P108" s="13">
        <f t="shared" si="11"/>
        <v>-2.4623702832556143E-2</v>
      </c>
      <c r="Q108" s="15">
        <f t="shared" si="12"/>
        <v>-0.82047976814698842</v>
      </c>
      <c r="R108" s="13">
        <f t="shared" si="13"/>
        <v>-2.462370283255607E-2</v>
      </c>
      <c r="S108" s="15">
        <f t="shared" si="14"/>
        <v>35.267973231772061</v>
      </c>
      <c r="T108" s="15">
        <f t="shared" si="15"/>
        <v>34.19265429371422</v>
      </c>
    </row>
    <row r="109" spans="1:20" x14ac:dyDescent="0.3">
      <c r="A109" s="5">
        <v>41745.083333333336</v>
      </c>
      <c r="B109" s="14">
        <v>294023.41088804998</v>
      </c>
      <c r="C109" s="14">
        <v>301522.35225437098</v>
      </c>
      <c r="D109" s="6">
        <v>8821</v>
      </c>
      <c r="E109" s="1">
        <v>2014</v>
      </c>
      <c r="F109" s="1">
        <v>4</v>
      </c>
      <c r="G109" s="1" t="s">
        <v>32</v>
      </c>
      <c r="H109" s="12">
        <v>41730</v>
      </c>
      <c r="I109" s="1">
        <v>16</v>
      </c>
      <c r="J109" s="1">
        <v>4</v>
      </c>
      <c r="K109" s="1" t="s">
        <v>25</v>
      </c>
      <c r="L109" s="1" t="s">
        <v>22</v>
      </c>
      <c r="M109" s="15">
        <f t="shared" si="8"/>
        <v>33.332208467072896</v>
      </c>
      <c r="N109" s="15">
        <f t="shared" si="9"/>
        <v>34.182332190723386</v>
      </c>
      <c r="O109" s="14">
        <f t="shared" si="10"/>
        <v>-7498.9413663209998</v>
      </c>
      <c r="P109" s="13">
        <f t="shared" si="11"/>
        <v>-2.5504572386503731E-2</v>
      </c>
      <c r="Q109" s="15">
        <f t="shared" si="12"/>
        <v>-0.8501237236504906</v>
      </c>
      <c r="R109" s="13">
        <f t="shared" si="13"/>
        <v>-2.5504572386503652E-2</v>
      </c>
      <c r="S109" s="15">
        <f t="shared" si="14"/>
        <v>35.267973231772061</v>
      </c>
      <c r="T109" s="15">
        <f t="shared" si="15"/>
        <v>34.219714601092868</v>
      </c>
    </row>
    <row r="110" spans="1:20" x14ac:dyDescent="0.3">
      <c r="A110" s="5">
        <v>41746.083333333336</v>
      </c>
      <c r="B110" s="14">
        <v>612236.00579723797</v>
      </c>
      <c r="C110" s="14">
        <v>627927.75867339002</v>
      </c>
      <c r="D110" s="6">
        <v>18366</v>
      </c>
      <c r="E110" s="1">
        <v>2014</v>
      </c>
      <c r="F110" s="1">
        <v>4</v>
      </c>
      <c r="G110" s="1" t="s">
        <v>32</v>
      </c>
      <c r="H110" s="12">
        <v>41730</v>
      </c>
      <c r="I110" s="1">
        <v>17</v>
      </c>
      <c r="J110" s="1">
        <v>5</v>
      </c>
      <c r="K110" s="1" t="s">
        <v>26</v>
      </c>
      <c r="L110" s="1" t="s">
        <v>22</v>
      </c>
      <c r="M110" s="15">
        <f t="shared" si="8"/>
        <v>33.335293792727754</v>
      </c>
      <c r="N110" s="15">
        <f t="shared" si="9"/>
        <v>34.189685215800395</v>
      </c>
      <c r="O110" s="14">
        <f t="shared" si="10"/>
        <v>-15691.752876152052</v>
      </c>
      <c r="P110" s="13">
        <f t="shared" si="11"/>
        <v>-2.5630235281112967E-2</v>
      </c>
      <c r="Q110" s="15">
        <f t="shared" si="12"/>
        <v>-0.85439142307264149</v>
      </c>
      <c r="R110" s="13">
        <f t="shared" si="13"/>
        <v>-2.5630235281113103E-2</v>
      </c>
      <c r="S110" s="15">
        <f t="shared" si="14"/>
        <v>35.267973231772061</v>
      </c>
      <c r="T110" s="15">
        <f t="shared" si="15"/>
        <v>34.162934604751825</v>
      </c>
    </row>
    <row r="111" spans="1:20" x14ac:dyDescent="0.3">
      <c r="A111" s="5">
        <v>41747.083333333336</v>
      </c>
      <c r="B111" s="14">
        <v>464815.517868547</v>
      </c>
      <c r="C111" s="14">
        <v>476692.54369440902</v>
      </c>
      <c r="D111" s="6">
        <v>13940</v>
      </c>
      <c r="E111" s="1">
        <v>2014</v>
      </c>
      <c r="F111" s="1">
        <v>4</v>
      </c>
      <c r="G111" s="1" t="s">
        <v>32</v>
      </c>
      <c r="H111" s="12">
        <v>41730</v>
      </c>
      <c r="I111" s="1">
        <v>18</v>
      </c>
      <c r="J111" s="1">
        <v>6</v>
      </c>
      <c r="K111" s="1" t="s">
        <v>27</v>
      </c>
      <c r="L111" s="1" t="s">
        <v>22</v>
      </c>
      <c r="M111" s="15">
        <f t="shared" si="8"/>
        <v>33.344011324859899</v>
      </c>
      <c r="N111" s="15">
        <f t="shared" si="9"/>
        <v>34.196021785825614</v>
      </c>
      <c r="O111" s="14">
        <f t="shared" si="10"/>
        <v>-11877.025825862016</v>
      </c>
      <c r="P111" s="13">
        <f t="shared" si="11"/>
        <v>-2.5552128466633767E-2</v>
      </c>
      <c r="Q111" s="15">
        <f t="shared" si="12"/>
        <v>-0.85201046096571531</v>
      </c>
      <c r="R111" s="13">
        <f t="shared" si="13"/>
        <v>-2.5552128466633885E-2</v>
      </c>
      <c r="S111" s="15">
        <f t="shared" si="14"/>
        <v>35.267973231772061</v>
      </c>
      <c r="T111" s="15">
        <f t="shared" si="15"/>
        <v>34.106574786739941</v>
      </c>
    </row>
    <row r="112" spans="1:20" x14ac:dyDescent="0.3">
      <c r="A112" s="5">
        <v>41748.083333333336</v>
      </c>
      <c r="B112" s="14">
        <v>360480.940449538</v>
      </c>
      <c r="C112" s="14">
        <v>369765.61276322498</v>
      </c>
      <c r="D112" s="6">
        <v>10814</v>
      </c>
      <c r="E112" s="1">
        <v>2014</v>
      </c>
      <c r="F112" s="1">
        <v>4</v>
      </c>
      <c r="G112" s="1" t="s">
        <v>32</v>
      </c>
      <c r="H112" s="12">
        <v>41730</v>
      </c>
      <c r="I112" s="1">
        <v>19</v>
      </c>
      <c r="J112" s="1">
        <v>7</v>
      </c>
      <c r="K112" s="1" t="s">
        <v>28</v>
      </c>
      <c r="L112" s="1" t="s">
        <v>22</v>
      </c>
      <c r="M112" s="15">
        <f t="shared" si="8"/>
        <v>33.334653268867946</v>
      </c>
      <c r="N112" s="15">
        <f t="shared" si="9"/>
        <v>34.193232177106061</v>
      </c>
      <c r="O112" s="14">
        <f t="shared" si="10"/>
        <v>-9284.6723136869841</v>
      </c>
      <c r="P112" s="13">
        <f t="shared" si="11"/>
        <v>-2.5756347345600374E-2</v>
      </c>
      <c r="Q112" s="15">
        <f t="shared" si="12"/>
        <v>-0.85857890823811545</v>
      </c>
      <c r="R112" s="13">
        <f t="shared" si="13"/>
        <v>-2.5756347345600363E-2</v>
      </c>
      <c r="S112" s="15">
        <f t="shared" si="14"/>
        <v>35.267973231772061</v>
      </c>
      <c r="T112" s="15">
        <f t="shared" si="15"/>
        <v>34.049899069623095</v>
      </c>
    </row>
    <row r="113" spans="1:20" x14ac:dyDescent="0.3">
      <c r="A113" s="5">
        <v>41749.083333333336</v>
      </c>
      <c r="B113" s="14">
        <v>114279.57725377</v>
      </c>
      <c r="C113" s="14">
        <v>117190.82615416701</v>
      </c>
      <c r="D113" s="6">
        <v>3429</v>
      </c>
      <c r="E113" s="1">
        <v>2014</v>
      </c>
      <c r="F113" s="1">
        <v>4</v>
      </c>
      <c r="G113" s="1" t="s">
        <v>32</v>
      </c>
      <c r="H113" s="12">
        <v>41730</v>
      </c>
      <c r="I113" s="1">
        <v>20</v>
      </c>
      <c r="J113" s="1">
        <v>1</v>
      </c>
      <c r="K113" s="1" t="s">
        <v>29</v>
      </c>
      <c r="L113" s="1" t="s">
        <v>22</v>
      </c>
      <c r="M113" s="15">
        <f t="shared" si="8"/>
        <v>33.327377443502478</v>
      </c>
      <c r="N113" s="15">
        <f t="shared" si="9"/>
        <v>34.176385580101197</v>
      </c>
      <c r="O113" s="14">
        <f t="shared" si="10"/>
        <v>-2911.2489003970113</v>
      </c>
      <c r="P113" s="13">
        <f t="shared" si="11"/>
        <v>-2.5474795850288039E-2</v>
      </c>
      <c r="Q113" s="15">
        <f t="shared" si="12"/>
        <v>-0.84900813659871943</v>
      </c>
      <c r="R113" s="13">
        <f t="shared" si="13"/>
        <v>-2.5474795850288019E-2</v>
      </c>
      <c r="S113" s="15">
        <f t="shared" si="14"/>
        <v>35.267973231772061</v>
      </c>
      <c r="T113" s="15">
        <f t="shared" si="15"/>
        <v>33.992897135734935</v>
      </c>
    </row>
    <row r="114" spans="1:20" x14ac:dyDescent="0.3">
      <c r="A114" s="5">
        <v>41750.083333333336</v>
      </c>
      <c r="B114" s="14">
        <v>161170.82040272999</v>
      </c>
      <c r="C114" s="14">
        <v>165415.08384550401</v>
      </c>
      <c r="D114" s="6">
        <v>4834</v>
      </c>
      <c r="E114" s="1">
        <v>2014</v>
      </c>
      <c r="F114" s="1">
        <v>4</v>
      </c>
      <c r="G114" s="1" t="s">
        <v>32</v>
      </c>
      <c r="H114" s="12">
        <v>41730</v>
      </c>
      <c r="I114" s="1">
        <v>21</v>
      </c>
      <c r="J114" s="1">
        <v>2</v>
      </c>
      <c r="K114" s="1" t="s">
        <v>21</v>
      </c>
      <c r="L114" s="1" t="s">
        <v>22</v>
      </c>
      <c r="M114" s="15">
        <f t="shared" si="8"/>
        <v>33.341088209087708</v>
      </c>
      <c r="N114" s="15">
        <f t="shared" si="9"/>
        <v>34.219090576231693</v>
      </c>
      <c r="O114" s="14">
        <f t="shared" si="10"/>
        <v>-4244.2634427740122</v>
      </c>
      <c r="P114" s="13">
        <f t="shared" si="11"/>
        <v>-2.6333944520283155E-2</v>
      </c>
      <c r="Q114" s="15">
        <f t="shared" si="12"/>
        <v>-0.87800236714398494</v>
      </c>
      <c r="R114" s="13">
        <f t="shared" si="13"/>
        <v>-2.6333944520283228E-2</v>
      </c>
      <c r="S114" s="15">
        <f t="shared" si="14"/>
        <v>35.267973231772061</v>
      </c>
      <c r="T114" s="15">
        <f t="shared" si="15"/>
        <v>33.936290481829054</v>
      </c>
    </row>
    <row r="115" spans="1:20" x14ac:dyDescent="0.3">
      <c r="A115" s="5">
        <v>41751.083333333336</v>
      </c>
      <c r="B115" s="14">
        <v>182483.146495305</v>
      </c>
      <c r="C115" s="14">
        <v>187344.73717165799</v>
      </c>
      <c r="D115" s="6">
        <v>5475</v>
      </c>
      <c r="E115" s="1">
        <v>2014</v>
      </c>
      <c r="F115" s="1">
        <v>4</v>
      </c>
      <c r="G115" s="1" t="s">
        <v>32</v>
      </c>
      <c r="H115" s="12">
        <v>41730</v>
      </c>
      <c r="I115" s="1">
        <v>22</v>
      </c>
      <c r="J115" s="1">
        <v>3</v>
      </c>
      <c r="K115" s="1" t="s">
        <v>23</v>
      </c>
      <c r="L115" s="1" t="s">
        <v>22</v>
      </c>
      <c r="M115" s="15">
        <f t="shared" si="8"/>
        <v>33.330255067635619</v>
      </c>
      <c r="N115" s="15">
        <f t="shared" si="9"/>
        <v>34.218216835006025</v>
      </c>
      <c r="O115" s="14">
        <f t="shared" si="10"/>
        <v>-4861.5906763529929</v>
      </c>
      <c r="P115" s="13">
        <f t="shared" si="11"/>
        <v>-2.6641313292337789E-2</v>
      </c>
      <c r="Q115" s="15">
        <f t="shared" si="12"/>
        <v>-0.88796176737040611</v>
      </c>
      <c r="R115" s="13">
        <f t="shared" si="13"/>
        <v>-2.6641313292337678E-2</v>
      </c>
      <c r="S115" s="15">
        <f t="shared" si="14"/>
        <v>35.267973231772061</v>
      </c>
      <c r="T115" s="15">
        <f t="shared" si="15"/>
        <v>33.879137900078568</v>
      </c>
    </row>
    <row r="116" spans="1:20" x14ac:dyDescent="0.3">
      <c r="A116" s="5">
        <v>41752.083333333336</v>
      </c>
      <c r="B116" s="14">
        <v>109358.41252902</v>
      </c>
      <c r="C116" s="14">
        <v>106849.898795566</v>
      </c>
      <c r="D116" s="6">
        <v>3121</v>
      </c>
      <c r="E116" s="1">
        <v>2014</v>
      </c>
      <c r="F116" s="1">
        <v>4</v>
      </c>
      <c r="G116" s="1" t="s">
        <v>32</v>
      </c>
      <c r="H116" s="12">
        <v>41730</v>
      </c>
      <c r="I116" s="1">
        <v>23</v>
      </c>
      <c r="J116" s="1">
        <v>4</v>
      </c>
      <c r="K116" s="1" t="s">
        <v>25</v>
      </c>
      <c r="L116" s="1" t="s">
        <v>22</v>
      </c>
      <c r="M116" s="15">
        <f t="shared" si="8"/>
        <v>35.039542623844923</v>
      </c>
      <c r="N116" s="15">
        <f t="shared" si="9"/>
        <v>34.235789425045176</v>
      </c>
      <c r="O116" s="14">
        <f t="shared" si="10"/>
        <v>2508.513733454005</v>
      </c>
      <c r="P116" s="13">
        <f t="shared" si="11"/>
        <v>2.2938461481308819E-2</v>
      </c>
      <c r="Q116" s="15">
        <f t="shared" si="12"/>
        <v>0.80375319879974683</v>
      </c>
      <c r="R116" s="13">
        <f t="shared" si="13"/>
        <v>2.2938461481308861E-2</v>
      </c>
      <c r="S116" s="15">
        <f t="shared" si="14"/>
        <v>35.267973231772061</v>
      </c>
      <c r="T116" s="15">
        <f t="shared" si="15"/>
        <v>33.879405411680246</v>
      </c>
    </row>
    <row r="117" spans="1:20" x14ac:dyDescent="0.3">
      <c r="A117" s="5">
        <v>41753.083333333336</v>
      </c>
      <c r="B117" s="14">
        <v>98430.114109290502</v>
      </c>
      <c r="C117" s="14">
        <v>96197.482231430797</v>
      </c>
      <c r="D117" s="6">
        <v>2809</v>
      </c>
      <c r="E117" s="1">
        <v>2014</v>
      </c>
      <c r="F117" s="1">
        <v>4</v>
      </c>
      <c r="G117" s="1" t="s">
        <v>32</v>
      </c>
      <c r="H117" s="12">
        <v>41730</v>
      </c>
      <c r="I117" s="1">
        <v>24</v>
      </c>
      <c r="J117" s="1">
        <v>5</v>
      </c>
      <c r="K117" s="1" t="s">
        <v>26</v>
      </c>
      <c r="L117" s="1" t="s">
        <v>22</v>
      </c>
      <c r="M117" s="15">
        <f t="shared" si="8"/>
        <v>35.04098045898558</v>
      </c>
      <c r="N117" s="15">
        <f t="shared" si="9"/>
        <v>34.246166689722607</v>
      </c>
      <c r="O117" s="14">
        <f t="shared" si="10"/>
        <v>2232.6318778597051</v>
      </c>
      <c r="P117" s="13">
        <f t="shared" si="11"/>
        <v>2.2682406680751516E-2</v>
      </c>
      <c r="Q117" s="15">
        <f t="shared" si="12"/>
        <v>0.79481376926297287</v>
      </c>
      <c r="R117" s="13">
        <f t="shared" si="13"/>
        <v>2.2682406680751374E-2</v>
      </c>
      <c r="S117" s="15">
        <f t="shared" si="14"/>
        <v>35.267973231772061</v>
      </c>
      <c r="T117" s="15">
        <f t="shared" si="15"/>
        <v>33.911671350976107</v>
      </c>
    </row>
    <row r="118" spans="1:20" x14ac:dyDescent="0.3">
      <c r="A118" s="5">
        <v>41754.083333333336</v>
      </c>
      <c r="B118" s="14">
        <v>295741.34696188301</v>
      </c>
      <c r="C118" s="14">
        <v>292327.02825568401</v>
      </c>
      <c r="D118" s="6">
        <v>8537</v>
      </c>
      <c r="E118" s="1">
        <v>2014</v>
      </c>
      <c r="F118" s="1">
        <v>4</v>
      </c>
      <c r="G118" s="1" t="s">
        <v>32</v>
      </c>
      <c r="H118" s="12">
        <v>41730</v>
      </c>
      <c r="I118" s="1">
        <v>25</v>
      </c>
      <c r="J118" s="1">
        <v>6</v>
      </c>
      <c r="K118" s="1" t="s">
        <v>27</v>
      </c>
      <c r="L118" s="1" t="s">
        <v>22</v>
      </c>
      <c r="M118" s="15">
        <f t="shared" si="8"/>
        <v>34.642303732210735</v>
      </c>
      <c r="N118" s="15">
        <f t="shared" si="9"/>
        <v>34.242360109603375</v>
      </c>
      <c r="O118" s="14">
        <f t="shared" si="10"/>
        <v>3414.3187061990029</v>
      </c>
      <c r="P118" s="13">
        <f t="shared" si="11"/>
        <v>1.1544948791482516E-2</v>
      </c>
      <c r="Q118" s="15">
        <f t="shared" si="12"/>
        <v>0.39994362260735983</v>
      </c>
      <c r="R118" s="13">
        <f t="shared" si="13"/>
        <v>1.154494879148261E-2</v>
      </c>
      <c r="S118" s="15">
        <f t="shared" si="14"/>
        <v>35.267973231772061</v>
      </c>
      <c r="T118" s="15">
        <f t="shared" si="15"/>
        <v>33.927025497861273</v>
      </c>
    </row>
    <row r="119" spans="1:20" x14ac:dyDescent="0.3">
      <c r="A119" s="5">
        <v>41755.083333333336</v>
      </c>
      <c r="B119" s="14">
        <v>285053.97993312799</v>
      </c>
      <c r="C119" s="14">
        <v>281159.58112341299</v>
      </c>
      <c r="D119" s="6">
        <v>8209</v>
      </c>
      <c r="E119" s="1">
        <v>2014</v>
      </c>
      <c r="F119" s="1">
        <v>4</v>
      </c>
      <c r="G119" s="1" t="s">
        <v>32</v>
      </c>
      <c r="H119" s="12">
        <v>41730</v>
      </c>
      <c r="I119" s="1">
        <v>26</v>
      </c>
      <c r="J119" s="1">
        <v>7</v>
      </c>
      <c r="K119" s="1" t="s">
        <v>28</v>
      </c>
      <c r="L119" s="1" t="s">
        <v>22</v>
      </c>
      <c r="M119" s="15">
        <f t="shared" si="8"/>
        <v>34.724568148754777</v>
      </c>
      <c r="N119" s="15">
        <f t="shared" si="9"/>
        <v>34.250162154149471</v>
      </c>
      <c r="O119" s="14">
        <f t="shared" si="10"/>
        <v>3894.3988097149995</v>
      </c>
      <c r="P119" s="13">
        <f t="shared" si="11"/>
        <v>1.3661969605295822E-2</v>
      </c>
      <c r="Q119" s="15">
        <f t="shared" si="12"/>
        <v>0.47440599460530564</v>
      </c>
      <c r="R119" s="13">
        <f t="shared" si="13"/>
        <v>1.3661969605295662E-2</v>
      </c>
      <c r="S119" s="15">
        <f t="shared" si="14"/>
        <v>35.267973231772061</v>
      </c>
      <c r="T119" s="15">
        <f t="shared" si="15"/>
        <v>33.960676879143499</v>
      </c>
    </row>
    <row r="120" spans="1:20" x14ac:dyDescent="0.3">
      <c r="A120" s="5">
        <v>41756.083333333336</v>
      </c>
      <c r="B120" s="14">
        <v>124964.79646805899</v>
      </c>
      <c r="C120" s="14">
        <v>123042.158952898</v>
      </c>
      <c r="D120" s="6">
        <v>3592</v>
      </c>
      <c r="E120" s="1">
        <v>2014</v>
      </c>
      <c r="F120" s="1">
        <v>4</v>
      </c>
      <c r="G120" s="1" t="s">
        <v>32</v>
      </c>
      <c r="H120" s="12">
        <v>41730</v>
      </c>
      <c r="I120" s="1">
        <v>27</v>
      </c>
      <c r="J120" s="1">
        <v>1</v>
      </c>
      <c r="K120" s="1" t="s">
        <v>29</v>
      </c>
      <c r="L120" s="1" t="s">
        <v>22</v>
      </c>
      <c r="M120" s="15">
        <f t="shared" si="8"/>
        <v>34.78975402785607</v>
      </c>
      <c r="N120" s="15">
        <f t="shared" si="9"/>
        <v>34.254498594904788</v>
      </c>
      <c r="O120" s="14">
        <f t="shared" si="10"/>
        <v>1922.6375151609973</v>
      </c>
      <c r="P120" s="13">
        <f t="shared" si="11"/>
        <v>1.5385433093970776E-2</v>
      </c>
      <c r="Q120" s="15">
        <f t="shared" si="12"/>
        <v>0.53525543295128131</v>
      </c>
      <c r="R120" s="13">
        <f t="shared" si="13"/>
        <v>1.5385433093970818E-2</v>
      </c>
      <c r="S120" s="15">
        <f t="shared" si="14"/>
        <v>35.267973231772061</v>
      </c>
      <c r="T120" s="15">
        <f t="shared" si="15"/>
        <v>33.98800746924676</v>
      </c>
    </row>
    <row r="121" spans="1:20" x14ac:dyDescent="0.3">
      <c r="A121" s="5">
        <v>41757.083333333336</v>
      </c>
      <c r="B121" s="14">
        <v>124175.808352159</v>
      </c>
      <c r="C121" s="14">
        <v>122516.06570420301</v>
      </c>
      <c r="D121" s="6">
        <v>3576</v>
      </c>
      <c r="E121" s="1">
        <v>2014</v>
      </c>
      <c r="F121" s="1">
        <v>4</v>
      </c>
      <c r="G121" s="1" t="s">
        <v>32</v>
      </c>
      <c r="H121" s="12">
        <v>41730</v>
      </c>
      <c r="I121" s="1">
        <v>28</v>
      </c>
      <c r="J121" s="1">
        <v>2</v>
      </c>
      <c r="K121" s="1" t="s">
        <v>21</v>
      </c>
      <c r="L121" s="1" t="s">
        <v>22</v>
      </c>
      <c r="M121" s="15">
        <f t="shared" si="8"/>
        <v>34.724778621968397</v>
      </c>
      <c r="N121" s="15">
        <f t="shared" si="9"/>
        <v>34.260644771868847</v>
      </c>
      <c r="O121" s="14">
        <f t="shared" si="10"/>
        <v>1659.7426479559945</v>
      </c>
      <c r="P121" s="13">
        <f t="shared" si="11"/>
        <v>1.3366070815089944E-2</v>
      </c>
      <c r="Q121" s="15">
        <f t="shared" si="12"/>
        <v>0.46413385009955022</v>
      </c>
      <c r="R121" s="13">
        <f t="shared" si="13"/>
        <v>1.3366070815089922E-2</v>
      </c>
      <c r="S121" s="15">
        <f t="shared" si="14"/>
        <v>35.267973231772061</v>
      </c>
      <c r="T121" s="15">
        <f t="shared" si="15"/>
        <v>34.01293601905094</v>
      </c>
    </row>
    <row r="122" spans="1:20" x14ac:dyDescent="0.3">
      <c r="A122" s="5">
        <v>41758.083333333336</v>
      </c>
      <c r="B122" s="14">
        <v>131842.57163224401</v>
      </c>
      <c r="C122" s="14">
        <v>130405.26385817101</v>
      </c>
      <c r="D122" s="6">
        <v>3807</v>
      </c>
      <c r="E122" s="1">
        <v>2014</v>
      </c>
      <c r="F122" s="1">
        <v>4</v>
      </c>
      <c r="G122" s="1" t="s">
        <v>32</v>
      </c>
      <c r="H122" s="12">
        <v>41730</v>
      </c>
      <c r="I122" s="1">
        <v>29</v>
      </c>
      <c r="J122" s="1">
        <v>3</v>
      </c>
      <c r="K122" s="1" t="s">
        <v>23</v>
      </c>
      <c r="L122" s="1" t="s">
        <v>22</v>
      </c>
      <c r="M122" s="15">
        <f t="shared" si="8"/>
        <v>34.631618500720784</v>
      </c>
      <c r="N122" s="15">
        <f t="shared" si="9"/>
        <v>34.254075087515368</v>
      </c>
      <c r="O122" s="14">
        <f t="shared" si="10"/>
        <v>1437.3077740730077</v>
      </c>
      <c r="P122" s="13">
        <f t="shared" si="11"/>
        <v>1.0901697048827081E-2</v>
      </c>
      <c r="Q122" s="15">
        <f t="shared" si="12"/>
        <v>0.37754341320541585</v>
      </c>
      <c r="R122" s="13">
        <f t="shared" si="13"/>
        <v>1.0901697048827159E-2</v>
      </c>
      <c r="S122" s="15">
        <f t="shared" si="14"/>
        <v>35.267973231772061</v>
      </c>
      <c r="T122" s="15">
        <f t="shared" si="15"/>
        <v>34.027230835472352</v>
      </c>
    </row>
    <row r="123" spans="1:20" x14ac:dyDescent="0.3">
      <c r="A123" s="5">
        <v>41759.083333333336</v>
      </c>
      <c r="B123" s="14">
        <v>154850.05725768101</v>
      </c>
      <c r="C123" s="14">
        <v>150644.34824066699</v>
      </c>
      <c r="D123" s="6">
        <v>4398</v>
      </c>
      <c r="E123" s="1">
        <v>2014</v>
      </c>
      <c r="F123" s="1">
        <v>4</v>
      </c>
      <c r="G123" s="1" t="s">
        <v>32</v>
      </c>
      <c r="H123" s="12">
        <v>41730</v>
      </c>
      <c r="I123" s="1">
        <v>30</v>
      </c>
      <c r="J123" s="1">
        <v>4</v>
      </c>
      <c r="K123" s="1" t="s">
        <v>25</v>
      </c>
      <c r="L123" s="1" t="s">
        <v>22</v>
      </c>
      <c r="M123" s="15">
        <f t="shared" si="8"/>
        <v>35.209199012660527</v>
      </c>
      <c r="N123" s="15">
        <f t="shared" si="9"/>
        <v>34.252921382598224</v>
      </c>
      <c r="O123" s="14">
        <f t="shared" si="10"/>
        <v>4205.7090170140145</v>
      </c>
      <c r="P123" s="13">
        <f t="shared" si="11"/>
        <v>2.7159880283514713E-2</v>
      </c>
      <c r="Q123" s="15">
        <f t="shared" si="12"/>
        <v>0.95627763006230282</v>
      </c>
      <c r="R123" s="13">
        <f t="shared" si="13"/>
        <v>2.7159880283514671E-2</v>
      </c>
      <c r="S123" s="15">
        <f t="shared" si="14"/>
        <v>35.267973231772061</v>
      </c>
      <c r="T123" s="15">
        <f t="shared" si="15"/>
        <v>34.062178256566654</v>
      </c>
    </row>
    <row r="124" spans="1:20" x14ac:dyDescent="0.3">
      <c r="A124" s="5">
        <v>41760.083333333336</v>
      </c>
      <c r="B124" s="14">
        <v>180294.26873002801</v>
      </c>
      <c r="C124" s="14">
        <v>175656.650393213</v>
      </c>
      <c r="D124" s="6">
        <v>5124</v>
      </c>
      <c r="E124" s="1">
        <v>2014</v>
      </c>
      <c r="F124" s="1">
        <v>5</v>
      </c>
      <c r="G124" s="1" t="s">
        <v>33</v>
      </c>
      <c r="H124" s="12">
        <v>41760</v>
      </c>
      <c r="I124" s="1">
        <v>1</v>
      </c>
      <c r="J124" s="1">
        <v>5</v>
      </c>
      <c r="K124" s="1" t="s">
        <v>26</v>
      </c>
      <c r="L124" s="1" t="s">
        <v>22</v>
      </c>
      <c r="M124" s="15">
        <f t="shared" si="8"/>
        <v>35.186235115149884</v>
      </c>
      <c r="N124" s="15">
        <f t="shared" si="9"/>
        <v>34.281157375724632</v>
      </c>
      <c r="O124" s="14">
        <f t="shared" si="10"/>
        <v>4637.6183368150087</v>
      </c>
      <c r="P124" s="13">
        <f t="shared" si="11"/>
        <v>2.5722494505687043E-2</v>
      </c>
      <c r="Q124" s="15">
        <f t="shared" si="12"/>
        <v>0.90507773942525205</v>
      </c>
      <c r="R124" s="13">
        <f t="shared" si="13"/>
        <v>2.5722494505686949E-2</v>
      </c>
      <c r="S124" s="15">
        <f t="shared" si="14"/>
        <v>35.267973231772061</v>
      </c>
      <c r="T124" s="15">
        <f t="shared" si="15"/>
        <v>34.09582515627983</v>
      </c>
    </row>
    <row r="125" spans="1:20" x14ac:dyDescent="0.3">
      <c r="A125" s="5">
        <v>41761.083333333336</v>
      </c>
      <c r="B125" s="14">
        <v>163849.035829681</v>
      </c>
      <c r="C125" s="14">
        <v>157300.625596072</v>
      </c>
      <c r="D125" s="6">
        <v>4581</v>
      </c>
      <c r="E125" s="1">
        <v>2014</v>
      </c>
      <c r="F125" s="1">
        <v>5</v>
      </c>
      <c r="G125" s="1" t="s">
        <v>33</v>
      </c>
      <c r="H125" s="12">
        <v>41760</v>
      </c>
      <c r="I125" s="1">
        <v>2</v>
      </c>
      <c r="J125" s="1">
        <v>6</v>
      </c>
      <c r="K125" s="1" t="s">
        <v>27</v>
      </c>
      <c r="L125" s="1" t="s">
        <v>22</v>
      </c>
      <c r="M125" s="15">
        <f t="shared" si="8"/>
        <v>35.767089244636757</v>
      </c>
      <c r="N125" s="15">
        <f t="shared" si="9"/>
        <v>34.337617462578478</v>
      </c>
      <c r="O125" s="14">
        <f t="shared" si="10"/>
        <v>6548.410233609</v>
      </c>
      <c r="P125" s="13">
        <f t="shared" si="11"/>
        <v>3.9966120035127881E-2</v>
      </c>
      <c r="Q125" s="15">
        <f t="shared" si="12"/>
        <v>1.429471782058279</v>
      </c>
      <c r="R125" s="13">
        <f t="shared" si="13"/>
        <v>3.9966120035127742E-2</v>
      </c>
      <c r="S125" s="15">
        <f t="shared" si="14"/>
        <v>35.267973231772061</v>
      </c>
      <c r="T125" s="15">
        <f t="shared" si="15"/>
        <v>34.154214442293572</v>
      </c>
    </row>
    <row r="126" spans="1:20" x14ac:dyDescent="0.3">
      <c r="A126" s="5">
        <v>41762.083333333336</v>
      </c>
      <c r="B126" s="14">
        <v>131436.792447441</v>
      </c>
      <c r="C126" s="14">
        <v>127601.94472594</v>
      </c>
      <c r="D126" s="6">
        <v>3697</v>
      </c>
      <c r="E126" s="1">
        <v>2014</v>
      </c>
      <c r="F126" s="1">
        <v>5</v>
      </c>
      <c r="G126" s="1" t="s">
        <v>33</v>
      </c>
      <c r="H126" s="12">
        <v>41760</v>
      </c>
      <c r="I126" s="1">
        <v>3</v>
      </c>
      <c r="J126" s="1">
        <v>7</v>
      </c>
      <c r="K126" s="1" t="s">
        <v>28</v>
      </c>
      <c r="L126" s="1" t="s">
        <v>22</v>
      </c>
      <c r="M126" s="15">
        <f t="shared" si="8"/>
        <v>35.552283594114414</v>
      </c>
      <c r="N126" s="15">
        <f t="shared" si="9"/>
        <v>34.514997220973761</v>
      </c>
      <c r="O126" s="14">
        <f t="shared" si="10"/>
        <v>3834.8477215009916</v>
      </c>
      <c r="P126" s="13">
        <f t="shared" si="11"/>
        <v>2.9176364167852561E-2</v>
      </c>
      <c r="Q126" s="15">
        <f t="shared" si="12"/>
        <v>1.0372863731406525</v>
      </c>
      <c r="R126" s="13">
        <f t="shared" si="13"/>
        <v>2.9176364167852568E-2</v>
      </c>
      <c r="S126" s="15">
        <f t="shared" si="14"/>
        <v>35.267973231772061</v>
      </c>
      <c r="T126" s="15">
        <f t="shared" si="15"/>
        <v>34.20509009374549</v>
      </c>
    </row>
    <row r="127" spans="1:20" x14ac:dyDescent="0.3">
      <c r="A127" s="5">
        <v>41763.083333333336</v>
      </c>
      <c r="B127" s="14">
        <v>93082.043956892798</v>
      </c>
      <c r="C127" s="14">
        <v>91601.506543394993</v>
      </c>
      <c r="D127" s="6">
        <v>2642</v>
      </c>
      <c r="E127" s="1">
        <v>2014</v>
      </c>
      <c r="F127" s="1">
        <v>5</v>
      </c>
      <c r="G127" s="1" t="s">
        <v>33</v>
      </c>
      <c r="H127" s="12">
        <v>41760</v>
      </c>
      <c r="I127" s="1">
        <v>4</v>
      </c>
      <c r="J127" s="1">
        <v>1</v>
      </c>
      <c r="K127" s="1" t="s">
        <v>29</v>
      </c>
      <c r="L127" s="1" t="s">
        <v>22</v>
      </c>
      <c r="M127" s="15">
        <f t="shared" si="8"/>
        <v>35.23165933266192</v>
      </c>
      <c r="N127" s="15">
        <f t="shared" si="9"/>
        <v>34.671274240497723</v>
      </c>
      <c r="O127" s="14">
        <f t="shared" si="10"/>
        <v>1480.5374134978047</v>
      </c>
      <c r="P127" s="13">
        <f t="shared" si="11"/>
        <v>1.5905725213591744E-2</v>
      </c>
      <c r="Q127" s="15">
        <f t="shared" si="12"/>
        <v>0.56038509216419641</v>
      </c>
      <c r="R127" s="13">
        <f t="shared" si="13"/>
        <v>1.5905725213591768E-2</v>
      </c>
      <c r="S127" s="15">
        <f t="shared" si="14"/>
        <v>35.267973231772061</v>
      </c>
      <c r="T127" s="15">
        <f t="shared" si="15"/>
        <v>34.236622269936966</v>
      </c>
    </row>
    <row r="128" spans="1:20" x14ac:dyDescent="0.3">
      <c r="A128" s="5">
        <v>41764.083333333336</v>
      </c>
      <c r="B128" s="14">
        <v>110887.013297212</v>
      </c>
      <c r="C128" s="14">
        <v>109460.153222671</v>
      </c>
      <c r="D128" s="6">
        <v>3154</v>
      </c>
      <c r="E128" s="1">
        <v>2014</v>
      </c>
      <c r="F128" s="1">
        <v>5</v>
      </c>
      <c r="G128" s="1" t="s">
        <v>33</v>
      </c>
      <c r="H128" s="12">
        <v>41760</v>
      </c>
      <c r="I128" s="1">
        <v>5</v>
      </c>
      <c r="J128" s="1">
        <v>2</v>
      </c>
      <c r="K128" s="1" t="s">
        <v>21</v>
      </c>
      <c r="L128" s="1" t="s">
        <v>22</v>
      </c>
      <c r="M128" s="15">
        <f t="shared" si="8"/>
        <v>35.157581895121119</v>
      </c>
      <c r="N128" s="15">
        <f t="shared" si="9"/>
        <v>34.705184915241283</v>
      </c>
      <c r="O128" s="14">
        <f t="shared" si="10"/>
        <v>1426.8600745410076</v>
      </c>
      <c r="P128" s="13">
        <f t="shared" si="11"/>
        <v>1.2867693268251122E-2</v>
      </c>
      <c r="Q128" s="15">
        <f t="shared" si="12"/>
        <v>0.45239697987983618</v>
      </c>
      <c r="R128" s="13">
        <f t="shared" si="13"/>
        <v>1.2867693268251082E-2</v>
      </c>
      <c r="S128" s="15">
        <f t="shared" si="14"/>
        <v>35.267973231772061</v>
      </c>
      <c r="T128" s="15">
        <f t="shared" si="15"/>
        <v>34.263444079262094</v>
      </c>
    </row>
    <row r="129" spans="1:20" x14ac:dyDescent="0.3">
      <c r="A129" s="5">
        <v>41765.083333333336</v>
      </c>
      <c r="B129" s="14">
        <v>119385.575367957</v>
      </c>
      <c r="C129" s="14">
        <v>115693.106641848</v>
      </c>
      <c r="D129" s="6">
        <v>3324</v>
      </c>
      <c r="E129" s="1">
        <v>2014</v>
      </c>
      <c r="F129" s="1">
        <v>5</v>
      </c>
      <c r="G129" s="1" t="s">
        <v>33</v>
      </c>
      <c r="H129" s="12">
        <v>41760</v>
      </c>
      <c r="I129" s="1">
        <v>6</v>
      </c>
      <c r="J129" s="1">
        <v>3</v>
      </c>
      <c r="K129" s="1" t="s">
        <v>23</v>
      </c>
      <c r="L129" s="1" t="s">
        <v>22</v>
      </c>
      <c r="M129" s="15">
        <f t="shared" si="8"/>
        <v>35.91623807700271</v>
      </c>
      <c r="N129" s="15">
        <f t="shared" si="9"/>
        <v>34.805387076368234</v>
      </c>
      <c r="O129" s="14">
        <f t="shared" si="10"/>
        <v>3692.4687261090003</v>
      </c>
      <c r="P129" s="13">
        <f t="shared" si="11"/>
        <v>3.0928935214564086E-2</v>
      </c>
      <c r="Q129" s="15">
        <f t="shared" si="12"/>
        <v>1.1108510006344758</v>
      </c>
      <c r="R129" s="13">
        <f t="shared" si="13"/>
        <v>3.0928935214564066E-2</v>
      </c>
      <c r="S129" s="15">
        <f t="shared" si="14"/>
        <v>35.267973231772061</v>
      </c>
      <c r="T129" s="15">
        <f t="shared" si="15"/>
        <v>34.308054587615956</v>
      </c>
    </row>
    <row r="130" spans="1:20" x14ac:dyDescent="0.3">
      <c r="A130" s="5">
        <v>41766.083333333336</v>
      </c>
      <c r="B130" s="14">
        <v>91719.589378837496</v>
      </c>
      <c r="C130" s="14">
        <v>93157.170582525898</v>
      </c>
      <c r="D130" s="6">
        <v>2677</v>
      </c>
      <c r="E130" s="1">
        <v>2014</v>
      </c>
      <c r="F130" s="1">
        <v>5</v>
      </c>
      <c r="G130" s="1" t="s">
        <v>33</v>
      </c>
      <c r="H130" s="12">
        <v>41760</v>
      </c>
      <c r="I130" s="1">
        <v>7</v>
      </c>
      <c r="J130" s="1">
        <v>4</v>
      </c>
      <c r="K130" s="1" t="s">
        <v>25</v>
      </c>
      <c r="L130" s="1" t="s">
        <v>22</v>
      </c>
      <c r="M130" s="15">
        <f t="shared" si="8"/>
        <v>34.262080455299774</v>
      </c>
      <c r="N130" s="15">
        <f t="shared" si="9"/>
        <v>34.799092485067575</v>
      </c>
      <c r="O130" s="14">
        <f t="shared" si="10"/>
        <v>-1437.5812036884017</v>
      </c>
      <c r="P130" s="13">
        <f t="shared" si="11"/>
        <v>-1.5673655032957392E-2</v>
      </c>
      <c r="Q130" s="15">
        <f t="shared" si="12"/>
        <v>-0.53701202976780138</v>
      </c>
      <c r="R130" s="13">
        <f t="shared" si="13"/>
        <v>-1.567365503295742E-2</v>
      </c>
      <c r="S130" s="15">
        <f t="shared" si="14"/>
        <v>35.267973231772061</v>
      </c>
      <c r="T130" s="15">
        <f t="shared" si="15"/>
        <v>34.309229649224612</v>
      </c>
    </row>
    <row r="131" spans="1:20" x14ac:dyDescent="0.3">
      <c r="A131" s="5">
        <v>41767.083333333336</v>
      </c>
      <c r="B131" s="14">
        <v>96335.448951387501</v>
      </c>
      <c r="C131" s="14">
        <v>93696.216137213807</v>
      </c>
      <c r="D131" s="6">
        <v>2683</v>
      </c>
      <c r="E131" s="1">
        <v>2014</v>
      </c>
      <c r="F131" s="1">
        <v>5</v>
      </c>
      <c r="G131" s="1" t="s">
        <v>33</v>
      </c>
      <c r="H131" s="12">
        <v>41760</v>
      </c>
      <c r="I131" s="1">
        <v>8</v>
      </c>
      <c r="J131" s="1">
        <v>5</v>
      </c>
      <c r="K131" s="1" t="s">
        <v>26</v>
      </c>
      <c r="L131" s="1" t="s">
        <v>22</v>
      </c>
      <c r="M131" s="15">
        <f t="shared" ref="M131:M194" si="16">IFERROR(B131/D131,0)</f>
        <v>35.9058699036107</v>
      </c>
      <c r="N131" s="15">
        <f t="shared" ref="N131:N194" si="17">IFERROR(C131/D131,0)</f>
        <v>34.922182682524713</v>
      </c>
      <c r="O131" s="14">
        <f t="shared" ref="O131:O194" si="18">B131-C131</f>
        <v>2639.2328141736944</v>
      </c>
      <c r="P131" s="13">
        <f t="shared" ref="P131:P194" si="19">IFERROR(O131/B131,0)</f>
        <v>2.7396278762405475E-2</v>
      </c>
      <c r="Q131" s="15">
        <f t="shared" ref="Q131:Q194" si="20">M131-N131</f>
        <v>0.98368722108598661</v>
      </c>
      <c r="R131" s="13">
        <f t="shared" ref="R131:R194" si="21">IFERROR(Q131/M131,0)</f>
        <v>2.7396278762405555E-2</v>
      </c>
      <c r="S131" s="15">
        <f t="shared" ref="S131:S194" si="22">IFERROR(SUM($B$2:$B$1001)/SUM($D$2:$D$1001),0)</f>
        <v>35.267973231772061</v>
      </c>
      <c r="T131" s="15">
        <f t="shared" ref="T131:T194" si="23">AVERAGEIFS($M$2:$M$1001,$A$2:$A$1001,"&gt;="&amp;A131-29,$A$2:$A$1001,"&lt;="&amp;A131)</f>
        <v>34.338135706743721</v>
      </c>
    </row>
    <row r="132" spans="1:20" x14ac:dyDescent="0.3">
      <c r="A132" s="5">
        <v>41768.083333333336</v>
      </c>
      <c r="B132" s="14">
        <v>303226.29835425399</v>
      </c>
      <c r="C132" s="14">
        <v>325836.94011389202</v>
      </c>
      <c r="D132" s="6">
        <v>9328</v>
      </c>
      <c r="E132" s="1">
        <v>2014</v>
      </c>
      <c r="F132" s="1">
        <v>5</v>
      </c>
      <c r="G132" s="1" t="s">
        <v>33</v>
      </c>
      <c r="H132" s="12">
        <v>41760</v>
      </c>
      <c r="I132" s="1">
        <v>9</v>
      </c>
      <c r="J132" s="1">
        <v>6</v>
      </c>
      <c r="K132" s="1" t="s">
        <v>27</v>
      </c>
      <c r="L132" s="1" t="s">
        <v>22</v>
      </c>
      <c r="M132" s="15">
        <f t="shared" si="16"/>
        <v>32.507107456502354</v>
      </c>
      <c r="N132" s="15">
        <f t="shared" si="17"/>
        <v>34.931061332964411</v>
      </c>
      <c r="O132" s="14">
        <f t="shared" si="18"/>
        <v>-22610.641759638034</v>
      </c>
      <c r="P132" s="13">
        <f t="shared" si="19"/>
        <v>-7.4566889093578601E-2</v>
      </c>
      <c r="Q132" s="15">
        <f t="shared" si="20"/>
        <v>-2.4239538764620576</v>
      </c>
      <c r="R132" s="13">
        <f t="shared" si="21"/>
        <v>-7.4566889093578739E-2</v>
      </c>
      <c r="S132" s="15">
        <f t="shared" si="22"/>
        <v>35.267973231772061</v>
      </c>
      <c r="T132" s="15">
        <f t="shared" si="23"/>
        <v>34.2538859268832</v>
      </c>
    </row>
    <row r="133" spans="1:20" x14ac:dyDescent="0.3">
      <c r="A133" s="5">
        <v>41769.083333333336</v>
      </c>
      <c r="B133" s="14">
        <v>431695.70916738</v>
      </c>
      <c r="C133" s="14">
        <v>465253.81571558799</v>
      </c>
      <c r="D133" s="6">
        <v>13306</v>
      </c>
      <c r="E133" s="1">
        <v>2014</v>
      </c>
      <c r="F133" s="1">
        <v>5</v>
      </c>
      <c r="G133" s="1" t="s">
        <v>33</v>
      </c>
      <c r="H133" s="12">
        <v>41760</v>
      </c>
      <c r="I133" s="1">
        <v>10</v>
      </c>
      <c r="J133" s="1">
        <v>7</v>
      </c>
      <c r="K133" s="1" t="s">
        <v>28</v>
      </c>
      <c r="L133" s="1" t="s">
        <v>22</v>
      </c>
      <c r="M133" s="15">
        <f t="shared" si="16"/>
        <v>32.443687747435746</v>
      </c>
      <c r="N133" s="15">
        <f t="shared" si="17"/>
        <v>34.965715896256427</v>
      </c>
      <c r="O133" s="14">
        <f t="shared" si="18"/>
        <v>-33558.106548207987</v>
      </c>
      <c r="P133" s="13">
        <f t="shared" si="19"/>
        <v>-7.7735557327943253E-2</v>
      </c>
      <c r="Q133" s="15">
        <f t="shared" si="20"/>
        <v>-2.5220281488206808</v>
      </c>
      <c r="R133" s="13">
        <f t="shared" si="21"/>
        <v>-7.7735557327943225E-2</v>
      </c>
      <c r="S133" s="15">
        <f t="shared" si="22"/>
        <v>35.267973231772061</v>
      </c>
      <c r="T133" s="15">
        <f t="shared" si="23"/>
        <v>34.224273472441489</v>
      </c>
    </row>
    <row r="134" spans="1:20" x14ac:dyDescent="0.3">
      <c r="A134" s="5">
        <v>41770.083333333336</v>
      </c>
      <c r="B134" s="14">
        <v>200407.27706754199</v>
      </c>
      <c r="C134" s="14">
        <v>215907.824912829</v>
      </c>
      <c r="D134" s="6">
        <v>6173</v>
      </c>
      <c r="E134" s="1">
        <v>2014</v>
      </c>
      <c r="F134" s="1">
        <v>5</v>
      </c>
      <c r="G134" s="1" t="s">
        <v>33</v>
      </c>
      <c r="H134" s="12">
        <v>41760</v>
      </c>
      <c r="I134" s="1">
        <v>11</v>
      </c>
      <c r="J134" s="1">
        <v>1</v>
      </c>
      <c r="K134" s="1" t="s">
        <v>29</v>
      </c>
      <c r="L134" s="1" t="s">
        <v>22</v>
      </c>
      <c r="M134" s="15">
        <f t="shared" si="16"/>
        <v>32.465134791437222</v>
      </c>
      <c r="N134" s="15">
        <f t="shared" si="17"/>
        <v>34.97615825576365</v>
      </c>
      <c r="O134" s="14">
        <f t="shared" si="18"/>
        <v>-15500.547845287016</v>
      </c>
      <c r="P134" s="13">
        <f t="shared" si="19"/>
        <v>-7.7345234524906825E-2</v>
      </c>
      <c r="Q134" s="15">
        <f t="shared" si="20"/>
        <v>-2.5110234643264278</v>
      </c>
      <c r="R134" s="13">
        <f t="shared" si="21"/>
        <v>-7.7345234524906936E-2</v>
      </c>
      <c r="S134" s="15">
        <f t="shared" si="22"/>
        <v>35.267973231772061</v>
      </c>
      <c r="T134" s="15">
        <f t="shared" si="23"/>
        <v>34.195856460366805</v>
      </c>
    </row>
    <row r="135" spans="1:20" x14ac:dyDescent="0.3">
      <c r="A135" s="5">
        <v>41771.083333333336</v>
      </c>
      <c r="B135" s="14">
        <v>183413.70834773601</v>
      </c>
      <c r="C135" s="14">
        <v>197835.49508379801</v>
      </c>
      <c r="D135" s="6">
        <v>5653</v>
      </c>
      <c r="E135" s="1">
        <v>2014</v>
      </c>
      <c r="F135" s="1">
        <v>5</v>
      </c>
      <c r="G135" s="1" t="s">
        <v>33</v>
      </c>
      <c r="H135" s="12">
        <v>41760</v>
      </c>
      <c r="I135" s="1">
        <v>12</v>
      </c>
      <c r="J135" s="1">
        <v>2</v>
      </c>
      <c r="K135" s="1" t="s">
        <v>21</v>
      </c>
      <c r="L135" s="1" t="s">
        <v>22</v>
      </c>
      <c r="M135" s="15">
        <f t="shared" si="16"/>
        <v>32.445375614317356</v>
      </c>
      <c r="N135" s="15">
        <f t="shared" si="17"/>
        <v>34.996549634494606</v>
      </c>
      <c r="O135" s="14">
        <f t="shared" si="18"/>
        <v>-14421.786736062</v>
      </c>
      <c r="P135" s="13">
        <f t="shared" si="19"/>
        <v>-7.8629819253856315E-2</v>
      </c>
      <c r="Q135" s="15">
        <f t="shared" si="20"/>
        <v>-2.5511740201772497</v>
      </c>
      <c r="R135" s="13">
        <f t="shared" si="21"/>
        <v>-7.8629819253856273E-2</v>
      </c>
      <c r="S135" s="15">
        <f t="shared" si="22"/>
        <v>35.267973231772061</v>
      </c>
      <c r="T135" s="15">
        <f t="shared" si="23"/>
        <v>34.166165693962007</v>
      </c>
    </row>
    <row r="136" spans="1:20" x14ac:dyDescent="0.3">
      <c r="A136" s="5">
        <v>41772.083333333336</v>
      </c>
      <c r="B136" s="14">
        <v>146166.601124782</v>
      </c>
      <c r="C136" s="14">
        <v>157693.18930052701</v>
      </c>
      <c r="D136" s="6">
        <v>4503</v>
      </c>
      <c r="E136" s="1">
        <v>2014</v>
      </c>
      <c r="F136" s="1">
        <v>5</v>
      </c>
      <c r="G136" s="1" t="s">
        <v>33</v>
      </c>
      <c r="H136" s="12">
        <v>41760</v>
      </c>
      <c r="I136" s="1">
        <v>13</v>
      </c>
      <c r="J136" s="1">
        <v>3</v>
      </c>
      <c r="K136" s="1" t="s">
        <v>23</v>
      </c>
      <c r="L136" s="1" t="s">
        <v>22</v>
      </c>
      <c r="M136" s="15">
        <f t="shared" si="16"/>
        <v>32.459827031930267</v>
      </c>
      <c r="N136" s="15">
        <f t="shared" si="17"/>
        <v>35.019584565962028</v>
      </c>
      <c r="O136" s="14">
        <f t="shared" si="18"/>
        <v>-11526.588175745012</v>
      </c>
      <c r="P136" s="13">
        <f t="shared" si="19"/>
        <v>-7.8859247509660543E-2</v>
      </c>
      <c r="Q136" s="15">
        <f t="shared" si="20"/>
        <v>-2.5597575340317604</v>
      </c>
      <c r="R136" s="13">
        <f t="shared" si="21"/>
        <v>-7.8859247509660585E-2</v>
      </c>
      <c r="S136" s="15">
        <f t="shared" si="22"/>
        <v>35.267973231772061</v>
      </c>
      <c r="T136" s="15">
        <f t="shared" si="23"/>
        <v>34.136646630395262</v>
      </c>
    </row>
    <row r="137" spans="1:20" x14ac:dyDescent="0.3">
      <c r="A137" s="5">
        <v>41773.083333333336</v>
      </c>
      <c r="B137" s="14">
        <v>201120.72764081499</v>
      </c>
      <c r="C137" s="14">
        <v>218098.76188801101</v>
      </c>
      <c r="D137" s="6">
        <v>6253</v>
      </c>
      <c r="E137" s="1">
        <v>2014</v>
      </c>
      <c r="F137" s="1">
        <v>5</v>
      </c>
      <c r="G137" s="1" t="s">
        <v>33</v>
      </c>
      <c r="H137" s="12">
        <v>41760</v>
      </c>
      <c r="I137" s="1">
        <v>14</v>
      </c>
      <c r="J137" s="1">
        <v>4</v>
      </c>
      <c r="K137" s="1" t="s">
        <v>25</v>
      </c>
      <c r="L137" s="1" t="s">
        <v>22</v>
      </c>
      <c r="M137" s="15">
        <f t="shared" si="16"/>
        <v>32.163877761205022</v>
      </c>
      <c r="N137" s="15">
        <f t="shared" si="17"/>
        <v>34.879059953304179</v>
      </c>
      <c r="O137" s="14">
        <f t="shared" si="18"/>
        <v>-16978.034247196018</v>
      </c>
      <c r="P137" s="13">
        <f t="shared" si="19"/>
        <v>-8.4417128191368637E-2</v>
      </c>
      <c r="Q137" s="15">
        <f t="shared" si="20"/>
        <v>-2.7151821920991566</v>
      </c>
      <c r="R137" s="13">
        <f t="shared" si="21"/>
        <v>-8.4417128191368679E-2</v>
      </c>
      <c r="S137" s="15">
        <f t="shared" si="22"/>
        <v>35.267973231772061</v>
      </c>
      <c r="T137" s="15">
        <f t="shared" si="23"/>
        <v>34.097747043618284</v>
      </c>
    </row>
    <row r="138" spans="1:20" x14ac:dyDescent="0.3">
      <c r="A138" s="5">
        <v>41774.083333333336</v>
      </c>
      <c r="B138" s="14">
        <v>270123.55082332803</v>
      </c>
      <c r="C138" s="14">
        <v>289864.79847427201</v>
      </c>
      <c r="D138" s="6">
        <v>8408</v>
      </c>
      <c r="E138" s="1">
        <v>2014</v>
      </c>
      <c r="F138" s="1">
        <v>5</v>
      </c>
      <c r="G138" s="1" t="s">
        <v>33</v>
      </c>
      <c r="H138" s="12">
        <v>41760</v>
      </c>
      <c r="I138" s="1">
        <v>15</v>
      </c>
      <c r="J138" s="1">
        <v>5</v>
      </c>
      <c r="K138" s="1" t="s">
        <v>26</v>
      </c>
      <c r="L138" s="1" t="s">
        <v>22</v>
      </c>
      <c r="M138" s="15">
        <f t="shared" si="16"/>
        <v>32.126968461385353</v>
      </c>
      <c r="N138" s="15">
        <f t="shared" si="17"/>
        <v>34.474880884190299</v>
      </c>
      <c r="O138" s="14">
        <f t="shared" si="18"/>
        <v>-19741.247650943988</v>
      </c>
      <c r="P138" s="13">
        <f t="shared" si="19"/>
        <v>-7.3082289903169451E-2</v>
      </c>
      <c r="Q138" s="15">
        <f t="shared" si="20"/>
        <v>-2.3479124228049457</v>
      </c>
      <c r="R138" s="13">
        <f t="shared" si="21"/>
        <v>-7.3082289903169437E-2</v>
      </c>
      <c r="S138" s="15">
        <f t="shared" si="22"/>
        <v>35.267973231772061</v>
      </c>
      <c r="T138" s="15">
        <f t="shared" si="23"/>
        <v>34.057954972752228</v>
      </c>
    </row>
    <row r="139" spans="1:20" x14ac:dyDescent="0.3">
      <c r="A139" s="5">
        <v>41775.083333333336</v>
      </c>
      <c r="B139" s="14">
        <v>415315.38394824701</v>
      </c>
      <c r="C139" s="14">
        <v>441790.76722722698</v>
      </c>
      <c r="D139" s="6">
        <v>12949</v>
      </c>
      <c r="E139" s="1">
        <v>2014</v>
      </c>
      <c r="F139" s="1">
        <v>5</v>
      </c>
      <c r="G139" s="1" t="s">
        <v>33</v>
      </c>
      <c r="H139" s="12">
        <v>41760</v>
      </c>
      <c r="I139" s="1">
        <v>16</v>
      </c>
      <c r="J139" s="1">
        <v>6</v>
      </c>
      <c r="K139" s="1" t="s">
        <v>27</v>
      </c>
      <c r="L139" s="1" t="s">
        <v>22</v>
      </c>
      <c r="M139" s="15">
        <f t="shared" si="16"/>
        <v>32.073162711270911</v>
      </c>
      <c r="N139" s="15">
        <f t="shared" si="17"/>
        <v>34.117751735827241</v>
      </c>
      <c r="O139" s="14">
        <f t="shared" si="18"/>
        <v>-26475.383278979978</v>
      </c>
      <c r="P139" s="13">
        <f t="shared" si="19"/>
        <v>-6.3747658531905269E-2</v>
      </c>
      <c r="Q139" s="15">
        <f t="shared" si="20"/>
        <v>-2.0445890245563305</v>
      </c>
      <c r="R139" s="13">
        <f t="shared" si="21"/>
        <v>-6.374765853190513E-2</v>
      </c>
      <c r="S139" s="15">
        <f t="shared" si="22"/>
        <v>35.267973231772061</v>
      </c>
      <c r="T139" s="15">
        <f t="shared" si="23"/>
        <v>34.015986780892156</v>
      </c>
    </row>
    <row r="140" spans="1:20" x14ac:dyDescent="0.3">
      <c r="A140" s="5">
        <v>41776.083333333336</v>
      </c>
      <c r="B140" s="14">
        <v>498716.99755501398</v>
      </c>
      <c r="C140" s="14">
        <v>526707.37696164497</v>
      </c>
      <c r="D140" s="6">
        <v>15508</v>
      </c>
      <c r="E140" s="1">
        <v>2014</v>
      </c>
      <c r="F140" s="1">
        <v>5</v>
      </c>
      <c r="G140" s="1" t="s">
        <v>33</v>
      </c>
      <c r="H140" s="12">
        <v>41760</v>
      </c>
      <c r="I140" s="1">
        <v>17</v>
      </c>
      <c r="J140" s="1">
        <v>7</v>
      </c>
      <c r="K140" s="1" t="s">
        <v>28</v>
      </c>
      <c r="L140" s="1" t="s">
        <v>22</v>
      </c>
      <c r="M140" s="15">
        <f t="shared" si="16"/>
        <v>32.158692130191774</v>
      </c>
      <c r="N140" s="15">
        <f t="shared" si="17"/>
        <v>33.96359149868745</v>
      </c>
      <c r="O140" s="14">
        <f t="shared" si="18"/>
        <v>-27990.379406630993</v>
      </c>
      <c r="P140" s="13">
        <f t="shared" si="19"/>
        <v>-5.6124775261030373E-2</v>
      </c>
      <c r="Q140" s="15">
        <f t="shared" si="20"/>
        <v>-1.8048993684956756</v>
      </c>
      <c r="R140" s="13">
        <f t="shared" si="21"/>
        <v>-5.6124775261030255E-2</v>
      </c>
      <c r="S140" s="15">
        <f t="shared" si="22"/>
        <v>35.267973231772061</v>
      </c>
      <c r="T140" s="15">
        <f t="shared" si="23"/>
        <v>33.976766725474285</v>
      </c>
    </row>
    <row r="141" spans="1:20" x14ac:dyDescent="0.3">
      <c r="A141" s="5">
        <v>41777.083333333336</v>
      </c>
      <c r="B141" s="14">
        <v>166433.17212926</v>
      </c>
      <c r="C141" s="14">
        <v>174376.632474618</v>
      </c>
      <c r="D141" s="6">
        <v>5141</v>
      </c>
      <c r="E141" s="1">
        <v>2014</v>
      </c>
      <c r="F141" s="1">
        <v>5</v>
      </c>
      <c r="G141" s="1" t="s">
        <v>33</v>
      </c>
      <c r="H141" s="12">
        <v>41760</v>
      </c>
      <c r="I141" s="1">
        <v>18</v>
      </c>
      <c r="J141" s="1">
        <v>1</v>
      </c>
      <c r="K141" s="1" t="s">
        <v>29</v>
      </c>
      <c r="L141" s="1" t="s">
        <v>22</v>
      </c>
      <c r="M141" s="15">
        <f t="shared" si="16"/>
        <v>32.373696193203656</v>
      </c>
      <c r="N141" s="15">
        <f t="shared" si="17"/>
        <v>33.918815886912661</v>
      </c>
      <c r="O141" s="14">
        <f t="shared" si="18"/>
        <v>-7943.4603453580057</v>
      </c>
      <c r="P141" s="13">
        <f t="shared" si="19"/>
        <v>-4.7727626913153666E-2</v>
      </c>
      <c r="Q141" s="15">
        <f t="shared" si="20"/>
        <v>-1.5451196937090046</v>
      </c>
      <c r="R141" s="13">
        <f t="shared" si="21"/>
        <v>-4.7727626913153583E-2</v>
      </c>
      <c r="S141" s="15">
        <f t="shared" si="22"/>
        <v>35.267973231772061</v>
      </c>
      <c r="T141" s="15">
        <f t="shared" si="23"/>
        <v>33.944422887752417</v>
      </c>
    </row>
    <row r="142" spans="1:20" x14ac:dyDescent="0.3">
      <c r="A142" s="5">
        <v>41778.083333333336</v>
      </c>
      <c r="B142" s="14">
        <v>168520.62936742901</v>
      </c>
      <c r="C142" s="14">
        <v>175540.115518245</v>
      </c>
      <c r="D142" s="6">
        <v>5194</v>
      </c>
      <c r="E142" s="1">
        <v>2014</v>
      </c>
      <c r="F142" s="1">
        <v>5</v>
      </c>
      <c r="G142" s="1" t="s">
        <v>33</v>
      </c>
      <c r="H142" s="12">
        <v>41760</v>
      </c>
      <c r="I142" s="1">
        <v>19</v>
      </c>
      <c r="J142" s="1">
        <v>2</v>
      </c>
      <c r="K142" s="1" t="s">
        <v>21</v>
      </c>
      <c r="L142" s="1" t="s">
        <v>22</v>
      </c>
      <c r="M142" s="15">
        <f t="shared" si="16"/>
        <v>32.445250167005973</v>
      </c>
      <c r="N142" s="15">
        <f t="shared" si="17"/>
        <v>33.796710727424916</v>
      </c>
      <c r="O142" s="14">
        <f t="shared" si="18"/>
        <v>-7019.4861508159956</v>
      </c>
      <c r="P142" s="13">
        <f t="shared" si="19"/>
        <v>-4.16535718930367E-2</v>
      </c>
      <c r="Q142" s="15">
        <f t="shared" si="20"/>
        <v>-1.3514605604189427</v>
      </c>
      <c r="R142" s="13">
        <f t="shared" si="21"/>
        <v>-4.1653571893036652E-2</v>
      </c>
      <c r="S142" s="15">
        <f t="shared" si="22"/>
        <v>35.267973231772061</v>
      </c>
      <c r="T142" s="15">
        <f t="shared" si="23"/>
        <v>33.914776117690344</v>
      </c>
    </row>
    <row r="143" spans="1:20" x14ac:dyDescent="0.3">
      <c r="A143" s="5">
        <v>41779.083333333336</v>
      </c>
      <c r="B143" s="14">
        <v>178123.53210953501</v>
      </c>
      <c r="C143" s="14">
        <v>187748.17220219699</v>
      </c>
      <c r="D143" s="6">
        <v>5550</v>
      </c>
      <c r="E143" s="1">
        <v>2014</v>
      </c>
      <c r="F143" s="1">
        <v>5</v>
      </c>
      <c r="G143" s="1" t="s">
        <v>33</v>
      </c>
      <c r="H143" s="12">
        <v>41760</v>
      </c>
      <c r="I143" s="1">
        <v>20</v>
      </c>
      <c r="J143" s="1">
        <v>3</v>
      </c>
      <c r="K143" s="1" t="s">
        <v>23</v>
      </c>
      <c r="L143" s="1" t="s">
        <v>22</v>
      </c>
      <c r="M143" s="15">
        <f t="shared" si="16"/>
        <v>32.094330109826124</v>
      </c>
      <c r="N143" s="15">
        <f t="shared" si="17"/>
        <v>33.82849949589135</v>
      </c>
      <c r="O143" s="14">
        <f t="shared" si="18"/>
        <v>-9624.6400926619826</v>
      </c>
      <c r="P143" s="13">
        <f t="shared" si="19"/>
        <v>-5.4033512465626501E-2</v>
      </c>
      <c r="Q143" s="15">
        <f t="shared" si="20"/>
        <v>-1.7341693860652256</v>
      </c>
      <c r="R143" s="13">
        <f t="shared" si="21"/>
        <v>-5.4033512465626619E-2</v>
      </c>
      <c r="S143" s="15">
        <f t="shared" si="22"/>
        <v>35.267973231772061</v>
      </c>
      <c r="T143" s="15">
        <f t="shared" si="23"/>
        <v>33.873674539901131</v>
      </c>
    </row>
    <row r="144" spans="1:20" x14ac:dyDescent="0.3">
      <c r="A144" s="5">
        <v>41780.083333333336</v>
      </c>
      <c r="B144" s="14">
        <v>194878.80263463099</v>
      </c>
      <c r="C144" s="14">
        <v>204460.66537744299</v>
      </c>
      <c r="D144" s="6">
        <v>6070</v>
      </c>
      <c r="E144" s="1">
        <v>2014</v>
      </c>
      <c r="F144" s="1">
        <v>5</v>
      </c>
      <c r="G144" s="1" t="s">
        <v>33</v>
      </c>
      <c r="H144" s="12">
        <v>41760</v>
      </c>
      <c r="I144" s="1">
        <v>21</v>
      </c>
      <c r="J144" s="1">
        <v>4</v>
      </c>
      <c r="K144" s="1" t="s">
        <v>25</v>
      </c>
      <c r="L144" s="1" t="s">
        <v>22</v>
      </c>
      <c r="M144" s="15">
        <f t="shared" si="16"/>
        <v>32.105239313777759</v>
      </c>
      <c r="N144" s="15">
        <f t="shared" si="17"/>
        <v>33.683799897437062</v>
      </c>
      <c r="O144" s="14">
        <f t="shared" si="18"/>
        <v>-9581.8627428119944</v>
      </c>
      <c r="P144" s="13">
        <f t="shared" si="19"/>
        <v>-4.9168316991235694E-2</v>
      </c>
      <c r="Q144" s="15">
        <f t="shared" si="20"/>
        <v>-1.5785605836593035</v>
      </c>
      <c r="R144" s="13">
        <f t="shared" si="21"/>
        <v>-4.9168316991235583E-2</v>
      </c>
      <c r="S144" s="15">
        <f t="shared" si="22"/>
        <v>35.267973231772061</v>
      </c>
      <c r="T144" s="15">
        <f t="shared" si="23"/>
        <v>33.832479576724133</v>
      </c>
    </row>
    <row r="145" spans="1:20" x14ac:dyDescent="0.3">
      <c r="A145" s="5">
        <v>41781.083333333336</v>
      </c>
      <c r="B145" s="14">
        <v>115475.09689626</v>
      </c>
      <c r="C145" s="14">
        <v>115011.32260883199</v>
      </c>
      <c r="D145" s="6">
        <v>3421</v>
      </c>
      <c r="E145" s="1">
        <v>2014</v>
      </c>
      <c r="F145" s="1">
        <v>5</v>
      </c>
      <c r="G145" s="1" t="s">
        <v>33</v>
      </c>
      <c r="H145" s="12">
        <v>41760</v>
      </c>
      <c r="I145" s="1">
        <v>22</v>
      </c>
      <c r="J145" s="1">
        <v>5</v>
      </c>
      <c r="K145" s="1" t="s">
        <v>26</v>
      </c>
      <c r="L145" s="1" t="s">
        <v>22</v>
      </c>
      <c r="M145" s="15">
        <f t="shared" si="16"/>
        <v>33.754778397035956</v>
      </c>
      <c r="N145" s="15">
        <f t="shared" si="17"/>
        <v>33.619211519681961</v>
      </c>
      <c r="O145" s="14">
        <f t="shared" si="18"/>
        <v>463.77428742800839</v>
      </c>
      <c r="P145" s="13">
        <f t="shared" si="19"/>
        <v>4.0162277399485692E-3</v>
      </c>
      <c r="Q145" s="15">
        <f t="shared" si="20"/>
        <v>0.13556687735399464</v>
      </c>
      <c r="R145" s="13">
        <f t="shared" si="21"/>
        <v>4.0162277399486326E-3</v>
      </c>
      <c r="S145" s="15">
        <f t="shared" si="22"/>
        <v>35.267973231772061</v>
      </c>
      <c r="T145" s="15">
        <f t="shared" si="23"/>
        <v>33.846630354370809</v>
      </c>
    </row>
    <row r="146" spans="1:20" x14ac:dyDescent="0.3">
      <c r="A146" s="5">
        <v>41782.083333333336</v>
      </c>
      <c r="B146" s="14">
        <v>430521.02453865501</v>
      </c>
      <c r="C146" s="14">
        <v>449274.18625836598</v>
      </c>
      <c r="D146" s="6">
        <v>13384</v>
      </c>
      <c r="E146" s="1">
        <v>2014</v>
      </c>
      <c r="F146" s="1">
        <v>5</v>
      </c>
      <c r="G146" s="1" t="s">
        <v>33</v>
      </c>
      <c r="H146" s="12">
        <v>41760</v>
      </c>
      <c r="I146" s="1">
        <v>23</v>
      </c>
      <c r="J146" s="1">
        <v>6</v>
      </c>
      <c r="K146" s="1" t="s">
        <v>27</v>
      </c>
      <c r="L146" s="1" t="s">
        <v>22</v>
      </c>
      <c r="M146" s="15">
        <f t="shared" si="16"/>
        <v>32.166842837616187</v>
      </c>
      <c r="N146" s="15">
        <f t="shared" si="17"/>
        <v>33.568005548293932</v>
      </c>
      <c r="O146" s="14">
        <f t="shared" si="18"/>
        <v>-18753.161719710974</v>
      </c>
      <c r="P146" s="13">
        <f t="shared" si="19"/>
        <v>-4.3559223942214675E-2</v>
      </c>
      <c r="Q146" s="15">
        <f t="shared" si="20"/>
        <v>-1.4011627106777453</v>
      </c>
      <c r="R146" s="13">
        <f t="shared" si="21"/>
        <v>-4.3559223942214606E-2</v>
      </c>
      <c r="S146" s="15">
        <f t="shared" si="22"/>
        <v>35.267973231772061</v>
      </c>
      <c r="T146" s="15">
        <f t="shared" si="23"/>
        <v>33.750873694829856</v>
      </c>
    </row>
    <row r="147" spans="1:20" x14ac:dyDescent="0.3">
      <c r="A147" s="5">
        <v>41783.083333333336</v>
      </c>
      <c r="B147" s="14">
        <v>590642.82566064398</v>
      </c>
      <c r="C147" s="14">
        <v>614245.79414952698</v>
      </c>
      <c r="D147" s="6">
        <v>18356</v>
      </c>
      <c r="E147" s="1">
        <v>2014</v>
      </c>
      <c r="F147" s="1">
        <v>5</v>
      </c>
      <c r="G147" s="1" t="s">
        <v>33</v>
      </c>
      <c r="H147" s="12">
        <v>41760</v>
      </c>
      <c r="I147" s="1">
        <v>24</v>
      </c>
      <c r="J147" s="1">
        <v>7</v>
      </c>
      <c r="K147" s="1" t="s">
        <v>28</v>
      </c>
      <c r="L147" s="1" t="s">
        <v>22</v>
      </c>
      <c r="M147" s="15">
        <f t="shared" si="16"/>
        <v>32.177098804785572</v>
      </c>
      <c r="N147" s="15">
        <f t="shared" si="17"/>
        <v>33.462943677790747</v>
      </c>
      <c r="O147" s="14">
        <f t="shared" si="18"/>
        <v>-23602.968488882994</v>
      </c>
      <c r="P147" s="13">
        <f t="shared" si="19"/>
        <v>-3.9961491892300013E-2</v>
      </c>
      <c r="Q147" s="15">
        <f t="shared" si="20"/>
        <v>-1.2858448730051748</v>
      </c>
      <c r="R147" s="13">
        <f t="shared" si="21"/>
        <v>-3.9961491892300006E-2</v>
      </c>
      <c r="S147" s="15">
        <f t="shared" si="22"/>
        <v>35.267973231772061</v>
      </c>
      <c r="T147" s="15">
        <f t="shared" si="23"/>
        <v>33.655410973023194</v>
      </c>
    </row>
    <row r="148" spans="1:20" x14ac:dyDescent="0.3">
      <c r="A148" s="5">
        <v>41784.083333333336</v>
      </c>
      <c r="B148" s="14">
        <v>210764.71795229099</v>
      </c>
      <c r="C148" s="14">
        <v>217364.46301139201</v>
      </c>
      <c r="D148" s="6">
        <v>6500</v>
      </c>
      <c r="E148" s="1">
        <v>2014</v>
      </c>
      <c r="F148" s="1">
        <v>5</v>
      </c>
      <c r="G148" s="1" t="s">
        <v>33</v>
      </c>
      <c r="H148" s="12">
        <v>41760</v>
      </c>
      <c r="I148" s="1">
        <v>25</v>
      </c>
      <c r="J148" s="1">
        <v>1</v>
      </c>
      <c r="K148" s="1" t="s">
        <v>29</v>
      </c>
      <c r="L148" s="1" t="s">
        <v>22</v>
      </c>
      <c r="M148" s="15">
        <f t="shared" si="16"/>
        <v>32.425341223429385</v>
      </c>
      <c r="N148" s="15">
        <f t="shared" si="17"/>
        <v>33.440686617137231</v>
      </c>
      <c r="O148" s="14">
        <f t="shared" si="18"/>
        <v>-6599.7450591010274</v>
      </c>
      <c r="P148" s="13">
        <f t="shared" si="19"/>
        <v>-3.1313329494716262E-2</v>
      </c>
      <c r="Q148" s="15">
        <f t="shared" si="20"/>
        <v>-1.0153453937078467</v>
      </c>
      <c r="R148" s="13">
        <f t="shared" si="21"/>
        <v>-3.1313329494716144E-2</v>
      </c>
      <c r="S148" s="15">
        <f t="shared" si="22"/>
        <v>35.267973231772061</v>
      </c>
      <c r="T148" s="15">
        <f t="shared" si="23"/>
        <v>33.581512222730481</v>
      </c>
    </row>
    <row r="149" spans="1:20" x14ac:dyDescent="0.3">
      <c r="A149" s="5">
        <v>41785.083333333336</v>
      </c>
      <c r="B149" s="14">
        <v>218189.34852144701</v>
      </c>
      <c r="C149" s="14">
        <v>225607.59518527199</v>
      </c>
      <c r="D149" s="6">
        <v>6752</v>
      </c>
      <c r="E149" s="1">
        <v>2014</v>
      </c>
      <c r="F149" s="1">
        <v>5</v>
      </c>
      <c r="G149" s="1" t="s">
        <v>33</v>
      </c>
      <c r="H149" s="12">
        <v>41760</v>
      </c>
      <c r="I149" s="1">
        <v>26</v>
      </c>
      <c r="J149" s="1">
        <v>2</v>
      </c>
      <c r="K149" s="1" t="s">
        <v>21</v>
      </c>
      <c r="L149" s="1" t="s">
        <v>22</v>
      </c>
      <c r="M149" s="15">
        <f t="shared" si="16"/>
        <v>32.314773181493926</v>
      </c>
      <c r="N149" s="15">
        <f t="shared" si="17"/>
        <v>33.413447154216826</v>
      </c>
      <c r="O149" s="14">
        <f t="shared" si="18"/>
        <v>-7418.2466638249753</v>
      </c>
      <c r="P149" s="13">
        <f t="shared" si="19"/>
        <v>-3.3999123761514857E-2</v>
      </c>
      <c r="Q149" s="15">
        <f t="shared" si="20"/>
        <v>-1.0986739727228994</v>
      </c>
      <c r="R149" s="13">
        <f t="shared" si="21"/>
        <v>-3.3999123761515045E-2</v>
      </c>
      <c r="S149" s="15">
        <f t="shared" si="22"/>
        <v>35.267973231772061</v>
      </c>
      <c r="T149" s="15">
        <f t="shared" si="23"/>
        <v>33.501185723821784</v>
      </c>
    </row>
    <row r="150" spans="1:20" x14ac:dyDescent="0.3">
      <c r="A150" s="5">
        <v>41786.083333333336</v>
      </c>
      <c r="B150" s="14">
        <v>226132.46392936201</v>
      </c>
      <c r="C150" s="14">
        <v>234496.512831656</v>
      </c>
      <c r="D150" s="6">
        <v>7023</v>
      </c>
      <c r="E150" s="1">
        <v>2014</v>
      </c>
      <c r="F150" s="1">
        <v>5</v>
      </c>
      <c r="G150" s="1" t="s">
        <v>33</v>
      </c>
      <c r="H150" s="12">
        <v>41760</v>
      </c>
      <c r="I150" s="1">
        <v>27</v>
      </c>
      <c r="J150" s="1">
        <v>3</v>
      </c>
      <c r="K150" s="1" t="s">
        <v>23</v>
      </c>
      <c r="L150" s="1" t="s">
        <v>22</v>
      </c>
      <c r="M150" s="15">
        <f t="shared" si="16"/>
        <v>32.198841510659548</v>
      </c>
      <c r="N150" s="15">
        <f t="shared" si="17"/>
        <v>33.389792514830702</v>
      </c>
      <c r="O150" s="14">
        <f t="shared" si="18"/>
        <v>-8364.0489022939873</v>
      </c>
      <c r="P150" s="13">
        <f t="shared" si="19"/>
        <v>-3.6987386759765296E-2</v>
      </c>
      <c r="Q150" s="15">
        <f t="shared" si="20"/>
        <v>-1.1909510041711542</v>
      </c>
      <c r="R150" s="13">
        <f t="shared" si="21"/>
        <v>-3.6987386759765421E-2</v>
      </c>
      <c r="S150" s="15">
        <f t="shared" si="22"/>
        <v>35.267973231772061</v>
      </c>
      <c r="T150" s="15">
        <f t="shared" si="23"/>
        <v>33.414821973248564</v>
      </c>
    </row>
    <row r="151" spans="1:20" x14ac:dyDescent="0.3">
      <c r="A151" s="5">
        <v>41787.083333333336</v>
      </c>
      <c r="B151" s="14">
        <v>243720.86804506701</v>
      </c>
      <c r="C151" s="14">
        <v>252929.29469238099</v>
      </c>
      <c r="D151" s="6">
        <v>7579</v>
      </c>
      <c r="E151" s="1">
        <v>2014</v>
      </c>
      <c r="F151" s="1">
        <v>5</v>
      </c>
      <c r="G151" s="1" t="s">
        <v>33</v>
      </c>
      <c r="H151" s="12">
        <v>41760</v>
      </c>
      <c r="I151" s="1">
        <v>28</v>
      </c>
      <c r="J151" s="1">
        <v>4</v>
      </c>
      <c r="K151" s="1" t="s">
        <v>25</v>
      </c>
      <c r="L151" s="1" t="s">
        <v>22</v>
      </c>
      <c r="M151" s="15">
        <f t="shared" si="16"/>
        <v>32.157391218507321</v>
      </c>
      <c r="N151" s="15">
        <f t="shared" si="17"/>
        <v>33.372383519248054</v>
      </c>
      <c r="O151" s="14">
        <f t="shared" si="18"/>
        <v>-9208.4266473139869</v>
      </c>
      <c r="P151" s="13">
        <f t="shared" si="19"/>
        <v>-3.7782676227836327E-2</v>
      </c>
      <c r="Q151" s="15">
        <f t="shared" si="20"/>
        <v>-1.2149923007407324</v>
      </c>
      <c r="R151" s="13">
        <f t="shared" si="21"/>
        <v>-3.7782676227836424E-2</v>
      </c>
      <c r="S151" s="15">
        <f t="shared" si="22"/>
        <v>35.267973231772061</v>
      </c>
      <c r="T151" s="15">
        <f t="shared" si="23"/>
        <v>33.329242393133207</v>
      </c>
    </row>
    <row r="152" spans="1:20" x14ac:dyDescent="0.3">
      <c r="A152" s="5">
        <v>41788.083333333336</v>
      </c>
      <c r="B152" s="14">
        <v>207429.42904813599</v>
      </c>
      <c r="C152" s="14">
        <v>215118.846495117</v>
      </c>
      <c r="D152" s="6">
        <v>6448</v>
      </c>
      <c r="E152" s="1">
        <v>2014</v>
      </c>
      <c r="F152" s="1">
        <v>5</v>
      </c>
      <c r="G152" s="1" t="s">
        <v>33</v>
      </c>
      <c r="H152" s="12">
        <v>41760</v>
      </c>
      <c r="I152" s="1">
        <v>29</v>
      </c>
      <c r="J152" s="1">
        <v>5</v>
      </c>
      <c r="K152" s="1" t="s">
        <v>26</v>
      </c>
      <c r="L152" s="1" t="s">
        <v>22</v>
      </c>
      <c r="M152" s="15">
        <f t="shared" si="16"/>
        <v>32.169576465281637</v>
      </c>
      <c r="N152" s="15">
        <f t="shared" si="17"/>
        <v>33.362103984974723</v>
      </c>
      <c r="O152" s="14">
        <f t="shared" si="18"/>
        <v>-7689.4174469810096</v>
      </c>
      <c r="P152" s="13">
        <f t="shared" si="19"/>
        <v>-3.7070041036446212E-2</v>
      </c>
      <c r="Q152" s="15">
        <f t="shared" si="20"/>
        <v>-1.1925275196930869</v>
      </c>
      <c r="R152" s="13">
        <f t="shared" si="21"/>
        <v>-3.7070041036446288E-2</v>
      </c>
      <c r="S152" s="15">
        <f t="shared" si="22"/>
        <v>35.267973231772061</v>
      </c>
      <c r="T152" s="15">
        <f t="shared" si="23"/>
        <v>33.247174325285229</v>
      </c>
    </row>
    <row r="153" spans="1:20" x14ac:dyDescent="0.3">
      <c r="A153" s="5">
        <v>41789.083333333336</v>
      </c>
      <c r="B153" s="14">
        <v>503149.43134534801</v>
      </c>
      <c r="C153" s="14">
        <v>521651.08612557303</v>
      </c>
      <c r="D153" s="6">
        <v>15637</v>
      </c>
      <c r="E153" s="1">
        <v>2014</v>
      </c>
      <c r="F153" s="1">
        <v>5</v>
      </c>
      <c r="G153" s="1" t="s">
        <v>33</v>
      </c>
      <c r="H153" s="12">
        <v>41760</v>
      </c>
      <c r="I153" s="1">
        <v>30</v>
      </c>
      <c r="J153" s="1">
        <v>6</v>
      </c>
      <c r="K153" s="1" t="s">
        <v>27</v>
      </c>
      <c r="L153" s="1" t="s">
        <v>22</v>
      </c>
      <c r="M153" s="15">
        <f t="shared" si="16"/>
        <v>32.176851783932214</v>
      </c>
      <c r="N153" s="15">
        <f t="shared" si="17"/>
        <v>33.36004899440897</v>
      </c>
      <c r="O153" s="14">
        <f t="shared" si="18"/>
        <v>-18501.654780225013</v>
      </c>
      <c r="P153" s="13">
        <f t="shared" si="19"/>
        <v>-3.6771689735898727E-2</v>
      </c>
      <c r="Q153" s="15">
        <f t="shared" si="20"/>
        <v>-1.1831972104767559</v>
      </c>
      <c r="R153" s="13">
        <f t="shared" si="21"/>
        <v>-3.6771689735898755E-2</v>
      </c>
      <c r="S153" s="15">
        <f t="shared" si="22"/>
        <v>35.267973231772061</v>
      </c>
      <c r="T153" s="15">
        <f t="shared" si="23"/>
        <v>33.146096084327624</v>
      </c>
    </row>
    <row r="154" spans="1:20" x14ac:dyDescent="0.3">
      <c r="A154" s="5">
        <v>41790.083333333336</v>
      </c>
      <c r="B154" s="14">
        <v>603748.78952607606</v>
      </c>
      <c r="C154" s="14">
        <v>626259.38684881595</v>
      </c>
      <c r="D154" s="6">
        <v>18775</v>
      </c>
      <c r="E154" s="1">
        <v>2014</v>
      </c>
      <c r="F154" s="1">
        <v>5</v>
      </c>
      <c r="G154" s="1" t="s">
        <v>33</v>
      </c>
      <c r="H154" s="12">
        <v>41760</v>
      </c>
      <c r="I154" s="1">
        <v>31</v>
      </c>
      <c r="J154" s="1">
        <v>7</v>
      </c>
      <c r="K154" s="1" t="s">
        <v>28</v>
      </c>
      <c r="L154" s="1" t="s">
        <v>22</v>
      </c>
      <c r="M154" s="15">
        <f t="shared" si="16"/>
        <v>32.157059362241071</v>
      </c>
      <c r="N154" s="15">
        <f t="shared" si="17"/>
        <v>33.356025930695921</v>
      </c>
      <c r="O154" s="14">
        <f t="shared" si="18"/>
        <v>-22510.597322739894</v>
      </c>
      <c r="P154" s="13">
        <f t="shared" si="19"/>
        <v>-3.728470799984545E-2</v>
      </c>
      <c r="Q154" s="15">
        <f t="shared" si="20"/>
        <v>-1.1989665684548498</v>
      </c>
      <c r="R154" s="13">
        <f t="shared" si="21"/>
        <v>-3.7284707999845297E-2</v>
      </c>
      <c r="S154" s="15">
        <f t="shared" si="22"/>
        <v>35.267973231772061</v>
      </c>
      <c r="T154" s="15">
        <f t="shared" si="23"/>
        <v>33.04512355923066</v>
      </c>
    </row>
    <row r="155" spans="1:20" x14ac:dyDescent="0.3">
      <c r="A155" s="5">
        <v>41791.083333333336</v>
      </c>
      <c r="B155" s="14">
        <v>456017.46309267601</v>
      </c>
      <c r="C155" s="14">
        <v>473223.98073157697</v>
      </c>
      <c r="D155" s="6">
        <v>14188</v>
      </c>
      <c r="E155" s="1">
        <v>2014</v>
      </c>
      <c r="F155" s="1">
        <v>6</v>
      </c>
      <c r="G155" s="1" t="s">
        <v>34</v>
      </c>
      <c r="H155" s="12">
        <v>41791</v>
      </c>
      <c r="I155" s="1">
        <v>1</v>
      </c>
      <c r="J155" s="1">
        <v>1</v>
      </c>
      <c r="K155" s="1" t="s">
        <v>29</v>
      </c>
      <c r="L155" s="1" t="s">
        <v>22</v>
      </c>
      <c r="M155" s="15">
        <f t="shared" si="16"/>
        <v>32.141067316935157</v>
      </c>
      <c r="N155" s="15">
        <f t="shared" si="17"/>
        <v>33.353818771608189</v>
      </c>
      <c r="O155" s="14">
        <f t="shared" si="18"/>
        <v>-17206.517638900958</v>
      </c>
      <c r="P155" s="13">
        <f t="shared" si="19"/>
        <v>-3.7732146313449608E-2</v>
      </c>
      <c r="Q155" s="15">
        <f t="shared" si="20"/>
        <v>-1.2127514546730325</v>
      </c>
      <c r="R155" s="13">
        <f t="shared" si="21"/>
        <v>-3.773214631344967E-2</v>
      </c>
      <c r="S155" s="15">
        <f t="shared" si="22"/>
        <v>35.267973231772061</v>
      </c>
      <c r="T155" s="15">
        <f t="shared" si="23"/>
        <v>32.924256161640606</v>
      </c>
    </row>
    <row r="156" spans="1:20" x14ac:dyDescent="0.3">
      <c r="A156" s="5">
        <v>41792.083333333336</v>
      </c>
      <c r="B156" s="14">
        <v>425845.196044721</v>
      </c>
      <c r="C156" s="14">
        <v>442155.991161187</v>
      </c>
      <c r="D156" s="6">
        <v>13256</v>
      </c>
      <c r="E156" s="1">
        <v>2014</v>
      </c>
      <c r="F156" s="1">
        <v>6</v>
      </c>
      <c r="G156" s="1" t="s">
        <v>34</v>
      </c>
      <c r="H156" s="12">
        <v>41791</v>
      </c>
      <c r="I156" s="1">
        <v>2</v>
      </c>
      <c r="J156" s="1">
        <v>2</v>
      </c>
      <c r="K156" s="1" t="s">
        <v>21</v>
      </c>
      <c r="L156" s="1" t="s">
        <v>22</v>
      </c>
      <c r="M156" s="15">
        <f t="shared" si="16"/>
        <v>32.124713038980161</v>
      </c>
      <c r="N156" s="15">
        <f t="shared" si="17"/>
        <v>33.355159260801678</v>
      </c>
      <c r="O156" s="14">
        <f t="shared" si="18"/>
        <v>-16310.795116466004</v>
      </c>
      <c r="P156" s="13">
        <f t="shared" si="19"/>
        <v>-3.8302170056071484E-2</v>
      </c>
      <c r="Q156" s="15">
        <f t="shared" si="20"/>
        <v>-1.2304462218215164</v>
      </c>
      <c r="R156" s="13">
        <f t="shared" si="21"/>
        <v>-3.8302170056071526E-2</v>
      </c>
      <c r="S156" s="15">
        <f t="shared" si="22"/>
        <v>35.267973231772061</v>
      </c>
      <c r="T156" s="15">
        <f t="shared" si="23"/>
        <v>32.810003809802801</v>
      </c>
    </row>
    <row r="157" spans="1:20" x14ac:dyDescent="0.3">
      <c r="A157" s="5">
        <v>41793.083333333336</v>
      </c>
      <c r="B157" s="14">
        <v>328217.76995264698</v>
      </c>
      <c r="C157" s="14">
        <v>340913.59172520298</v>
      </c>
      <c r="D157" s="6">
        <v>10223</v>
      </c>
      <c r="E157" s="1">
        <v>2014</v>
      </c>
      <c r="F157" s="1">
        <v>6</v>
      </c>
      <c r="G157" s="1" t="s">
        <v>34</v>
      </c>
      <c r="H157" s="12">
        <v>41791</v>
      </c>
      <c r="I157" s="1">
        <v>3</v>
      </c>
      <c r="J157" s="1">
        <v>3</v>
      </c>
      <c r="K157" s="1" t="s">
        <v>23</v>
      </c>
      <c r="L157" s="1" t="s">
        <v>22</v>
      </c>
      <c r="M157" s="15">
        <f t="shared" si="16"/>
        <v>32.105817270140562</v>
      </c>
      <c r="N157" s="15">
        <f t="shared" si="17"/>
        <v>33.347705343363295</v>
      </c>
      <c r="O157" s="14">
        <f t="shared" si="18"/>
        <v>-12695.821772555995</v>
      </c>
      <c r="P157" s="13">
        <f t="shared" si="19"/>
        <v>-3.8681092051742541E-2</v>
      </c>
      <c r="Q157" s="15">
        <f t="shared" si="20"/>
        <v>-1.2418880732227322</v>
      </c>
      <c r="R157" s="13">
        <f t="shared" si="21"/>
        <v>-3.8681092051742534E-2</v>
      </c>
      <c r="S157" s="15">
        <f t="shared" si="22"/>
        <v>35.267973231772061</v>
      </c>
      <c r="T157" s="15">
        <f t="shared" si="23"/>
        <v>32.705809074385421</v>
      </c>
    </row>
    <row r="158" spans="1:20" x14ac:dyDescent="0.3">
      <c r="A158" s="5">
        <v>41794.083333333336</v>
      </c>
      <c r="B158" s="14">
        <v>286405.99880250299</v>
      </c>
      <c r="C158" s="14">
        <v>296902.67253080202</v>
      </c>
      <c r="D158" s="6">
        <v>8904</v>
      </c>
      <c r="E158" s="1">
        <v>2014</v>
      </c>
      <c r="F158" s="1">
        <v>6</v>
      </c>
      <c r="G158" s="1" t="s">
        <v>34</v>
      </c>
      <c r="H158" s="12">
        <v>41791</v>
      </c>
      <c r="I158" s="1">
        <v>4</v>
      </c>
      <c r="J158" s="1">
        <v>4</v>
      </c>
      <c r="K158" s="1" t="s">
        <v>25</v>
      </c>
      <c r="L158" s="1" t="s">
        <v>22</v>
      </c>
      <c r="M158" s="15">
        <f t="shared" si="16"/>
        <v>32.165992677729449</v>
      </c>
      <c r="N158" s="15">
        <f t="shared" si="17"/>
        <v>33.3448643902518</v>
      </c>
      <c r="O158" s="14">
        <f t="shared" si="18"/>
        <v>-10496.673728299036</v>
      </c>
      <c r="P158" s="13">
        <f t="shared" si="19"/>
        <v>-3.6649629449756145E-2</v>
      </c>
      <c r="Q158" s="15">
        <f t="shared" si="20"/>
        <v>-1.1788717125223513</v>
      </c>
      <c r="R158" s="13">
        <f t="shared" si="21"/>
        <v>-3.6649629449756069E-2</v>
      </c>
      <c r="S158" s="15">
        <f t="shared" si="22"/>
        <v>35.267973231772061</v>
      </c>
      <c r="T158" s="15">
        <f t="shared" si="23"/>
        <v>32.6060894338057</v>
      </c>
    </row>
    <row r="159" spans="1:20" x14ac:dyDescent="0.3">
      <c r="A159" s="5">
        <v>41795.083333333336</v>
      </c>
      <c r="B159" s="14">
        <v>184989.88866687601</v>
      </c>
      <c r="C159" s="14">
        <v>192824.890128464</v>
      </c>
      <c r="D159" s="6">
        <v>5783</v>
      </c>
      <c r="E159" s="1">
        <v>2014</v>
      </c>
      <c r="F159" s="1">
        <v>6</v>
      </c>
      <c r="G159" s="1" t="s">
        <v>34</v>
      </c>
      <c r="H159" s="12">
        <v>41791</v>
      </c>
      <c r="I159" s="1">
        <v>5</v>
      </c>
      <c r="J159" s="1">
        <v>5</v>
      </c>
      <c r="K159" s="1" t="s">
        <v>26</v>
      </c>
      <c r="L159" s="1" t="s">
        <v>22</v>
      </c>
      <c r="M159" s="15">
        <f t="shared" si="16"/>
        <v>31.988567986663671</v>
      </c>
      <c r="N159" s="15">
        <f t="shared" si="17"/>
        <v>33.343401370994982</v>
      </c>
      <c r="O159" s="14">
        <f t="shared" si="18"/>
        <v>-7835.0014615879918</v>
      </c>
      <c r="P159" s="13">
        <f t="shared" si="19"/>
        <v>-4.2353674128087167E-2</v>
      </c>
      <c r="Q159" s="15">
        <f t="shared" si="20"/>
        <v>-1.354833384331311</v>
      </c>
      <c r="R159" s="13">
        <f t="shared" si="21"/>
        <v>-4.2353674128087056E-2</v>
      </c>
      <c r="S159" s="15">
        <f t="shared" si="22"/>
        <v>35.267973231772061</v>
      </c>
      <c r="T159" s="15">
        <f t="shared" si="23"/>
        <v>32.475167097461068</v>
      </c>
    </row>
    <row r="160" spans="1:20" x14ac:dyDescent="0.3">
      <c r="A160" s="5">
        <v>41796.083333333336</v>
      </c>
      <c r="B160" s="14">
        <v>288118.30444745597</v>
      </c>
      <c r="C160" s="14">
        <v>300213.55940666201</v>
      </c>
      <c r="D160" s="6">
        <v>9005</v>
      </c>
      <c r="E160" s="1">
        <v>2014</v>
      </c>
      <c r="F160" s="1">
        <v>6</v>
      </c>
      <c r="G160" s="1" t="s">
        <v>34</v>
      </c>
      <c r="H160" s="12">
        <v>41791</v>
      </c>
      <c r="I160" s="1">
        <v>6</v>
      </c>
      <c r="J160" s="1">
        <v>6</v>
      </c>
      <c r="K160" s="1" t="s">
        <v>27</v>
      </c>
      <c r="L160" s="1" t="s">
        <v>22</v>
      </c>
      <c r="M160" s="15">
        <f t="shared" si="16"/>
        <v>31.995369733198885</v>
      </c>
      <c r="N160" s="15">
        <f t="shared" si="17"/>
        <v>33.338540744770903</v>
      </c>
      <c r="O160" s="14">
        <f t="shared" si="18"/>
        <v>-12095.254959206039</v>
      </c>
      <c r="P160" s="13">
        <f t="shared" si="19"/>
        <v>-4.1980168467261846E-2</v>
      </c>
      <c r="Q160" s="15">
        <f t="shared" si="20"/>
        <v>-1.3431710115720179</v>
      </c>
      <c r="R160" s="13">
        <f t="shared" si="21"/>
        <v>-4.1980168467261783E-2</v>
      </c>
      <c r="S160" s="15">
        <f t="shared" si="22"/>
        <v>35.267973231772061</v>
      </c>
      <c r="T160" s="15">
        <f t="shared" si="23"/>
        <v>32.399610073391038</v>
      </c>
    </row>
    <row r="161" spans="1:20" x14ac:dyDescent="0.3">
      <c r="A161" s="5">
        <v>41797.083333333336</v>
      </c>
      <c r="B161" s="14">
        <v>391930.87800966098</v>
      </c>
      <c r="C161" s="14">
        <v>407438.919600541</v>
      </c>
      <c r="D161" s="6">
        <v>12222</v>
      </c>
      <c r="E161" s="1">
        <v>2014</v>
      </c>
      <c r="F161" s="1">
        <v>6</v>
      </c>
      <c r="G161" s="1" t="s">
        <v>34</v>
      </c>
      <c r="H161" s="12">
        <v>41791</v>
      </c>
      <c r="I161" s="1">
        <v>7</v>
      </c>
      <c r="J161" s="1">
        <v>7</v>
      </c>
      <c r="K161" s="1" t="s">
        <v>28</v>
      </c>
      <c r="L161" s="1" t="s">
        <v>22</v>
      </c>
      <c r="M161" s="15">
        <f t="shared" si="16"/>
        <v>32.067654885424723</v>
      </c>
      <c r="N161" s="15">
        <f t="shared" si="17"/>
        <v>33.336517722184666</v>
      </c>
      <c r="O161" s="14">
        <f t="shared" si="18"/>
        <v>-15508.041590880021</v>
      </c>
      <c r="P161" s="13">
        <f t="shared" si="19"/>
        <v>-3.9568307732308225E-2</v>
      </c>
      <c r="Q161" s="15">
        <f t="shared" si="20"/>
        <v>-1.2688628367599435</v>
      </c>
      <c r="R161" s="13">
        <f t="shared" si="21"/>
        <v>-3.9568307732308253E-2</v>
      </c>
      <c r="S161" s="15">
        <f t="shared" si="22"/>
        <v>35.267973231772061</v>
      </c>
      <c r="T161" s="15">
        <f t="shared" si="23"/>
        <v>32.271669572784837</v>
      </c>
    </row>
    <row r="162" spans="1:20" x14ac:dyDescent="0.3">
      <c r="A162" s="5">
        <v>41798.083333333336</v>
      </c>
      <c r="B162" s="14">
        <v>193772.58110879699</v>
      </c>
      <c r="C162" s="14">
        <v>201254.71251154601</v>
      </c>
      <c r="D162" s="6">
        <v>6037</v>
      </c>
      <c r="E162" s="1">
        <v>2014</v>
      </c>
      <c r="F162" s="1">
        <v>6</v>
      </c>
      <c r="G162" s="1" t="s">
        <v>34</v>
      </c>
      <c r="H162" s="12">
        <v>41791</v>
      </c>
      <c r="I162" s="1">
        <v>8</v>
      </c>
      <c r="J162" s="1">
        <v>1</v>
      </c>
      <c r="K162" s="1" t="s">
        <v>29</v>
      </c>
      <c r="L162" s="1" t="s">
        <v>22</v>
      </c>
      <c r="M162" s="15">
        <f t="shared" si="16"/>
        <v>32.097495628424213</v>
      </c>
      <c r="N162" s="15">
        <f t="shared" si="17"/>
        <v>33.336874691327814</v>
      </c>
      <c r="O162" s="14">
        <f t="shared" si="18"/>
        <v>-7482.1314027490153</v>
      </c>
      <c r="P162" s="13">
        <f t="shared" si="19"/>
        <v>-3.8612952152131584E-2</v>
      </c>
      <c r="Q162" s="15">
        <f t="shared" si="20"/>
        <v>-1.2393790629036019</v>
      </c>
      <c r="R162" s="13">
        <f t="shared" si="21"/>
        <v>-3.8612952152131744E-2</v>
      </c>
      <c r="S162" s="15">
        <f t="shared" si="22"/>
        <v>35.267973231772061</v>
      </c>
      <c r="T162" s="15">
        <f t="shared" si="23"/>
        <v>32.258015845182236</v>
      </c>
    </row>
    <row r="163" spans="1:20" x14ac:dyDescent="0.3">
      <c r="A163" s="5">
        <v>41799.083333333336</v>
      </c>
      <c r="B163" s="14">
        <v>214177.98344261799</v>
      </c>
      <c r="C163" s="14">
        <v>220255.219178828</v>
      </c>
      <c r="D163" s="6">
        <v>6607</v>
      </c>
      <c r="E163" s="1">
        <v>2014</v>
      </c>
      <c r="F163" s="1">
        <v>6</v>
      </c>
      <c r="G163" s="1" t="s">
        <v>34</v>
      </c>
      <c r="H163" s="12">
        <v>41791</v>
      </c>
      <c r="I163" s="1">
        <v>9</v>
      </c>
      <c r="J163" s="1">
        <v>2</v>
      </c>
      <c r="K163" s="1" t="s">
        <v>21</v>
      </c>
      <c r="L163" s="1" t="s">
        <v>22</v>
      </c>
      <c r="M163" s="15">
        <f t="shared" si="16"/>
        <v>32.416828128139549</v>
      </c>
      <c r="N163" s="15">
        <f t="shared" si="17"/>
        <v>33.336645857246559</v>
      </c>
      <c r="O163" s="14">
        <f t="shared" si="18"/>
        <v>-6077.2357362100156</v>
      </c>
      <c r="P163" s="13">
        <f t="shared" si="19"/>
        <v>-2.8374698643281477E-2</v>
      </c>
      <c r="Q163" s="15">
        <f t="shared" si="20"/>
        <v>-0.91981772910700954</v>
      </c>
      <c r="R163" s="13">
        <f t="shared" si="21"/>
        <v>-2.837469864328146E-2</v>
      </c>
      <c r="S163" s="15">
        <f t="shared" si="22"/>
        <v>35.267973231772061</v>
      </c>
      <c r="T163" s="15">
        <f t="shared" si="23"/>
        <v>32.257120524539019</v>
      </c>
    </row>
    <row r="164" spans="1:20" x14ac:dyDescent="0.3">
      <c r="A164" s="5">
        <v>41800.083333333336</v>
      </c>
      <c r="B164" s="14">
        <v>188334.52117068</v>
      </c>
      <c r="C164" s="14">
        <v>195254.781003702</v>
      </c>
      <c r="D164" s="6">
        <v>5857</v>
      </c>
      <c r="E164" s="1">
        <v>2014</v>
      </c>
      <c r="F164" s="1">
        <v>6</v>
      </c>
      <c r="G164" s="1" t="s">
        <v>34</v>
      </c>
      <c r="H164" s="12">
        <v>41791</v>
      </c>
      <c r="I164" s="1">
        <v>10</v>
      </c>
      <c r="J164" s="1">
        <v>3</v>
      </c>
      <c r="K164" s="1" t="s">
        <v>23</v>
      </c>
      <c r="L164" s="1" t="s">
        <v>22</v>
      </c>
      <c r="M164" s="15">
        <f t="shared" si="16"/>
        <v>32.155458625692333</v>
      </c>
      <c r="N164" s="15">
        <f t="shared" si="17"/>
        <v>33.33699522002766</v>
      </c>
      <c r="O164" s="14">
        <f t="shared" si="18"/>
        <v>-6920.2598330219917</v>
      </c>
      <c r="P164" s="13">
        <f t="shared" si="19"/>
        <v>-3.6744510724884251E-2</v>
      </c>
      <c r="Q164" s="15">
        <f t="shared" si="20"/>
        <v>-1.1815365943353271</v>
      </c>
      <c r="R164" s="13">
        <f t="shared" si="21"/>
        <v>-3.6744510724884355E-2</v>
      </c>
      <c r="S164" s="15">
        <f t="shared" si="22"/>
        <v>35.267973231772061</v>
      </c>
      <c r="T164" s="15">
        <f t="shared" si="23"/>
        <v>32.246797985680857</v>
      </c>
    </row>
    <row r="165" spans="1:20" x14ac:dyDescent="0.3">
      <c r="A165" s="5">
        <v>41801.083333333336</v>
      </c>
      <c r="B165" s="14">
        <v>174324.99481546</v>
      </c>
      <c r="C165" s="14">
        <v>180978.60103822901</v>
      </c>
      <c r="D165" s="6">
        <v>5429</v>
      </c>
      <c r="E165" s="1">
        <v>2014</v>
      </c>
      <c r="F165" s="1">
        <v>6</v>
      </c>
      <c r="G165" s="1" t="s">
        <v>34</v>
      </c>
      <c r="H165" s="12">
        <v>41791</v>
      </c>
      <c r="I165" s="1">
        <v>11</v>
      </c>
      <c r="J165" s="1">
        <v>4</v>
      </c>
      <c r="K165" s="1" t="s">
        <v>25</v>
      </c>
      <c r="L165" s="1" t="s">
        <v>22</v>
      </c>
      <c r="M165" s="15">
        <f t="shared" si="16"/>
        <v>32.109964047791493</v>
      </c>
      <c r="N165" s="15">
        <f t="shared" si="17"/>
        <v>33.335531596652977</v>
      </c>
      <c r="O165" s="14">
        <f t="shared" si="18"/>
        <v>-6653.6062227690127</v>
      </c>
      <c r="P165" s="13">
        <f t="shared" si="19"/>
        <v>-3.8167826878827693E-2</v>
      </c>
      <c r="Q165" s="15">
        <f t="shared" si="20"/>
        <v>-1.2255675488614841</v>
      </c>
      <c r="R165" s="13">
        <f t="shared" si="21"/>
        <v>-3.8167826878827603E-2</v>
      </c>
      <c r="S165" s="15">
        <f t="shared" si="22"/>
        <v>35.267973231772061</v>
      </c>
      <c r="T165" s="15">
        <f t="shared" si="23"/>
        <v>32.235617600129999</v>
      </c>
    </row>
    <row r="166" spans="1:20" x14ac:dyDescent="0.3">
      <c r="A166" s="5">
        <v>41802.083333333336</v>
      </c>
      <c r="B166" s="14">
        <v>200271.56431625999</v>
      </c>
      <c r="C166" s="14">
        <v>207757.70297321599</v>
      </c>
      <c r="D166" s="6">
        <v>6232</v>
      </c>
      <c r="E166" s="1">
        <v>2014</v>
      </c>
      <c r="F166" s="1">
        <v>6</v>
      </c>
      <c r="G166" s="1" t="s">
        <v>34</v>
      </c>
      <c r="H166" s="12">
        <v>41791</v>
      </c>
      <c r="I166" s="1">
        <v>12</v>
      </c>
      <c r="J166" s="1">
        <v>5</v>
      </c>
      <c r="K166" s="1" t="s">
        <v>26</v>
      </c>
      <c r="L166" s="1" t="s">
        <v>22</v>
      </c>
      <c r="M166" s="15">
        <f t="shared" si="16"/>
        <v>32.136001976293322</v>
      </c>
      <c r="N166" s="15">
        <f t="shared" si="17"/>
        <v>33.337243737679074</v>
      </c>
      <c r="O166" s="14">
        <f t="shared" si="18"/>
        <v>-7486.1386569559982</v>
      </c>
      <c r="P166" s="13">
        <f t="shared" si="19"/>
        <v>-3.7379937998258304E-2</v>
      </c>
      <c r="Q166" s="15">
        <f t="shared" si="20"/>
        <v>-1.2012417613857522</v>
      </c>
      <c r="R166" s="13">
        <f t="shared" si="21"/>
        <v>-3.7379937998258353E-2</v>
      </c>
      <c r="S166" s="15">
        <f t="shared" si="22"/>
        <v>35.267973231772061</v>
      </c>
      <c r="T166" s="15">
        <f t="shared" si="23"/>
        <v>32.224823431608769</v>
      </c>
    </row>
    <row r="167" spans="1:20" x14ac:dyDescent="0.3">
      <c r="A167" s="5">
        <v>41803.083333333336</v>
      </c>
      <c r="B167" s="14">
        <v>468701.63017391402</v>
      </c>
      <c r="C167" s="14">
        <v>486180.54436187999</v>
      </c>
      <c r="D167" s="6">
        <v>14585</v>
      </c>
      <c r="E167" s="1">
        <v>2014</v>
      </c>
      <c r="F167" s="1">
        <v>6</v>
      </c>
      <c r="G167" s="1" t="s">
        <v>34</v>
      </c>
      <c r="H167" s="12">
        <v>41791</v>
      </c>
      <c r="I167" s="1">
        <v>13</v>
      </c>
      <c r="J167" s="1">
        <v>6</v>
      </c>
      <c r="K167" s="1" t="s">
        <v>27</v>
      </c>
      <c r="L167" s="1" t="s">
        <v>22</v>
      </c>
      <c r="M167" s="15">
        <f t="shared" si="16"/>
        <v>32.135867684190195</v>
      </c>
      <c r="N167" s="15">
        <f t="shared" si="17"/>
        <v>33.334284837976</v>
      </c>
      <c r="O167" s="14">
        <f t="shared" si="18"/>
        <v>-17478.914187965973</v>
      </c>
      <c r="P167" s="13">
        <f t="shared" si="19"/>
        <v>-3.7292198410917278E-2</v>
      </c>
      <c r="Q167" s="15">
        <f t="shared" si="20"/>
        <v>-1.1984171537858046</v>
      </c>
      <c r="R167" s="13">
        <f t="shared" si="21"/>
        <v>-3.729219841091725E-2</v>
      </c>
      <c r="S167" s="15">
        <f t="shared" si="22"/>
        <v>35.267973231772061</v>
      </c>
      <c r="T167" s="15">
        <f t="shared" si="23"/>
        <v>32.223889762374931</v>
      </c>
    </row>
    <row r="168" spans="1:20" x14ac:dyDescent="0.3">
      <c r="A168" s="5">
        <v>41804.083333333336</v>
      </c>
      <c r="B168" s="14">
        <v>473425.754156949</v>
      </c>
      <c r="C168" s="14">
        <v>492135.29229443503</v>
      </c>
      <c r="D168" s="6">
        <v>14745</v>
      </c>
      <c r="E168" s="1">
        <v>2014</v>
      </c>
      <c r="F168" s="1">
        <v>6</v>
      </c>
      <c r="G168" s="1" t="s">
        <v>34</v>
      </c>
      <c r="H168" s="12">
        <v>41791</v>
      </c>
      <c r="I168" s="1">
        <v>14</v>
      </c>
      <c r="J168" s="1">
        <v>7</v>
      </c>
      <c r="K168" s="1" t="s">
        <v>28</v>
      </c>
      <c r="L168" s="1" t="s">
        <v>22</v>
      </c>
      <c r="M168" s="15">
        <f t="shared" si="16"/>
        <v>32.10754521240753</v>
      </c>
      <c r="N168" s="15">
        <f t="shared" si="17"/>
        <v>33.376418602538827</v>
      </c>
      <c r="O168" s="14">
        <f t="shared" si="18"/>
        <v>-18709.53813748603</v>
      </c>
      <c r="P168" s="13">
        <f t="shared" si="19"/>
        <v>-3.9519476862434247E-2</v>
      </c>
      <c r="Q168" s="15">
        <f t="shared" si="20"/>
        <v>-1.2688733901312972</v>
      </c>
      <c r="R168" s="13">
        <f t="shared" si="21"/>
        <v>-3.9519476862434136E-2</v>
      </c>
      <c r="S168" s="15">
        <f t="shared" si="22"/>
        <v>35.267973231772061</v>
      </c>
      <c r="T168" s="15">
        <f t="shared" si="23"/>
        <v>32.223242320742344</v>
      </c>
    </row>
    <row r="169" spans="1:20" x14ac:dyDescent="0.3">
      <c r="A169" s="5">
        <v>41805.083333333336</v>
      </c>
      <c r="B169" s="14">
        <v>224232.12137509501</v>
      </c>
      <c r="C169" s="14">
        <v>233554.03224643401</v>
      </c>
      <c r="D169" s="6">
        <v>6991</v>
      </c>
      <c r="E169" s="1">
        <v>2014</v>
      </c>
      <c r="F169" s="1">
        <v>6</v>
      </c>
      <c r="G169" s="1" t="s">
        <v>34</v>
      </c>
      <c r="H169" s="12">
        <v>41791</v>
      </c>
      <c r="I169" s="1">
        <v>15</v>
      </c>
      <c r="J169" s="1">
        <v>1</v>
      </c>
      <c r="K169" s="1" t="s">
        <v>29</v>
      </c>
      <c r="L169" s="1" t="s">
        <v>22</v>
      </c>
      <c r="M169" s="15">
        <f t="shared" si="16"/>
        <v>32.074398709068092</v>
      </c>
      <c r="N169" s="15">
        <f t="shared" si="17"/>
        <v>33.407814654045772</v>
      </c>
      <c r="O169" s="14">
        <f t="shared" si="18"/>
        <v>-9321.9108713390015</v>
      </c>
      <c r="P169" s="13">
        <f t="shared" si="19"/>
        <v>-4.1572593677358688E-2</v>
      </c>
      <c r="Q169" s="15">
        <f t="shared" si="20"/>
        <v>-1.3334159449776806</v>
      </c>
      <c r="R169" s="13">
        <f t="shared" si="21"/>
        <v>-4.1572593677358521E-2</v>
      </c>
      <c r="S169" s="15">
        <f t="shared" si="22"/>
        <v>35.267973231772061</v>
      </c>
      <c r="T169" s="15">
        <f t="shared" si="23"/>
        <v>32.223283520668915</v>
      </c>
    </row>
    <row r="170" spans="1:20" x14ac:dyDescent="0.3">
      <c r="A170" s="5">
        <v>41806.083333333336</v>
      </c>
      <c r="B170" s="14">
        <v>185606.27501469501</v>
      </c>
      <c r="C170" s="14">
        <v>193340.31536521201</v>
      </c>
      <c r="D170" s="6">
        <v>5788</v>
      </c>
      <c r="E170" s="1">
        <v>2014</v>
      </c>
      <c r="F170" s="1">
        <v>6</v>
      </c>
      <c r="G170" s="1" t="s">
        <v>34</v>
      </c>
      <c r="H170" s="12">
        <v>41791</v>
      </c>
      <c r="I170" s="1">
        <v>16</v>
      </c>
      <c r="J170" s="1">
        <v>2</v>
      </c>
      <c r="K170" s="1" t="s">
        <v>21</v>
      </c>
      <c r="L170" s="1" t="s">
        <v>22</v>
      </c>
      <c r="M170" s="15">
        <f t="shared" si="16"/>
        <v>32.067428302469764</v>
      </c>
      <c r="N170" s="15">
        <f t="shared" si="17"/>
        <v>33.403648128060127</v>
      </c>
      <c r="O170" s="14">
        <f t="shared" si="18"/>
        <v>-7734.0403505169961</v>
      </c>
      <c r="P170" s="13">
        <f t="shared" si="19"/>
        <v>-4.1669067222563833E-2</v>
      </c>
      <c r="Q170" s="15">
        <f t="shared" si="20"/>
        <v>-1.3362198255903621</v>
      </c>
      <c r="R170" s="13">
        <f t="shared" si="21"/>
        <v>-4.1669067222563944E-2</v>
      </c>
      <c r="S170" s="15">
        <f t="shared" si="22"/>
        <v>35.267973231772061</v>
      </c>
      <c r="T170" s="15">
        <f t="shared" si="23"/>
        <v>32.220241393078176</v>
      </c>
    </row>
    <row r="171" spans="1:20" x14ac:dyDescent="0.3">
      <c r="A171" s="5">
        <v>41807.083333333336</v>
      </c>
      <c r="B171" s="14">
        <v>212687.509414812</v>
      </c>
      <c r="C171" s="14">
        <v>221403.64501723999</v>
      </c>
      <c r="D171" s="6">
        <v>6632</v>
      </c>
      <c r="E171" s="1">
        <v>2014</v>
      </c>
      <c r="F171" s="1">
        <v>6</v>
      </c>
      <c r="G171" s="1" t="s">
        <v>34</v>
      </c>
      <c r="H171" s="12">
        <v>41791</v>
      </c>
      <c r="I171" s="1">
        <v>17</v>
      </c>
      <c r="J171" s="1">
        <v>3</v>
      </c>
      <c r="K171" s="1" t="s">
        <v>23</v>
      </c>
      <c r="L171" s="1" t="s">
        <v>22</v>
      </c>
      <c r="M171" s="15">
        <f t="shared" si="16"/>
        <v>32.069889839386612</v>
      </c>
      <c r="N171" s="15">
        <f t="shared" si="17"/>
        <v>33.384144302961396</v>
      </c>
      <c r="O171" s="14">
        <f t="shared" si="18"/>
        <v>-8716.1356024279958</v>
      </c>
      <c r="P171" s="13">
        <f t="shared" si="19"/>
        <v>-4.098094724231599E-2</v>
      </c>
      <c r="Q171" s="15">
        <f t="shared" si="20"/>
        <v>-1.3142544635747839</v>
      </c>
      <c r="R171" s="13">
        <f t="shared" si="21"/>
        <v>-4.0980947242315852E-2</v>
      </c>
      <c r="S171" s="15">
        <f t="shared" si="22"/>
        <v>35.267973231772061</v>
      </c>
      <c r="T171" s="15">
        <f t="shared" si="23"/>
        <v>32.210114514617615</v>
      </c>
    </row>
    <row r="172" spans="1:20" x14ac:dyDescent="0.3">
      <c r="A172" s="5">
        <v>41808.083333333336</v>
      </c>
      <c r="B172" s="14">
        <v>184259.69242149999</v>
      </c>
      <c r="C172" s="14">
        <v>192057.510847078</v>
      </c>
      <c r="D172" s="6">
        <v>5752</v>
      </c>
      <c r="E172" s="1">
        <v>2014</v>
      </c>
      <c r="F172" s="1">
        <v>6</v>
      </c>
      <c r="G172" s="1" t="s">
        <v>34</v>
      </c>
      <c r="H172" s="12">
        <v>41791</v>
      </c>
      <c r="I172" s="1">
        <v>18</v>
      </c>
      <c r="J172" s="1">
        <v>4</v>
      </c>
      <c r="K172" s="1" t="s">
        <v>25</v>
      </c>
      <c r="L172" s="1" t="s">
        <v>22</v>
      </c>
      <c r="M172" s="15">
        <f t="shared" si="16"/>
        <v>32.034021630997913</v>
      </c>
      <c r="N172" s="15">
        <f t="shared" si="17"/>
        <v>33.389692428212449</v>
      </c>
      <c r="O172" s="14">
        <f t="shared" si="18"/>
        <v>-7797.818425578007</v>
      </c>
      <c r="P172" s="13">
        <f t="shared" si="19"/>
        <v>-4.231971910460073E-2</v>
      </c>
      <c r="Q172" s="15">
        <f t="shared" si="20"/>
        <v>-1.3556707972145361</v>
      </c>
      <c r="R172" s="13">
        <f t="shared" si="21"/>
        <v>-4.231971910460075E-2</v>
      </c>
      <c r="S172" s="15">
        <f t="shared" si="22"/>
        <v>35.267973231772061</v>
      </c>
      <c r="T172" s="15">
        <f t="shared" si="23"/>
        <v>32.19640689675068</v>
      </c>
    </row>
    <row r="173" spans="1:20" x14ac:dyDescent="0.3">
      <c r="A173" s="5">
        <v>41809.083333333336</v>
      </c>
      <c r="B173" s="14">
        <v>113735.816157779</v>
      </c>
      <c r="C173" s="14">
        <v>119544.01976408</v>
      </c>
      <c r="D173" s="6">
        <v>3578</v>
      </c>
      <c r="E173" s="1">
        <v>2014</v>
      </c>
      <c r="F173" s="1">
        <v>6</v>
      </c>
      <c r="G173" s="1" t="s">
        <v>34</v>
      </c>
      <c r="H173" s="12">
        <v>41791</v>
      </c>
      <c r="I173" s="1">
        <v>19</v>
      </c>
      <c r="J173" s="1">
        <v>5</v>
      </c>
      <c r="K173" s="1" t="s">
        <v>26</v>
      </c>
      <c r="L173" s="1" t="s">
        <v>22</v>
      </c>
      <c r="M173" s="15">
        <f t="shared" si="16"/>
        <v>31.7875394515872</v>
      </c>
      <c r="N173" s="15">
        <f t="shared" si="17"/>
        <v>33.410849570732253</v>
      </c>
      <c r="O173" s="14">
        <f t="shared" si="18"/>
        <v>-5808.2036063010019</v>
      </c>
      <c r="P173" s="13">
        <f t="shared" si="19"/>
        <v>-5.1067498370466022E-2</v>
      </c>
      <c r="Q173" s="15">
        <f t="shared" si="20"/>
        <v>-1.623310119145053</v>
      </c>
      <c r="R173" s="13">
        <f t="shared" si="21"/>
        <v>-5.1067498370466001E-2</v>
      </c>
      <c r="S173" s="15">
        <f t="shared" si="22"/>
        <v>35.267973231772061</v>
      </c>
      <c r="T173" s="15">
        <f t="shared" si="23"/>
        <v>32.186180541476048</v>
      </c>
    </row>
    <row r="174" spans="1:20" x14ac:dyDescent="0.3">
      <c r="A174" s="5">
        <v>41810.083333333336</v>
      </c>
      <c r="B174" s="14">
        <v>203165.08297513999</v>
      </c>
      <c r="C174" s="14">
        <v>205350.643078722</v>
      </c>
      <c r="D174" s="6">
        <v>6119</v>
      </c>
      <c r="E174" s="1">
        <v>2014</v>
      </c>
      <c r="F174" s="1">
        <v>6</v>
      </c>
      <c r="G174" s="1" t="s">
        <v>34</v>
      </c>
      <c r="H174" s="12">
        <v>41791</v>
      </c>
      <c r="I174" s="1">
        <v>20</v>
      </c>
      <c r="J174" s="1">
        <v>6</v>
      </c>
      <c r="K174" s="1" t="s">
        <v>27</v>
      </c>
      <c r="L174" s="1" t="s">
        <v>22</v>
      </c>
      <c r="M174" s="15">
        <f t="shared" si="16"/>
        <v>33.202334200872691</v>
      </c>
      <c r="N174" s="15">
        <f t="shared" si="17"/>
        <v>33.55951022695244</v>
      </c>
      <c r="O174" s="14">
        <f t="shared" si="18"/>
        <v>-2185.5601035820146</v>
      </c>
      <c r="P174" s="13">
        <f t="shared" si="19"/>
        <v>-1.0757557704191952E-2</v>
      </c>
      <c r="Q174" s="15">
        <f t="shared" si="20"/>
        <v>-0.35717602607974897</v>
      </c>
      <c r="R174" s="13">
        <f t="shared" si="21"/>
        <v>-1.0757557704191801E-2</v>
      </c>
      <c r="S174" s="15">
        <f t="shared" si="22"/>
        <v>35.267973231772061</v>
      </c>
      <c r="T174" s="15">
        <f t="shared" si="23"/>
        <v>32.222750371045876</v>
      </c>
    </row>
    <row r="175" spans="1:20" x14ac:dyDescent="0.3">
      <c r="A175" s="5">
        <v>41811.083333333336</v>
      </c>
      <c r="B175" s="14">
        <v>203345.244564755</v>
      </c>
      <c r="C175" s="14">
        <v>206918.912593866</v>
      </c>
      <c r="D175" s="6">
        <v>6161</v>
      </c>
      <c r="E175" s="1">
        <v>2014</v>
      </c>
      <c r="F175" s="1">
        <v>6</v>
      </c>
      <c r="G175" s="1" t="s">
        <v>34</v>
      </c>
      <c r="H175" s="12">
        <v>41791</v>
      </c>
      <c r="I175" s="1">
        <v>21</v>
      </c>
      <c r="J175" s="1">
        <v>7</v>
      </c>
      <c r="K175" s="1" t="s">
        <v>28</v>
      </c>
      <c r="L175" s="1" t="s">
        <v>22</v>
      </c>
      <c r="M175" s="15">
        <f t="shared" si="16"/>
        <v>33.005233657645675</v>
      </c>
      <c r="N175" s="15">
        <f t="shared" si="17"/>
        <v>33.585280408028893</v>
      </c>
      <c r="O175" s="14">
        <f t="shared" si="18"/>
        <v>-3573.6680291109951</v>
      </c>
      <c r="P175" s="13">
        <f t="shared" si="19"/>
        <v>-1.7574387032065389E-2</v>
      </c>
      <c r="Q175" s="15">
        <f t="shared" si="20"/>
        <v>-0.58004675038321807</v>
      </c>
      <c r="R175" s="13">
        <f t="shared" si="21"/>
        <v>-1.7574387032065444E-2</v>
      </c>
      <c r="S175" s="15">
        <f t="shared" si="22"/>
        <v>35.267973231772061</v>
      </c>
      <c r="T175" s="15">
        <f t="shared" si="23"/>
        <v>32.197765546399538</v>
      </c>
    </row>
    <row r="176" spans="1:20" x14ac:dyDescent="0.3">
      <c r="A176" s="5">
        <v>41812.083333333336</v>
      </c>
      <c r="B176" s="14">
        <v>134944.48896695601</v>
      </c>
      <c r="C176" s="14">
        <v>135372.52702503101</v>
      </c>
      <c r="D176" s="6">
        <v>4015</v>
      </c>
      <c r="E176" s="1">
        <v>2014</v>
      </c>
      <c r="F176" s="1">
        <v>6</v>
      </c>
      <c r="G176" s="1" t="s">
        <v>34</v>
      </c>
      <c r="H176" s="12">
        <v>41791</v>
      </c>
      <c r="I176" s="1">
        <v>22</v>
      </c>
      <c r="J176" s="1">
        <v>1</v>
      </c>
      <c r="K176" s="1" t="s">
        <v>29</v>
      </c>
      <c r="L176" s="1" t="s">
        <v>22</v>
      </c>
      <c r="M176" s="15">
        <f t="shared" si="16"/>
        <v>33.610084425144706</v>
      </c>
      <c r="N176" s="15">
        <f t="shared" si="17"/>
        <v>33.716694153183319</v>
      </c>
      <c r="O176" s="14">
        <f t="shared" si="18"/>
        <v>-428.03805807500612</v>
      </c>
      <c r="P176" s="13">
        <f t="shared" si="19"/>
        <v>-3.1719565678582119E-3</v>
      </c>
      <c r="Q176" s="15">
        <f t="shared" si="20"/>
        <v>-0.10660972803861313</v>
      </c>
      <c r="R176" s="13">
        <f t="shared" si="21"/>
        <v>-3.1719565678584019E-3</v>
      </c>
      <c r="S176" s="15">
        <f t="shared" si="22"/>
        <v>35.267973231772061</v>
      </c>
      <c r="T176" s="15">
        <f t="shared" si="23"/>
        <v>32.24587359931715</v>
      </c>
    </row>
    <row r="177" spans="1:20" x14ac:dyDescent="0.3">
      <c r="A177" s="5">
        <v>41813.083333333336</v>
      </c>
      <c r="B177" s="14">
        <v>138298.210244966</v>
      </c>
      <c r="C177" s="14">
        <v>139206.026890081</v>
      </c>
      <c r="D177" s="6">
        <v>4133</v>
      </c>
      <c r="E177" s="1">
        <v>2014</v>
      </c>
      <c r="F177" s="1">
        <v>6</v>
      </c>
      <c r="G177" s="1" t="s">
        <v>34</v>
      </c>
      <c r="H177" s="12">
        <v>41791</v>
      </c>
      <c r="I177" s="1">
        <v>23</v>
      </c>
      <c r="J177" s="1">
        <v>2</v>
      </c>
      <c r="K177" s="1" t="s">
        <v>21</v>
      </c>
      <c r="L177" s="1" t="s">
        <v>22</v>
      </c>
      <c r="M177" s="15">
        <f t="shared" si="16"/>
        <v>33.461942957891601</v>
      </c>
      <c r="N177" s="15">
        <f t="shared" si="17"/>
        <v>33.681593730965645</v>
      </c>
      <c r="O177" s="14">
        <f t="shared" si="18"/>
        <v>-907.81664511500276</v>
      </c>
      <c r="P177" s="13">
        <f t="shared" si="19"/>
        <v>-6.5641966263120669E-3</v>
      </c>
      <c r="Q177" s="15">
        <f t="shared" si="20"/>
        <v>-0.21965077307404357</v>
      </c>
      <c r="R177" s="13">
        <f t="shared" si="21"/>
        <v>-6.5641966263122074E-3</v>
      </c>
      <c r="S177" s="15">
        <f t="shared" si="22"/>
        <v>35.267973231772061</v>
      </c>
      <c r="T177" s="15">
        <f t="shared" si="23"/>
        <v>32.288701737754018</v>
      </c>
    </row>
    <row r="178" spans="1:20" x14ac:dyDescent="0.3">
      <c r="A178" s="5">
        <v>41814.083333333336</v>
      </c>
      <c r="B178" s="14">
        <v>36692.679861900499</v>
      </c>
      <c r="C178" s="14">
        <v>35299.064235203201</v>
      </c>
      <c r="D178" s="6">
        <v>1047</v>
      </c>
      <c r="E178" s="1">
        <v>2014</v>
      </c>
      <c r="F178" s="1">
        <v>6</v>
      </c>
      <c r="G178" s="1" t="s">
        <v>34</v>
      </c>
      <c r="H178" s="12">
        <v>41791</v>
      </c>
      <c r="I178" s="1">
        <v>24</v>
      </c>
      <c r="J178" s="1">
        <v>3</v>
      </c>
      <c r="K178" s="1" t="s">
        <v>23</v>
      </c>
      <c r="L178" s="1" t="s">
        <v>22</v>
      </c>
      <c r="M178" s="15">
        <f t="shared" si="16"/>
        <v>35.045539505158068</v>
      </c>
      <c r="N178" s="15">
        <f t="shared" si="17"/>
        <v>33.714483510222735</v>
      </c>
      <c r="O178" s="14">
        <f t="shared" si="18"/>
        <v>1393.6156266972976</v>
      </c>
      <c r="P178" s="13">
        <f t="shared" si="19"/>
        <v>3.7980753434810992E-2</v>
      </c>
      <c r="Q178" s="15">
        <f t="shared" si="20"/>
        <v>1.3310559949353333</v>
      </c>
      <c r="R178" s="13">
        <f t="shared" si="21"/>
        <v>3.7980753434810902E-2</v>
      </c>
      <c r="S178" s="15">
        <f t="shared" si="22"/>
        <v>35.267973231772061</v>
      </c>
      <c r="T178" s="15">
        <f t="shared" si="23"/>
        <v>32.376041680478309</v>
      </c>
    </row>
    <row r="179" spans="1:20" x14ac:dyDescent="0.3">
      <c r="A179" s="5">
        <v>41815.083333333336</v>
      </c>
      <c r="B179" s="14">
        <v>56077.542692130701</v>
      </c>
      <c r="C179" s="14">
        <v>53925.257631037697</v>
      </c>
      <c r="D179" s="6">
        <v>1601</v>
      </c>
      <c r="E179" s="1">
        <v>2014</v>
      </c>
      <c r="F179" s="1">
        <v>6</v>
      </c>
      <c r="G179" s="1" t="s">
        <v>34</v>
      </c>
      <c r="H179" s="12">
        <v>41791</v>
      </c>
      <c r="I179" s="1">
        <v>25</v>
      </c>
      <c r="J179" s="1">
        <v>4</v>
      </c>
      <c r="K179" s="1" t="s">
        <v>25</v>
      </c>
      <c r="L179" s="1" t="s">
        <v>22</v>
      </c>
      <c r="M179" s="15">
        <f t="shared" si="16"/>
        <v>35.026572574722486</v>
      </c>
      <c r="N179" s="15">
        <f t="shared" si="17"/>
        <v>33.682234622759339</v>
      </c>
      <c r="O179" s="14">
        <f t="shared" si="18"/>
        <v>2152.2850610930036</v>
      </c>
      <c r="P179" s="13">
        <f t="shared" si="19"/>
        <v>3.8380516651900856E-2</v>
      </c>
      <c r="Q179" s="15">
        <f t="shared" si="20"/>
        <v>1.3443379519631478</v>
      </c>
      <c r="R179" s="13">
        <f t="shared" si="21"/>
        <v>3.8380516651900787E-2</v>
      </c>
      <c r="S179" s="15">
        <f t="shared" si="22"/>
        <v>35.267973231772061</v>
      </c>
      <c r="T179" s="15">
        <f t="shared" si="23"/>
        <v>32.466434993585935</v>
      </c>
    </row>
    <row r="180" spans="1:20" x14ac:dyDescent="0.3">
      <c r="A180" s="5">
        <v>41816.083333333336</v>
      </c>
      <c r="B180" s="14">
        <v>55780.707452340699</v>
      </c>
      <c r="C180" s="14">
        <v>53688.241195050701</v>
      </c>
      <c r="D180" s="6">
        <v>1592</v>
      </c>
      <c r="E180" s="1">
        <v>2014</v>
      </c>
      <c r="F180" s="1">
        <v>6</v>
      </c>
      <c r="G180" s="1" t="s">
        <v>34</v>
      </c>
      <c r="H180" s="12">
        <v>41791</v>
      </c>
      <c r="I180" s="1">
        <v>26</v>
      </c>
      <c r="J180" s="1">
        <v>5</v>
      </c>
      <c r="K180" s="1" t="s">
        <v>26</v>
      </c>
      <c r="L180" s="1" t="s">
        <v>22</v>
      </c>
      <c r="M180" s="15">
        <f t="shared" si="16"/>
        <v>35.038132821822046</v>
      </c>
      <c r="N180" s="15">
        <f t="shared" si="17"/>
        <v>33.723769594881091</v>
      </c>
      <c r="O180" s="14">
        <f t="shared" si="18"/>
        <v>2092.4662572899979</v>
      </c>
      <c r="P180" s="13">
        <f t="shared" si="19"/>
        <v>3.7512364988877396E-2</v>
      </c>
      <c r="Q180" s="15">
        <f t="shared" si="20"/>
        <v>1.3143632269409551</v>
      </c>
      <c r="R180" s="13">
        <f t="shared" si="21"/>
        <v>3.7512364988877445E-2</v>
      </c>
      <c r="S180" s="15">
        <f t="shared" si="22"/>
        <v>35.267973231772061</v>
      </c>
      <c r="T180" s="15">
        <f t="shared" si="23"/>
        <v>32.561078037291352</v>
      </c>
    </row>
    <row r="181" spans="1:20" x14ac:dyDescent="0.3">
      <c r="A181" s="5">
        <v>41817.083333333336</v>
      </c>
      <c r="B181" s="14">
        <v>131721.23831678901</v>
      </c>
      <c r="C181" s="14">
        <v>127302.427134721</v>
      </c>
      <c r="D181" s="6">
        <v>3759</v>
      </c>
      <c r="E181" s="1">
        <v>2014</v>
      </c>
      <c r="F181" s="1">
        <v>6</v>
      </c>
      <c r="G181" s="1" t="s">
        <v>34</v>
      </c>
      <c r="H181" s="12">
        <v>41791</v>
      </c>
      <c r="I181" s="1">
        <v>27</v>
      </c>
      <c r="J181" s="1">
        <v>6</v>
      </c>
      <c r="K181" s="1" t="s">
        <v>27</v>
      </c>
      <c r="L181" s="1" t="s">
        <v>22</v>
      </c>
      <c r="M181" s="15">
        <f t="shared" si="16"/>
        <v>35.04156379802847</v>
      </c>
      <c r="N181" s="15">
        <f t="shared" si="17"/>
        <v>33.866035417590048</v>
      </c>
      <c r="O181" s="14">
        <f t="shared" si="18"/>
        <v>4418.811182068006</v>
      </c>
      <c r="P181" s="13">
        <f t="shared" si="19"/>
        <v>3.3546687220179214E-2</v>
      </c>
      <c r="Q181" s="15">
        <f t="shared" si="20"/>
        <v>1.175528380438422</v>
      </c>
      <c r="R181" s="13">
        <f t="shared" si="21"/>
        <v>3.354668722017938E-2</v>
      </c>
      <c r="S181" s="15">
        <f t="shared" si="22"/>
        <v>35.267973231772061</v>
      </c>
      <c r="T181" s="15">
        <f t="shared" si="23"/>
        <v>32.657217123275387</v>
      </c>
    </row>
    <row r="182" spans="1:20" x14ac:dyDescent="0.3">
      <c r="A182" s="5">
        <v>41818.083333333336</v>
      </c>
      <c r="B182" s="14">
        <v>146169.07657195299</v>
      </c>
      <c r="C182" s="14">
        <v>141012.32941184999</v>
      </c>
      <c r="D182" s="6">
        <v>4172</v>
      </c>
      <c r="E182" s="1">
        <v>2014</v>
      </c>
      <c r="F182" s="1">
        <v>6</v>
      </c>
      <c r="G182" s="1" t="s">
        <v>34</v>
      </c>
      <c r="H182" s="12">
        <v>41791</v>
      </c>
      <c r="I182" s="1">
        <v>28</v>
      </c>
      <c r="J182" s="1">
        <v>7</v>
      </c>
      <c r="K182" s="1" t="s">
        <v>28</v>
      </c>
      <c r="L182" s="1" t="s">
        <v>22</v>
      </c>
      <c r="M182" s="15">
        <f t="shared" si="16"/>
        <v>35.03573263949017</v>
      </c>
      <c r="N182" s="15">
        <f t="shared" si="17"/>
        <v>33.799695448669702</v>
      </c>
      <c r="O182" s="14">
        <f t="shared" si="18"/>
        <v>5156.7471601029974</v>
      </c>
      <c r="P182" s="13">
        <f t="shared" si="19"/>
        <v>3.5279330492072609E-2</v>
      </c>
      <c r="Q182" s="15">
        <f t="shared" si="20"/>
        <v>1.2360371908204684</v>
      </c>
      <c r="R182" s="13">
        <f t="shared" si="21"/>
        <v>3.5279330492072589E-2</v>
      </c>
      <c r="S182" s="15">
        <f t="shared" si="22"/>
        <v>35.267973231772061</v>
      </c>
      <c r="T182" s="15">
        <f t="shared" si="23"/>
        <v>32.752755662415673</v>
      </c>
    </row>
    <row r="183" spans="1:20" x14ac:dyDescent="0.3">
      <c r="A183" s="5">
        <v>41819.083333333336</v>
      </c>
      <c r="B183" s="14">
        <v>62073.585412981003</v>
      </c>
      <c r="C183" s="14">
        <v>60083.869836867401</v>
      </c>
      <c r="D183" s="6">
        <v>1772</v>
      </c>
      <c r="E183" s="1">
        <v>2014</v>
      </c>
      <c r="F183" s="1">
        <v>6</v>
      </c>
      <c r="G183" s="1" t="s">
        <v>34</v>
      </c>
      <c r="H183" s="12">
        <v>41791</v>
      </c>
      <c r="I183" s="1">
        <v>29</v>
      </c>
      <c r="J183" s="1">
        <v>1</v>
      </c>
      <c r="K183" s="1" t="s">
        <v>29</v>
      </c>
      <c r="L183" s="1" t="s">
        <v>22</v>
      </c>
      <c r="M183" s="15">
        <f t="shared" si="16"/>
        <v>35.030240075045711</v>
      </c>
      <c r="N183" s="15">
        <f t="shared" si="17"/>
        <v>33.90737575443984</v>
      </c>
      <c r="O183" s="14">
        <f t="shared" si="18"/>
        <v>1989.7155761136019</v>
      </c>
      <c r="P183" s="13">
        <f t="shared" si="19"/>
        <v>3.2054142883415702E-2</v>
      </c>
      <c r="Q183" s="15">
        <f t="shared" si="20"/>
        <v>1.1228643206058706</v>
      </c>
      <c r="R183" s="13">
        <f t="shared" si="21"/>
        <v>3.2054142883415716E-2</v>
      </c>
      <c r="S183" s="15">
        <f t="shared" si="22"/>
        <v>35.267973231772061</v>
      </c>
      <c r="T183" s="15">
        <f t="shared" si="23"/>
        <v>32.847868605452796</v>
      </c>
    </row>
    <row r="184" spans="1:20" x14ac:dyDescent="0.3">
      <c r="A184" s="5">
        <v>41820.083333333336</v>
      </c>
      <c r="B184" s="14">
        <v>93619.846991295693</v>
      </c>
      <c r="C184" s="14">
        <v>90294.376087688303</v>
      </c>
      <c r="D184" s="6">
        <v>2672</v>
      </c>
      <c r="E184" s="1">
        <v>2014</v>
      </c>
      <c r="F184" s="1">
        <v>6</v>
      </c>
      <c r="G184" s="1" t="s">
        <v>34</v>
      </c>
      <c r="H184" s="12">
        <v>41791</v>
      </c>
      <c r="I184" s="1">
        <v>30</v>
      </c>
      <c r="J184" s="1">
        <v>2</v>
      </c>
      <c r="K184" s="1" t="s">
        <v>21</v>
      </c>
      <c r="L184" s="1" t="s">
        <v>22</v>
      </c>
      <c r="M184" s="15">
        <f t="shared" si="16"/>
        <v>35.03736788596396</v>
      </c>
      <c r="N184" s="15">
        <f t="shared" si="17"/>
        <v>33.792805422039038</v>
      </c>
      <c r="O184" s="14">
        <f t="shared" si="18"/>
        <v>3325.4709036073909</v>
      </c>
      <c r="P184" s="13">
        <f t="shared" si="19"/>
        <v>3.5521003403440478E-2</v>
      </c>
      <c r="Q184" s="15">
        <f t="shared" si="20"/>
        <v>1.2445624639249218</v>
      </c>
      <c r="R184" s="13">
        <f t="shared" si="21"/>
        <v>3.5521003403440471E-2</v>
      </c>
      <c r="S184" s="15">
        <f t="shared" si="22"/>
        <v>35.267973231772061</v>
      </c>
      <c r="T184" s="15">
        <f t="shared" si="23"/>
        <v>32.943878889576887</v>
      </c>
    </row>
    <row r="185" spans="1:20" x14ac:dyDescent="0.3">
      <c r="A185" s="5">
        <v>41821.083333333336</v>
      </c>
      <c r="B185" s="14">
        <v>180183.03135601099</v>
      </c>
      <c r="C185" s="14">
        <v>173842.92092590599</v>
      </c>
      <c r="D185" s="6">
        <v>5143</v>
      </c>
      <c r="E185" s="1">
        <v>2014</v>
      </c>
      <c r="F185" s="1">
        <v>7</v>
      </c>
      <c r="G185" s="1" t="s">
        <v>35</v>
      </c>
      <c r="H185" s="12">
        <v>41821</v>
      </c>
      <c r="I185" s="1">
        <v>1</v>
      </c>
      <c r="J185" s="1">
        <v>3</v>
      </c>
      <c r="K185" s="1" t="s">
        <v>23</v>
      </c>
      <c r="L185" s="1" t="s">
        <v>22</v>
      </c>
      <c r="M185" s="15">
        <f t="shared" si="16"/>
        <v>35.034616246550847</v>
      </c>
      <c r="N185" s="15">
        <f t="shared" si="17"/>
        <v>33.80185123972506</v>
      </c>
      <c r="O185" s="14">
        <f t="shared" si="18"/>
        <v>6340.1104301050073</v>
      </c>
      <c r="P185" s="13">
        <f t="shared" si="19"/>
        <v>3.5187056086197308E-2</v>
      </c>
      <c r="Q185" s="15">
        <f t="shared" si="20"/>
        <v>1.2327650068257867</v>
      </c>
      <c r="R185" s="13">
        <f t="shared" si="21"/>
        <v>3.5187056086197384E-2</v>
      </c>
      <c r="S185" s="15">
        <f t="shared" si="22"/>
        <v>35.267973231772061</v>
      </c>
      <c r="T185" s="15">
        <f t="shared" si="23"/>
        <v>33.040330520564076</v>
      </c>
    </row>
    <row r="186" spans="1:20" x14ac:dyDescent="0.3">
      <c r="A186" s="5">
        <v>41822.083333333336</v>
      </c>
      <c r="B186" s="14">
        <v>104760.70623579</v>
      </c>
      <c r="C186" s="14">
        <v>101615.73201573599</v>
      </c>
      <c r="D186" s="6">
        <v>2990</v>
      </c>
      <c r="E186" s="1">
        <v>2014</v>
      </c>
      <c r="F186" s="1">
        <v>7</v>
      </c>
      <c r="G186" s="1" t="s">
        <v>35</v>
      </c>
      <c r="H186" s="12">
        <v>41821</v>
      </c>
      <c r="I186" s="1">
        <v>2</v>
      </c>
      <c r="J186" s="1">
        <v>4</v>
      </c>
      <c r="K186" s="1" t="s">
        <v>25</v>
      </c>
      <c r="L186" s="1" t="s">
        <v>22</v>
      </c>
      <c r="M186" s="15">
        <f t="shared" si="16"/>
        <v>35.037025496919732</v>
      </c>
      <c r="N186" s="15">
        <f t="shared" si="17"/>
        <v>33.985194654092304</v>
      </c>
      <c r="O186" s="14">
        <f t="shared" si="18"/>
        <v>3144.9742200540059</v>
      </c>
      <c r="P186" s="13">
        <f t="shared" si="19"/>
        <v>3.0020551913572058E-2</v>
      </c>
      <c r="Q186" s="15">
        <f t="shared" si="20"/>
        <v>1.0518308428274281</v>
      </c>
      <c r="R186" s="13">
        <f t="shared" si="21"/>
        <v>3.0020551913572099E-2</v>
      </c>
      <c r="S186" s="15">
        <f t="shared" si="22"/>
        <v>35.267973231772061</v>
      </c>
      <c r="T186" s="15">
        <f t="shared" si="23"/>
        <v>33.137407602495394</v>
      </c>
    </row>
    <row r="187" spans="1:20" x14ac:dyDescent="0.3">
      <c r="A187" s="5">
        <v>41823.083333333336</v>
      </c>
      <c r="B187" s="14">
        <v>93450.533684910493</v>
      </c>
      <c r="C187" s="14">
        <v>90927.089657647695</v>
      </c>
      <c r="D187" s="6">
        <v>2667</v>
      </c>
      <c r="E187" s="1">
        <v>2014</v>
      </c>
      <c r="F187" s="1">
        <v>7</v>
      </c>
      <c r="G187" s="1" t="s">
        <v>35</v>
      </c>
      <c r="H187" s="12">
        <v>41821</v>
      </c>
      <c r="I187" s="1">
        <v>3</v>
      </c>
      <c r="J187" s="1">
        <v>5</v>
      </c>
      <c r="K187" s="1" t="s">
        <v>26</v>
      </c>
      <c r="L187" s="1" t="s">
        <v>22</v>
      </c>
      <c r="M187" s="15">
        <f t="shared" si="16"/>
        <v>35.039570185568238</v>
      </c>
      <c r="N187" s="15">
        <f t="shared" si="17"/>
        <v>34.093396946999512</v>
      </c>
      <c r="O187" s="14">
        <f t="shared" si="18"/>
        <v>2523.444027262798</v>
      </c>
      <c r="P187" s="13">
        <f t="shared" si="19"/>
        <v>2.700299214738738E-2</v>
      </c>
      <c r="Q187" s="15">
        <f t="shared" si="20"/>
        <v>0.94617323856872559</v>
      </c>
      <c r="R187" s="13">
        <f t="shared" si="21"/>
        <v>2.7002992147387311E-2</v>
      </c>
      <c r="S187" s="15">
        <f t="shared" si="22"/>
        <v>35.267973231772061</v>
      </c>
      <c r="T187" s="15">
        <f t="shared" si="23"/>
        <v>33.235199366342975</v>
      </c>
    </row>
    <row r="188" spans="1:20" x14ac:dyDescent="0.3">
      <c r="A188" s="5">
        <v>41824.083333333336</v>
      </c>
      <c r="B188" s="14">
        <v>98087.555903940694</v>
      </c>
      <c r="C188" s="14">
        <v>95423.273987227207</v>
      </c>
      <c r="D188" s="6">
        <v>2799</v>
      </c>
      <c r="E188" s="1">
        <v>2014</v>
      </c>
      <c r="F188" s="1">
        <v>7</v>
      </c>
      <c r="G188" s="1" t="s">
        <v>35</v>
      </c>
      <c r="H188" s="12">
        <v>41821</v>
      </c>
      <c r="I188" s="1">
        <v>4</v>
      </c>
      <c r="J188" s="1">
        <v>6</v>
      </c>
      <c r="K188" s="1" t="s">
        <v>27</v>
      </c>
      <c r="L188" s="1" t="s">
        <v>22</v>
      </c>
      <c r="M188" s="15">
        <f t="shared" si="16"/>
        <v>35.043785603408608</v>
      </c>
      <c r="N188" s="15">
        <f t="shared" si="17"/>
        <v>34.091916394150488</v>
      </c>
      <c r="O188" s="14">
        <f t="shared" si="18"/>
        <v>2664.2819167134876</v>
      </c>
      <c r="P188" s="13">
        <f t="shared" si="19"/>
        <v>2.7162282637796353E-2</v>
      </c>
      <c r="Q188" s="15">
        <f t="shared" si="20"/>
        <v>0.95186920925812046</v>
      </c>
      <c r="R188" s="13">
        <f t="shared" si="21"/>
        <v>2.716228263779627E-2</v>
      </c>
      <c r="S188" s="15">
        <f t="shared" si="22"/>
        <v>35.267973231772061</v>
      </c>
      <c r="T188" s="15">
        <f t="shared" si="23"/>
        <v>33.331125797198951</v>
      </c>
    </row>
    <row r="189" spans="1:20" x14ac:dyDescent="0.3">
      <c r="A189" s="5">
        <v>41825.083333333336</v>
      </c>
      <c r="B189" s="14">
        <v>117562.26290534899</v>
      </c>
      <c r="C189" s="14">
        <v>114395.627627446</v>
      </c>
      <c r="D189" s="6">
        <v>3355</v>
      </c>
      <c r="E189" s="1">
        <v>2014</v>
      </c>
      <c r="F189" s="1">
        <v>7</v>
      </c>
      <c r="G189" s="1" t="s">
        <v>35</v>
      </c>
      <c r="H189" s="12">
        <v>41821</v>
      </c>
      <c r="I189" s="1">
        <v>5</v>
      </c>
      <c r="J189" s="1">
        <v>7</v>
      </c>
      <c r="K189" s="1" t="s">
        <v>28</v>
      </c>
      <c r="L189" s="1" t="s">
        <v>22</v>
      </c>
      <c r="M189" s="15">
        <f t="shared" si="16"/>
        <v>35.040912937510875</v>
      </c>
      <c r="N189" s="15">
        <f t="shared" si="17"/>
        <v>34.097057415036062</v>
      </c>
      <c r="O189" s="14">
        <f t="shared" si="18"/>
        <v>3166.6352779029985</v>
      </c>
      <c r="P189" s="13">
        <f t="shared" si="19"/>
        <v>2.693581426254529E-2</v>
      </c>
      <c r="Q189" s="15">
        <f t="shared" si="20"/>
        <v>0.94385552247481286</v>
      </c>
      <c r="R189" s="13">
        <f t="shared" si="21"/>
        <v>2.693581426254528E-2</v>
      </c>
      <c r="S189" s="15">
        <f t="shared" si="22"/>
        <v>35.267973231772061</v>
      </c>
      <c r="T189" s="15">
        <f t="shared" si="23"/>
        <v>33.432870628893859</v>
      </c>
    </row>
    <row r="190" spans="1:20" x14ac:dyDescent="0.3">
      <c r="A190" s="5">
        <v>41826.083333333336</v>
      </c>
      <c r="B190" s="14">
        <v>70153.080972151394</v>
      </c>
      <c r="C190" s="14">
        <v>68252.242209488701</v>
      </c>
      <c r="D190" s="6">
        <v>2002</v>
      </c>
      <c r="E190" s="1">
        <v>2014</v>
      </c>
      <c r="F190" s="1">
        <v>7</v>
      </c>
      <c r="G190" s="1" t="s">
        <v>35</v>
      </c>
      <c r="H190" s="12">
        <v>41821</v>
      </c>
      <c r="I190" s="1">
        <v>6</v>
      </c>
      <c r="J190" s="1">
        <v>1</v>
      </c>
      <c r="K190" s="1" t="s">
        <v>29</v>
      </c>
      <c r="L190" s="1" t="s">
        <v>22</v>
      </c>
      <c r="M190" s="15">
        <f t="shared" si="16"/>
        <v>35.041498987088609</v>
      </c>
      <c r="N190" s="15">
        <f t="shared" si="17"/>
        <v>34.092029075668684</v>
      </c>
      <c r="O190" s="14">
        <f t="shared" si="18"/>
        <v>1900.8387626626936</v>
      </c>
      <c r="P190" s="13">
        <f t="shared" si="19"/>
        <v>2.7095584916894355E-2</v>
      </c>
      <c r="Q190" s="15">
        <f t="shared" si="20"/>
        <v>0.94946991141992498</v>
      </c>
      <c r="R190" s="13">
        <f t="shared" si="21"/>
        <v>2.7095584916894299E-2</v>
      </c>
      <c r="S190" s="15">
        <f t="shared" si="22"/>
        <v>35.267973231772061</v>
      </c>
      <c r="T190" s="15">
        <f t="shared" si="23"/>
        <v>33.534408270690186</v>
      </c>
    </row>
    <row r="191" spans="1:20" x14ac:dyDescent="0.3">
      <c r="A191" s="5">
        <v>41827.083333333336</v>
      </c>
      <c r="B191" s="14">
        <v>68918.415287491094</v>
      </c>
      <c r="C191" s="14">
        <v>66990.881352152006</v>
      </c>
      <c r="D191" s="6">
        <v>1967</v>
      </c>
      <c r="E191" s="1">
        <v>2014</v>
      </c>
      <c r="F191" s="1">
        <v>7</v>
      </c>
      <c r="G191" s="1" t="s">
        <v>35</v>
      </c>
      <c r="H191" s="12">
        <v>41821</v>
      </c>
      <c r="I191" s="1">
        <v>7</v>
      </c>
      <c r="J191" s="1">
        <v>2</v>
      </c>
      <c r="K191" s="1" t="s">
        <v>21</v>
      </c>
      <c r="L191" s="1" t="s">
        <v>22</v>
      </c>
      <c r="M191" s="15">
        <f t="shared" si="16"/>
        <v>35.037323481185098</v>
      </c>
      <c r="N191" s="15">
        <f t="shared" si="17"/>
        <v>34.057387570997463</v>
      </c>
      <c r="O191" s="14">
        <f t="shared" si="18"/>
        <v>1927.5339353390882</v>
      </c>
      <c r="P191" s="13">
        <f t="shared" si="19"/>
        <v>2.7968343835220795E-2</v>
      </c>
      <c r="Q191" s="15">
        <f t="shared" si="20"/>
        <v>0.97993591018763482</v>
      </c>
      <c r="R191" s="13">
        <f t="shared" si="21"/>
        <v>2.7968343835220646E-2</v>
      </c>
      <c r="S191" s="15">
        <f t="shared" si="22"/>
        <v>35.267973231772061</v>
      </c>
      <c r="T191" s="15">
        <f t="shared" si="23"/>
        <v>33.633397223882199</v>
      </c>
    </row>
    <row r="192" spans="1:20" x14ac:dyDescent="0.3">
      <c r="A192" s="5">
        <v>41828.083333333336</v>
      </c>
      <c r="B192" s="14">
        <v>108417.40283336</v>
      </c>
      <c r="C192" s="14">
        <v>105373.30003337099</v>
      </c>
      <c r="D192" s="6">
        <v>3094</v>
      </c>
      <c r="E192" s="1">
        <v>2014</v>
      </c>
      <c r="F192" s="1">
        <v>7</v>
      </c>
      <c r="G192" s="1" t="s">
        <v>35</v>
      </c>
      <c r="H192" s="12">
        <v>41821</v>
      </c>
      <c r="I192" s="1">
        <v>8</v>
      </c>
      <c r="J192" s="1">
        <v>3</v>
      </c>
      <c r="K192" s="1" t="s">
        <v>23</v>
      </c>
      <c r="L192" s="1" t="s">
        <v>22</v>
      </c>
      <c r="M192" s="15">
        <f t="shared" si="16"/>
        <v>35.041177386347769</v>
      </c>
      <c r="N192" s="15">
        <f t="shared" si="17"/>
        <v>34.057304471031351</v>
      </c>
      <c r="O192" s="14">
        <f t="shared" si="18"/>
        <v>3044.1027999890066</v>
      </c>
      <c r="P192" s="13">
        <f t="shared" si="19"/>
        <v>2.8077621492813856E-2</v>
      </c>
      <c r="Q192" s="15">
        <f t="shared" si="20"/>
        <v>0.98387291531641807</v>
      </c>
      <c r="R192" s="13">
        <f t="shared" si="21"/>
        <v>2.8077621492813773E-2</v>
      </c>
      <c r="S192" s="15">
        <f t="shared" si="22"/>
        <v>35.267973231772061</v>
      </c>
      <c r="T192" s="15">
        <f t="shared" si="23"/>
        <v>33.731519949146318</v>
      </c>
    </row>
    <row r="193" spans="1:20" x14ac:dyDescent="0.3">
      <c r="A193" s="5">
        <v>41829.083333333336</v>
      </c>
      <c r="B193" s="14">
        <v>81802.6082085011</v>
      </c>
      <c r="C193" s="14">
        <v>79496.494243965499</v>
      </c>
      <c r="D193" s="6">
        <v>2335</v>
      </c>
      <c r="E193" s="1">
        <v>2014</v>
      </c>
      <c r="F193" s="1">
        <v>7</v>
      </c>
      <c r="G193" s="1" t="s">
        <v>35</v>
      </c>
      <c r="H193" s="12">
        <v>41821</v>
      </c>
      <c r="I193" s="1">
        <v>9</v>
      </c>
      <c r="J193" s="1">
        <v>4</v>
      </c>
      <c r="K193" s="1" t="s">
        <v>25</v>
      </c>
      <c r="L193" s="1" t="s">
        <v>22</v>
      </c>
      <c r="M193" s="15">
        <f t="shared" si="16"/>
        <v>35.03323692012895</v>
      </c>
      <c r="N193" s="15">
        <f t="shared" si="17"/>
        <v>34.045607813261455</v>
      </c>
      <c r="O193" s="14">
        <f t="shared" si="18"/>
        <v>2306.1139645356016</v>
      </c>
      <c r="P193" s="13">
        <f t="shared" si="19"/>
        <v>2.8191203374074634E-2</v>
      </c>
      <c r="Q193" s="15">
        <f t="shared" si="20"/>
        <v>0.9876291068674945</v>
      </c>
      <c r="R193" s="13">
        <f t="shared" si="21"/>
        <v>2.8191203374074613E-2</v>
      </c>
      <c r="S193" s="15">
        <f t="shared" si="22"/>
        <v>35.267973231772061</v>
      </c>
      <c r="T193" s="15">
        <f t="shared" si="23"/>
        <v>33.818733575545963</v>
      </c>
    </row>
    <row r="194" spans="1:20" x14ac:dyDescent="0.3">
      <c r="A194" s="5">
        <v>41830.083333333336</v>
      </c>
      <c r="B194" s="14">
        <v>103998.55973343</v>
      </c>
      <c r="C194" s="14">
        <v>101270.971050946</v>
      </c>
      <c r="D194" s="6">
        <v>2968</v>
      </c>
      <c r="E194" s="1">
        <v>2014</v>
      </c>
      <c r="F194" s="1">
        <v>7</v>
      </c>
      <c r="G194" s="1" t="s">
        <v>35</v>
      </c>
      <c r="H194" s="12">
        <v>41821</v>
      </c>
      <c r="I194" s="1">
        <v>10</v>
      </c>
      <c r="J194" s="1">
        <v>5</v>
      </c>
      <c r="K194" s="1" t="s">
        <v>26</v>
      </c>
      <c r="L194" s="1" t="s">
        <v>22</v>
      </c>
      <c r="M194" s="15">
        <f t="shared" si="16"/>
        <v>35.039946001829513</v>
      </c>
      <c r="N194" s="15">
        <f t="shared" si="17"/>
        <v>34.120947119590973</v>
      </c>
      <c r="O194" s="14">
        <f t="shared" si="18"/>
        <v>2727.5886824839981</v>
      </c>
      <c r="P194" s="13">
        <f t="shared" si="19"/>
        <v>2.622717746741279E-2</v>
      </c>
      <c r="Q194" s="15">
        <f t="shared" si="20"/>
        <v>0.9189988822385402</v>
      </c>
      <c r="R194" s="13">
        <f t="shared" si="21"/>
        <v>2.6227177467412686E-2</v>
      </c>
      <c r="S194" s="15">
        <f t="shared" si="22"/>
        <v>35.267973231772061</v>
      </c>
      <c r="T194" s="15">
        <f t="shared" si="23"/>
        <v>33.914883154750534</v>
      </c>
    </row>
    <row r="195" spans="1:20" x14ac:dyDescent="0.3">
      <c r="A195" s="5">
        <v>41831.083333333336</v>
      </c>
      <c r="B195" s="14">
        <v>134018.089263478</v>
      </c>
      <c r="C195" s="14">
        <v>130633.26271454799</v>
      </c>
      <c r="D195" s="6">
        <v>3825</v>
      </c>
      <c r="E195" s="1">
        <v>2014</v>
      </c>
      <c r="F195" s="1">
        <v>7</v>
      </c>
      <c r="G195" s="1" t="s">
        <v>35</v>
      </c>
      <c r="H195" s="12">
        <v>41821</v>
      </c>
      <c r="I195" s="1">
        <v>11</v>
      </c>
      <c r="J195" s="1">
        <v>6</v>
      </c>
      <c r="K195" s="1" t="s">
        <v>27</v>
      </c>
      <c r="L195" s="1" t="s">
        <v>22</v>
      </c>
      <c r="M195" s="15">
        <f t="shared" ref="M195:M258" si="24">IFERROR(B195/D195,0)</f>
        <v>35.03740895777203</v>
      </c>
      <c r="N195" s="15">
        <f t="shared" ref="N195:N258" si="25">IFERROR(C195/D195,0)</f>
        <v>34.152486984195555</v>
      </c>
      <c r="O195" s="14">
        <f t="shared" ref="O195:O258" si="26">B195-C195</f>
        <v>3384.8265489300102</v>
      </c>
      <c r="P195" s="13">
        <f t="shared" ref="P195:P258" si="27">IFERROR(O195/B195,0)</f>
        <v>2.5256490131533516E-2</v>
      </c>
      <c r="Q195" s="15">
        <f t="shared" ref="Q195:Q258" si="28">M195-N195</f>
        <v>0.88492197357647484</v>
      </c>
      <c r="R195" s="13">
        <f t="shared" ref="R195:R258" si="29">IFERROR(Q195/M195,0)</f>
        <v>2.5256490131533561E-2</v>
      </c>
      <c r="S195" s="15">
        <f t="shared" ref="S195:S258" si="30">IFERROR(SUM($B$2:$B$1001)/SUM($D$2:$D$1001),0)</f>
        <v>35.267973231772061</v>
      </c>
      <c r="T195" s="15">
        <f t="shared" ref="T195:T258" si="31">AVERAGEIFS($M$2:$M$1001,$A$2:$A$1001,"&gt;="&amp;A195-29,$A$2:$A$1001,"&lt;="&amp;A195)</f>
        <v>34.01246465174988</v>
      </c>
    </row>
    <row r="196" spans="1:20" x14ac:dyDescent="0.3">
      <c r="A196" s="5">
        <v>41832.083333333336</v>
      </c>
      <c r="B196" s="14">
        <v>99277.299503010494</v>
      </c>
      <c r="C196" s="14">
        <v>96688.4978130175</v>
      </c>
      <c r="D196" s="6">
        <v>2833</v>
      </c>
      <c r="E196" s="1">
        <v>2014</v>
      </c>
      <c r="F196" s="1">
        <v>7</v>
      </c>
      <c r="G196" s="1" t="s">
        <v>35</v>
      </c>
      <c r="H196" s="12">
        <v>41821</v>
      </c>
      <c r="I196" s="1">
        <v>12</v>
      </c>
      <c r="J196" s="1">
        <v>7</v>
      </c>
      <c r="K196" s="1" t="s">
        <v>28</v>
      </c>
      <c r="L196" s="1" t="s">
        <v>22</v>
      </c>
      <c r="M196" s="15">
        <f t="shared" si="24"/>
        <v>35.043169609251848</v>
      </c>
      <c r="N196" s="15">
        <f t="shared" si="25"/>
        <v>34.129367388993117</v>
      </c>
      <c r="O196" s="14">
        <f t="shared" si="26"/>
        <v>2588.8016899929935</v>
      </c>
      <c r="P196" s="13">
        <f t="shared" si="27"/>
        <v>2.607647169043403E-2</v>
      </c>
      <c r="Q196" s="15">
        <f t="shared" si="28"/>
        <v>0.91380222025873081</v>
      </c>
      <c r="R196" s="13">
        <f t="shared" si="29"/>
        <v>2.607647169043394E-2</v>
      </c>
      <c r="S196" s="15">
        <f t="shared" si="30"/>
        <v>35.267973231772061</v>
      </c>
      <c r="T196" s="15">
        <f t="shared" si="31"/>
        <v>34.109370239515172</v>
      </c>
    </row>
    <row r="197" spans="1:20" x14ac:dyDescent="0.3">
      <c r="A197" s="5">
        <v>41833.083333333336</v>
      </c>
      <c r="B197" s="14">
        <v>49705.231999920703</v>
      </c>
      <c r="C197" s="14">
        <v>48370.3089940063</v>
      </c>
      <c r="D197" s="6">
        <v>1419</v>
      </c>
      <c r="E197" s="1">
        <v>2014</v>
      </c>
      <c r="F197" s="1">
        <v>7</v>
      </c>
      <c r="G197" s="1" t="s">
        <v>35</v>
      </c>
      <c r="H197" s="12">
        <v>41821</v>
      </c>
      <c r="I197" s="1">
        <v>13</v>
      </c>
      <c r="J197" s="1">
        <v>1</v>
      </c>
      <c r="K197" s="1" t="s">
        <v>29</v>
      </c>
      <c r="L197" s="1" t="s">
        <v>22</v>
      </c>
      <c r="M197" s="15">
        <f t="shared" si="24"/>
        <v>35.028352360761595</v>
      </c>
      <c r="N197" s="15">
        <f t="shared" si="25"/>
        <v>34.087603237495628</v>
      </c>
      <c r="O197" s="14">
        <f t="shared" si="26"/>
        <v>1334.9230059144029</v>
      </c>
      <c r="P197" s="13">
        <f t="shared" si="27"/>
        <v>2.6856790567168713E-2</v>
      </c>
      <c r="Q197" s="15">
        <f t="shared" si="28"/>
        <v>0.9407491232659666</v>
      </c>
      <c r="R197" s="13">
        <f t="shared" si="29"/>
        <v>2.685679056716879E-2</v>
      </c>
      <c r="S197" s="15">
        <f t="shared" si="30"/>
        <v>35.267973231772061</v>
      </c>
      <c r="T197" s="15">
        <f t="shared" si="31"/>
        <v>34.205786395400878</v>
      </c>
    </row>
    <row r="198" spans="1:20" x14ac:dyDescent="0.3">
      <c r="A198" s="5">
        <v>41834.083333333336</v>
      </c>
      <c r="B198" s="14">
        <v>75384.574550731297</v>
      </c>
      <c r="C198" s="14">
        <v>73393.446593668894</v>
      </c>
      <c r="D198" s="6">
        <v>2151</v>
      </c>
      <c r="E198" s="1">
        <v>2014</v>
      </c>
      <c r="F198" s="1">
        <v>7</v>
      </c>
      <c r="G198" s="1" t="s">
        <v>35</v>
      </c>
      <c r="H198" s="12">
        <v>41821</v>
      </c>
      <c r="I198" s="1">
        <v>14</v>
      </c>
      <c r="J198" s="1">
        <v>2</v>
      </c>
      <c r="K198" s="1" t="s">
        <v>21</v>
      </c>
      <c r="L198" s="1" t="s">
        <v>22</v>
      </c>
      <c r="M198" s="15">
        <f t="shared" si="24"/>
        <v>35.046292213264202</v>
      </c>
      <c r="N198" s="15">
        <f t="shared" si="25"/>
        <v>34.120616733458341</v>
      </c>
      <c r="O198" s="14">
        <f t="shared" si="26"/>
        <v>1991.1279570624029</v>
      </c>
      <c r="P198" s="13">
        <f t="shared" si="27"/>
        <v>2.6412936186599293E-2</v>
      </c>
      <c r="Q198" s="15">
        <f t="shared" si="28"/>
        <v>0.92567547980586085</v>
      </c>
      <c r="R198" s="13">
        <f t="shared" si="29"/>
        <v>2.6412936186599345E-2</v>
      </c>
      <c r="S198" s="15">
        <f t="shared" si="30"/>
        <v>35.267973231772061</v>
      </c>
      <c r="T198" s="15">
        <f t="shared" si="31"/>
        <v>34.303744628762765</v>
      </c>
    </row>
    <row r="199" spans="1:20" x14ac:dyDescent="0.3">
      <c r="A199" s="5">
        <v>41835.083333333336</v>
      </c>
      <c r="B199" s="14">
        <v>110288.23417419101</v>
      </c>
      <c r="C199" s="14">
        <v>107437.380951613</v>
      </c>
      <c r="D199" s="6">
        <v>3148</v>
      </c>
      <c r="E199" s="1">
        <v>2014</v>
      </c>
      <c r="F199" s="1">
        <v>7</v>
      </c>
      <c r="G199" s="1" t="s">
        <v>35</v>
      </c>
      <c r="H199" s="12">
        <v>41821</v>
      </c>
      <c r="I199" s="1">
        <v>15</v>
      </c>
      <c r="J199" s="1">
        <v>3</v>
      </c>
      <c r="K199" s="1" t="s">
        <v>23</v>
      </c>
      <c r="L199" s="1" t="s">
        <v>22</v>
      </c>
      <c r="M199" s="15">
        <f t="shared" si="24"/>
        <v>35.034381885067027</v>
      </c>
      <c r="N199" s="15">
        <f t="shared" si="25"/>
        <v>34.12877412694187</v>
      </c>
      <c r="O199" s="14">
        <f t="shared" si="26"/>
        <v>2850.8532225780073</v>
      </c>
      <c r="P199" s="13">
        <f t="shared" si="27"/>
        <v>2.5849114766633437E-2</v>
      </c>
      <c r="Q199" s="15">
        <f t="shared" si="28"/>
        <v>0.90560775812515715</v>
      </c>
      <c r="R199" s="13">
        <f t="shared" si="29"/>
        <v>2.5849114766633326E-2</v>
      </c>
      <c r="S199" s="15">
        <f t="shared" si="30"/>
        <v>35.267973231772061</v>
      </c>
      <c r="T199" s="15">
        <f t="shared" si="31"/>
        <v>34.402410734629399</v>
      </c>
    </row>
    <row r="200" spans="1:20" x14ac:dyDescent="0.3">
      <c r="A200" s="5">
        <v>41836.083333333336</v>
      </c>
      <c r="B200" s="14">
        <v>156536.68620542099</v>
      </c>
      <c r="C200" s="14">
        <v>164641.353987485</v>
      </c>
      <c r="D200" s="6">
        <v>4825</v>
      </c>
      <c r="E200" s="1">
        <v>2014</v>
      </c>
      <c r="F200" s="1">
        <v>7</v>
      </c>
      <c r="G200" s="1" t="s">
        <v>35</v>
      </c>
      <c r="H200" s="12">
        <v>41821</v>
      </c>
      <c r="I200" s="1">
        <v>16</v>
      </c>
      <c r="J200" s="1">
        <v>4</v>
      </c>
      <c r="K200" s="1" t="s">
        <v>25</v>
      </c>
      <c r="L200" s="1" t="s">
        <v>22</v>
      </c>
      <c r="M200" s="15">
        <f t="shared" si="24"/>
        <v>32.442836519258236</v>
      </c>
      <c r="N200" s="15">
        <f t="shared" si="25"/>
        <v>34.122560411913987</v>
      </c>
      <c r="O200" s="14">
        <f t="shared" si="26"/>
        <v>-8104.6677820640034</v>
      </c>
      <c r="P200" s="13">
        <f t="shared" si="27"/>
        <v>-5.1774877688597273E-2</v>
      </c>
      <c r="Q200" s="15">
        <f t="shared" si="28"/>
        <v>-1.6797238926557512</v>
      </c>
      <c r="R200" s="13">
        <f t="shared" si="29"/>
        <v>-5.1774877688597246E-2</v>
      </c>
      <c r="S200" s="15">
        <f t="shared" si="30"/>
        <v>35.267973231772061</v>
      </c>
      <c r="T200" s="15">
        <f t="shared" si="31"/>
        <v>34.414924341855681</v>
      </c>
    </row>
    <row r="201" spans="1:20" x14ac:dyDescent="0.3">
      <c r="A201" s="5">
        <v>41837.083333333336</v>
      </c>
      <c r="B201" s="14">
        <v>80823.059197921204</v>
      </c>
      <c r="C201" s="14">
        <v>78844.860500337396</v>
      </c>
      <c r="D201" s="6">
        <v>2307</v>
      </c>
      <c r="E201" s="1">
        <v>2014</v>
      </c>
      <c r="F201" s="1">
        <v>7</v>
      </c>
      <c r="G201" s="1" t="s">
        <v>35</v>
      </c>
      <c r="H201" s="12">
        <v>41821</v>
      </c>
      <c r="I201" s="1">
        <v>17</v>
      </c>
      <c r="J201" s="1">
        <v>5</v>
      </c>
      <c r="K201" s="1" t="s">
        <v>26</v>
      </c>
      <c r="L201" s="1" t="s">
        <v>22</v>
      </c>
      <c r="M201" s="15">
        <f t="shared" si="24"/>
        <v>35.033835803173474</v>
      </c>
      <c r="N201" s="15">
        <f t="shared" si="25"/>
        <v>34.176359124550238</v>
      </c>
      <c r="O201" s="14">
        <f t="shared" si="26"/>
        <v>1978.1986975838081</v>
      </c>
      <c r="P201" s="13">
        <f t="shared" si="27"/>
        <v>2.4475672131384605E-2</v>
      </c>
      <c r="Q201" s="15">
        <f t="shared" si="28"/>
        <v>0.85747667862323596</v>
      </c>
      <c r="R201" s="13">
        <f t="shared" si="29"/>
        <v>2.447567213138457E-2</v>
      </c>
      <c r="S201" s="15">
        <f t="shared" si="30"/>
        <v>35.267973231772061</v>
      </c>
      <c r="T201" s="15">
        <f t="shared" si="31"/>
        <v>34.513722540648573</v>
      </c>
    </row>
    <row r="202" spans="1:20" x14ac:dyDescent="0.3">
      <c r="A202" s="5">
        <v>41838.083333333336</v>
      </c>
      <c r="B202" s="14">
        <v>124615.685608409</v>
      </c>
      <c r="C202" s="14">
        <v>121612.17892455601</v>
      </c>
      <c r="D202" s="6">
        <v>3557</v>
      </c>
      <c r="E202" s="1">
        <v>2014</v>
      </c>
      <c r="F202" s="1">
        <v>7</v>
      </c>
      <c r="G202" s="1" t="s">
        <v>35</v>
      </c>
      <c r="H202" s="12">
        <v>41821</v>
      </c>
      <c r="I202" s="1">
        <v>18</v>
      </c>
      <c r="J202" s="1">
        <v>6</v>
      </c>
      <c r="K202" s="1" t="s">
        <v>27</v>
      </c>
      <c r="L202" s="1" t="s">
        <v>22</v>
      </c>
      <c r="M202" s="15">
        <f t="shared" si="24"/>
        <v>35.033929043691032</v>
      </c>
      <c r="N202" s="15">
        <f t="shared" si="25"/>
        <v>34.189535823603038</v>
      </c>
      <c r="O202" s="14">
        <f t="shared" si="26"/>
        <v>3003.5066838529892</v>
      </c>
      <c r="P202" s="13">
        <f t="shared" si="27"/>
        <v>2.4102155913912609E-2</v>
      </c>
      <c r="Q202" s="15">
        <f t="shared" si="28"/>
        <v>0.84439322008799422</v>
      </c>
      <c r="R202" s="13">
        <f t="shared" si="29"/>
        <v>2.4102155913912657E-2</v>
      </c>
      <c r="S202" s="15">
        <f t="shared" si="30"/>
        <v>35.267973231772061</v>
      </c>
      <c r="T202" s="15">
        <f t="shared" si="31"/>
        <v>34.613719454405015</v>
      </c>
    </row>
    <row r="203" spans="1:20" x14ac:dyDescent="0.3">
      <c r="A203" s="5">
        <v>41839.083333333336</v>
      </c>
      <c r="B203" s="14">
        <v>242758.95052837601</v>
      </c>
      <c r="C203" s="14">
        <v>255779.85446049299</v>
      </c>
      <c r="D203" s="6">
        <v>7485</v>
      </c>
      <c r="E203" s="1">
        <v>2014</v>
      </c>
      <c r="F203" s="1">
        <v>7</v>
      </c>
      <c r="G203" s="1" t="s">
        <v>35</v>
      </c>
      <c r="H203" s="12">
        <v>41821</v>
      </c>
      <c r="I203" s="1">
        <v>19</v>
      </c>
      <c r="J203" s="1">
        <v>7</v>
      </c>
      <c r="K203" s="1" t="s">
        <v>28</v>
      </c>
      <c r="L203" s="1" t="s">
        <v>22</v>
      </c>
      <c r="M203" s="15">
        <f t="shared" si="24"/>
        <v>32.432725521493118</v>
      </c>
      <c r="N203" s="15">
        <f t="shared" si="25"/>
        <v>34.172325245222844</v>
      </c>
      <c r="O203" s="14">
        <f t="shared" si="26"/>
        <v>-13020.903932116984</v>
      </c>
      <c r="P203" s="13">
        <f t="shared" si="27"/>
        <v>-5.3637173433879116E-2</v>
      </c>
      <c r="Q203" s="15">
        <f t="shared" si="28"/>
        <v>-1.7395997237297252</v>
      </c>
      <c r="R203" s="13">
        <f t="shared" si="29"/>
        <v>-5.3637173433879158E-2</v>
      </c>
      <c r="S203" s="15">
        <f t="shared" si="30"/>
        <v>35.267973231772061</v>
      </c>
      <c r="T203" s="15">
        <f t="shared" si="31"/>
        <v>34.635225656735216</v>
      </c>
    </row>
    <row r="204" spans="1:20" x14ac:dyDescent="0.3">
      <c r="A204" s="5">
        <v>41840.083333333336</v>
      </c>
      <c r="B204" s="14">
        <v>85078.243689436102</v>
      </c>
      <c r="C204" s="14">
        <v>83020.514125462505</v>
      </c>
      <c r="D204" s="6">
        <v>2428</v>
      </c>
      <c r="E204" s="1">
        <v>2014</v>
      </c>
      <c r="F204" s="1">
        <v>7</v>
      </c>
      <c r="G204" s="1" t="s">
        <v>35</v>
      </c>
      <c r="H204" s="12">
        <v>41821</v>
      </c>
      <c r="I204" s="1">
        <v>20</v>
      </c>
      <c r="J204" s="1">
        <v>1</v>
      </c>
      <c r="K204" s="1" t="s">
        <v>29</v>
      </c>
      <c r="L204" s="1" t="s">
        <v>22</v>
      </c>
      <c r="M204" s="15">
        <f t="shared" si="24"/>
        <v>35.040462804545349</v>
      </c>
      <c r="N204" s="15">
        <f t="shared" si="25"/>
        <v>34.192962984127888</v>
      </c>
      <c r="O204" s="14">
        <f t="shared" si="26"/>
        <v>2057.7295639735967</v>
      </c>
      <c r="P204" s="13">
        <f t="shared" si="27"/>
        <v>2.4186319260244653E-2</v>
      </c>
      <c r="Q204" s="15">
        <f t="shared" si="28"/>
        <v>0.84749982041746108</v>
      </c>
      <c r="R204" s="13">
        <f t="shared" si="29"/>
        <v>2.418631926024464E-2</v>
      </c>
      <c r="S204" s="15">
        <f t="shared" si="30"/>
        <v>35.267973231772061</v>
      </c>
      <c r="T204" s="15">
        <f t="shared" si="31"/>
        <v>34.69649661019097</v>
      </c>
    </row>
    <row r="205" spans="1:20" x14ac:dyDescent="0.3">
      <c r="A205" s="5">
        <v>41841.083333333336</v>
      </c>
      <c r="B205" s="14">
        <v>86738.067427260903</v>
      </c>
      <c r="C205" s="14">
        <v>84643.271827215503</v>
      </c>
      <c r="D205" s="6">
        <v>2475</v>
      </c>
      <c r="E205" s="1">
        <v>2014</v>
      </c>
      <c r="F205" s="1">
        <v>7</v>
      </c>
      <c r="G205" s="1" t="s">
        <v>35</v>
      </c>
      <c r="H205" s="12">
        <v>41821</v>
      </c>
      <c r="I205" s="1">
        <v>21</v>
      </c>
      <c r="J205" s="1">
        <v>2</v>
      </c>
      <c r="K205" s="1" t="s">
        <v>21</v>
      </c>
      <c r="L205" s="1" t="s">
        <v>22</v>
      </c>
      <c r="M205" s="15">
        <f t="shared" si="24"/>
        <v>35.045683808994305</v>
      </c>
      <c r="N205" s="15">
        <f t="shared" si="25"/>
        <v>34.199301748369898</v>
      </c>
      <c r="O205" s="14">
        <f t="shared" si="26"/>
        <v>2094.7956000453996</v>
      </c>
      <c r="P205" s="13">
        <f t="shared" si="27"/>
        <v>2.4150821688552246E-2</v>
      </c>
      <c r="Q205" s="15">
        <f t="shared" si="28"/>
        <v>0.84638206062440702</v>
      </c>
      <c r="R205" s="13">
        <f t="shared" si="29"/>
        <v>2.4150821688552333E-2</v>
      </c>
      <c r="S205" s="15">
        <f t="shared" si="30"/>
        <v>35.267973231772061</v>
      </c>
      <c r="T205" s="15">
        <f t="shared" si="31"/>
        <v>34.764511615235925</v>
      </c>
    </row>
    <row r="206" spans="1:20" x14ac:dyDescent="0.3">
      <c r="A206" s="5">
        <v>41842.083333333336</v>
      </c>
      <c r="B206" s="14">
        <v>56673.615811620897</v>
      </c>
      <c r="C206" s="14">
        <v>55278.707829230603</v>
      </c>
      <c r="D206" s="6">
        <v>1618</v>
      </c>
      <c r="E206" s="1">
        <v>2014</v>
      </c>
      <c r="F206" s="1">
        <v>7</v>
      </c>
      <c r="G206" s="1" t="s">
        <v>35</v>
      </c>
      <c r="H206" s="12">
        <v>41821</v>
      </c>
      <c r="I206" s="1">
        <v>22</v>
      </c>
      <c r="J206" s="1">
        <v>3</v>
      </c>
      <c r="K206" s="1" t="s">
        <v>23</v>
      </c>
      <c r="L206" s="1" t="s">
        <v>22</v>
      </c>
      <c r="M206" s="15">
        <f t="shared" si="24"/>
        <v>35.026956620284857</v>
      </c>
      <c r="N206" s="15">
        <f t="shared" si="25"/>
        <v>34.164837966149939</v>
      </c>
      <c r="O206" s="14">
        <f t="shared" si="26"/>
        <v>1394.9079823902939</v>
      </c>
      <c r="P206" s="13">
        <f t="shared" si="27"/>
        <v>2.4613004877381914E-2</v>
      </c>
      <c r="Q206" s="15">
        <f t="shared" si="28"/>
        <v>0.86211865413491751</v>
      </c>
      <c r="R206" s="13">
        <f t="shared" si="29"/>
        <v>2.461300487738196E-2</v>
      </c>
      <c r="S206" s="15">
        <f t="shared" si="30"/>
        <v>35.267973231772061</v>
      </c>
      <c r="T206" s="15">
        <f t="shared" si="31"/>
        <v>34.811740688407262</v>
      </c>
    </row>
    <row r="207" spans="1:20" x14ac:dyDescent="0.3">
      <c r="A207" s="5">
        <v>41843.083333333336</v>
      </c>
      <c r="B207" s="14">
        <v>165742.17046423399</v>
      </c>
      <c r="C207" s="14">
        <v>173725.35752062299</v>
      </c>
      <c r="D207" s="6">
        <v>5106</v>
      </c>
      <c r="E207" s="1">
        <v>2014</v>
      </c>
      <c r="F207" s="1">
        <v>7</v>
      </c>
      <c r="G207" s="1" t="s">
        <v>35</v>
      </c>
      <c r="H207" s="12">
        <v>41821</v>
      </c>
      <c r="I207" s="1">
        <v>23</v>
      </c>
      <c r="J207" s="1">
        <v>4</v>
      </c>
      <c r="K207" s="1" t="s">
        <v>25</v>
      </c>
      <c r="L207" s="1" t="s">
        <v>22</v>
      </c>
      <c r="M207" s="15">
        <f t="shared" si="24"/>
        <v>32.460276236630236</v>
      </c>
      <c r="N207" s="15">
        <f t="shared" si="25"/>
        <v>34.023767630360943</v>
      </c>
      <c r="O207" s="14">
        <f t="shared" si="26"/>
        <v>-7983.187056388997</v>
      </c>
      <c r="P207" s="13">
        <f t="shared" si="27"/>
        <v>-4.8166299705310743E-2</v>
      </c>
      <c r="Q207" s="15">
        <f t="shared" si="28"/>
        <v>-1.5634913937307076</v>
      </c>
      <c r="R207" s="13">
        <f t="shared" si="29"/>
        <v>-4.8166299705310722E-2</v>
      </c>
      <c r="S207" s="15">
        <f t="shared" si="30"/>
        <v>35.267973231772061</v>
      </c>
      <c r="T207" s="15">
        <f t="shared" si="31"/>
        <v>34.778351797698548</v>
      </c>
    </row>
    <row r="208" spans="1:20" x14ac:dyDescent="0.3">
      <c r="A208" s="5">
        <v>41844.083333333336</v>
      </c>
      <c r="B208" s="14">
        <v>95618.2488037109</v>
      </c>
      <c r="C208" s="14">
        <v>92416.9038382375</v>
      </c>
      <c r="D208" s="6">
        <v>2729</v>
      </c>
      <c r="E208" s="1">
        <v>2014</v>
      </c>
      <c r="F208" s="1">
        <v>7</v>
      </c>
      <c r="G208" s="1" t="s">
        <v>35</v>
      </c>
      <c r="H208" s="12">
        <v>41821</v>
      </c>
      <c r="I208" s="1">
        <v>24</v>
      </c>
      <c r="J208" s="1">
        <v>5</v>
      </c>
      <c r="K208" s="1" t="s">
        <v>26</v>
      </c>
      <c r="L208" s="1" t="s">
        <v>22</v>
      </c>
      <c r="M208" s="15">
        <f t="shared" si="24"/>
        <v>35.037833933202968</v>
      </c>
      <c r="N208" s="15">
        <f t="shared" si="25"/>
        <v>33.86475039876786</v>
      </c>
      <c r="O208" s="14">
        <f t="shared" si="26"/>
        <v>3201.3449654733995</v>
      </c>
      <c r="P208" s="13">
        <f t="shared" si="27"/>
        <v>3.3480481032917189E-2</v>
      </c>
      <c r="Q208" s="15">
        <f t="shared" si="28"/>
        <v>1.1730835344351078</v>
      </c>
      <c r="R208" s="13">
        <f t="shared" si="29"/>
        <v>3.3480481032917293E-2</v>
      </c>
      <c r="S208" s="15">
        <f t="shared" si="30"/>
        <v>35.267973231772061</v>
      </c>
      <c r="T208" s="15">
        <f t="shared" si="31"/>
        <v>34.778094945300047</v>
      </c>
    </row>
    <row r="209" spans="1:20" x14ac:dyDescent="0.3">
      <c r="A209" s="5">
        <v>41845.083333333336</v>
      </c>
      <c r="B209" s="14">
        <v>515698.79576617503</v>
      </c>
      <c r="C209" s="14">
        <v>538260.271803907</v>
      </c>
      <c r="D209" s="6">
        <v>15897</v>
      </c>
      <c r="E209" s="1">
        <v>2014</v>
      </c>
      <c r="F209" s="1">
        <v>7</v>
      </c>
      <c r="G209" s="1" t="s">
        <v>35</v>
      </c>
      <c r="H209" s="12">
        <v>41821</v>
      </c>
      <c r="I209" s="1">
        <v>25</v>
      </c>
      <c r="J209" s="1">
        <v>6</v>
      </c>
      <c r="K209" s="1" t="s">
        <v>27</v>
      </c>
      <c r="L209" s="1" t="s">
        <v>22</v>
      </c>
      <c r="M209" s="15">
        <f t="shared" si="24"/>
        <v>32.440007282265526</v>
      </c>
      <c r="N209" s="15">
        <f t="shared" si="25"/>
        <v>33.859235818324656</v>
      </c>
      <c r="O209" s="14">
        <f t="shared" si="26"/>
        <v>-22561.476037731976</v>
      </c>
      <c r="P209" s="13">
        <f t="shared" si="27"/>
        <v>-4.3749328528511169E-2</v>
      </c>
      <c r="Q209" s="15">
        <f t="shared" si="28"/>
        <v>-1.4192285360591299</v>
      </c>
      <c r="R209" s="13">
        <f t="shared" si="29"/>
        <v>-4.374932852851119E-2</v>
      </c>
      <c r="S209" s="15">
        <f t="shared" si="30"/>
        <v>35.267973231772061</v>
      </c>
      <c r="T209" s="15">
        <f t="shared" si="31"/>
        <v>34.691876102218153</v>
      </c>
    </row>
    <row r="210" spans="1:20" x14ac:dyDescent="0.3">
      <c r="A210" s="5">
        <v>41846.083333333336</v>
      </c>
      <c r="B210" s="14">
        <v>562590.366547841</v>
      </c>
      <c r="C210" s="14">
        <v>586670.51408478804</v>
      </c>
      <c r="D210" s="6">
        <v>17343</v>
      </c>
      <c r="E210" s="1">
        <v>2014</v>
      </c>
      <c r="F210" s="1">
        <v>7</v>
      </c>
      <c r="G210" s="1" t="s">
        <v>35</v>
      </c>
      <c r="H210" s="12">
        <v>41821</v>
      </c>
      <c r="I210" s="1">
        <v>26</v>
      </c>
      <c r="J210" s="1">
        <v>7</v>
      </c>
      <c r="K210" s="1" t="s">
        <v>28</v>
      </c>
      <c r="L210" s="1" t="s">
        <v>22</v>
      </c>
      <c r="M210" s="15">
        <f t="shared" si="24"/>
        <v>32.439045525447789</v>
      </c>
      <c r="N210" s="15">
        <f t="shared" si="25"/>
        <v>33.827510470206313</v>
      </c>
      <c r="O210" s="14">
        <f t="shared" si="26"/>
        <v>-24080.147536947043</v>
      </c>
      <c r="P210" s="13">
        <f t="shared" si="27"/>
        <v>-4.2802274921106991E-2</v>
      </c>
      <c r="Q210" s="15">
        <f t="shared" si="28"/>
        <v>-1.3884649447585247</v>
      </c>
      <c r="R210" s="13">
        <f t="shared" si="29"/>
        <v>-4.2802274921107081E-2</v>
      </c>
      <c r="S210" s="15">
        <f t="shared" si="30"/>
        <v>35.267973231772061</v>
      </c>
      <c r="T210" s="15">
        <f t="shared" si="31"/>
        <v>34.605239859005671</v>
      </c>
    </row>
    <row r="211" spans="1:20" x14ac:dyDescent="0.3">
      <c r="A211" s="5">
        <v>41847.083333333336</v>
      </c>
      <c r="B211" s="14">
        <v>266305.925889973</v>
      </c>
      <c r="C211" s="14">
        <v>277238.01036148</v>
      </c>
      <c r="D211" s="6">
        <v>8207</v>
      </c>
      <c r="E211" s="1">
        <v>2014</v>
      </c>
      <c r="F211" s="1">
        <v>7</v>
      </c>
      <c r="G211" s="1" t="s">
        <v>35</v>
      </c>
      <c r="H211" s="12">
        <v>41821</v>
      </c>
      <c r="I211" s="1">
        <v>27</v>
      </c>
      <c r="J211" s="1">
        <v>1</v>
      </c>
      <c r="K211" s="1" t="s">
        <v>29</v>
      </c>
      <c r="L211" s="1" t="s">
        <v>22</v>
      </c>
      <c r="M211" s="15">
        <f t="shared" si="24"/>
        <v>32.448632373580239</v>
      </c>
      <c r="N211" s="15">
        <f t="shared" si="25"/>
        <v>33.780676296025348</v>
      </c>
      <c r="O211" s="14">
        <f t="shared" si="26"/>
        <v>-10932.084471506998</v>
      </c>
      <c r="P211" s="13">
        <f t="shared" si="27"/>
        <v>-4.105084945058151E-2</v>
      </c>
      <c r="Q211" s="15">
        <f t="shared" si="28"/>
        <v>-1.3320439224451093</v>
      </c>
      <c r="R211" s="13">
        <f t="shared" si="29"/>
        <v>-4.1050849450581559E-2</v>
      </c>
      <c r="S211" s="15">
        <f t="shared" si="30"/>
        <v>35.267973231772061</v>
      </c>
      <c r="T211" s="15">
        <f t="shared" si="31"/>
        <v>34.51880881152406</v>
      </c>
    </row>
    <row r="212" spans="1:20" x14ac:dyDescent="0.3">
      <c r="A212" s="5">
        <v>41848.083333333336</v>
      </c>
      <c r="B212" s="14">
        <v>292634.74569281901</v>
      </c>
      <c r="C212" s="14">
        <v>304508.37903080799</v>
      </c>
      <c r="D212" s="6">
        <v>9018</v>
      </c>
      <c r="E212" s="1">
        <v>2014</v>
      </c>
      <c r="F212" s="1">
        <v>7</v>
      </c>
      <c r="G212" s="1" t="s">
        <v>35</v>
      </c>
      <c r="H212" s="12">
        <v>41821</v>
      </c>
      <c r="I212" s="1">
        <v>28</v>
      </c>
      <c r="J212" s="1">
        <v>2</v>
      </c>
      <c r="K212" s="1" t="s">
        <v>21</v>
      </c>
      <c r="L212" s="1" t="s">
        <v>22</v>
      </c>
      <c r="M212" s="15">
        <f t="shared" si="24"/>
        <v>32.450071600445668</v>
      </c>
      <c r="N212" s="15">
        <f t="shared" si="25"/>
        <v>33.766730875006431</v>
      </c>
      <c r="O212" s="14">
        <f t="shared" si="26"/>
        <v>-11873.633337988984</v>
      </c>
      <c r="P212" s="13">
        <f t="shared" si="27"/>
        <v>-4.0574926637224513E-2</v>
      </c>
      <c r="Q212" s="15">
        <f t="shared" si="28"/>
        <v>-1.316659274560763</v>
      </c>
      <c r="R212" s="13">
        <f t="shared" si="29"/>
        <v>-4.0574926637224437E-2</v>
      </c>
      <c r="S212" s="15">
        <f t="shared" si="30"/>
        <v>35.267973231772061</v>
      </c>
      <c r="T212" s="15">
        <f t="shared" si="31"/>
        <v>34.43262011022258</v>
      </c>
    </row>
    <row r="213" spans="1:20" x14ac:dyDescent="0.3">
      <c r="A213" s="5">
        <v>41849.083333333336</v>
      </c>
      <c r="B213" s="14">
        <v>212360.99307795201</v>
      </c>
      <c r="C213" s="14">
        <v>221017.073099767</v>
      </c>
      <c r="D213" s="6">
        <v>6548</v>
      </c>
      <c r="E213" s="1">
        <v>2014</v>
      </c>
      <c r="F213" s="1">
        <v>7</v>
      </c>
      <c r="G213" s="1" t="s">
        <v>35</v>
      </c>
      <c r="H213" s="12">
        <v>41821</v>
      </c>
      <c r="I213" s="1">
        <v>29</v>
      </c>
      <c r="J213" s="1">
        <v>3</v>
      </c>
      <c r="K213" s="1" t="s">
        <v>23</v>
      </c>
      <c r="L213" s="1" t="s">
        <v>22</v>
      </c>
      <c r="M213" s="15">
        <f t="shared" si="24"/>
        <v>32.431428386981061</v>
      </c>
      <c r="N213" s="15">
        <f t="shared" si="25"/>
        <v>33.753370968198993</v>
      </c>
      <c r="O213" s="14">
        <f t="shared" si="26"/>
        <v>-8656.0800218149961</v>
      </c>
      <c r="P213" s="13">
        <f t="shared" si="27"/>
        <v>-4.0761158140928365E-2</v>
      </c>
      <c r="Q213" s="15">
        <f t="shared" si="28"/>
        <v>-1.3219425812179324</v>
      </c>
      <c r="R213" s="13">
        <f t="shared" si="29"/>
        <v>-4.076115814092849E-2</v>
      </c>
      <c r="S213" s="15">
        <f t="shared" si="30"/>
        <v>35.267973231772061</v>
      </c>
      <c r="T213" s="15">
        <f t="shared" si="31"/>
        <v>34.345993053953755</v>
      </c>
    </row>
    <row r="214" spans="1:20" x14ac:dyDescent="0.3">
      <c r="A214" s="5">
        <v>41850.083333333336</v>
      </c>
      <c r="B214" s="14">
        <v>198019.33209153599</v>
      </c>
      <c r="C214" s="14">
        <v>205903.82494520801</v>
      </c>
      <c r="D214" s="6">
        <v>6102</v>
      </c>
      <c r="E214" s="1">
        <v>2014</v>
      </c>
      <c r="F214" s="1">
        <v>7</v>
      </c>
      <c r="G214" s="1" t="s">
        <v>35</v>
      </c>
      <c r="H214" s="12">
        <v>41821</v>
      </c>
      <c r="I214" s="1">
        <v>30</v>
      </c>
      <c r="J214" s="1">
        <v>4</v>
      </c>
      <c r="K214" s="1" t="s">
        <v>25</v>
      </c>
      <c r="L214" s="1" t="s">
        <v>22</v>
      </c>
      <c r="M214" s="15">
        <f t="shared" si="24"/>
        <v>32.451545737714845</v>
      </c>
      <c r="N214" s="15">
        <f t="shared" si="25"/>
        <v>33.743661905147164</v>
      </c>
      <c r="O214" s="14">
        <f t="shared" si="26"/>
        <v>-7884.4928536720108</v>
      </c>
      <c r="P214" s="13">
        <f t="shared" si="27"/>
        <v>-3.9816783393791785E-2</v>
      </c>
      <c r="Q214" s="15">
        <f t="shared" si="28"/>
        <v>-1.2921161674323187</v>
      </c>
      <c r="R214" s="13">
        <f t="shared" si="29"/>
        <v>-3.9816783393791778E-2</v>
      </c>
      <c r="S214" s="15">
        <f t="shared" si="30"/>
        <v>35.267973231772061</v>
      </c>
      <c r="T214" s="15">
        <f t="shared" si="31"/>
        <v>34.259798982345458</v>
      </c>
    </row>
    <row r="215" spans="1:20" x14ac:dyDescent="0.3">
      <c r="A215" s="5">
        <v>41851.083333333336</v>
      </c>
      <c r="B215" s="14">
        <v>295508.32729426603</v>
      </c>
      <c r="C215" s="14">
        <v>307222.39542168798</v>
      </c>
      <c r="D215" s="6">
        <v>9108</v>
      </c>
      <c r="E215" s="1">
        <v>2014</v>
      </c>
      <c r="F215" s="1">
        <v>7</v>
      </c>
      <c r="G215" s="1" t="s">
        <v>35</v>
      </c>
      <c r="H215" s="12">
        <v>41821</v>
      </c>
      <c r="I215" s="1">
        <v>31</v>
      </c>
      <c r="J215" s="1">
        <v>5</v>
      </c>
      <c r="K215" s="1" t="s">
        <v>26</v>
      </c>
      <c r="L215" s="1" t="s">
        <v>22</v>
      </c>
      <c r="M215" s="15">
        <f t="shared" si="24"/>
        <v>32.444919553608479</v>
      </c>
      <c r="N215" s="15">
        <f t="shared" si="25"/>
        <v>33.731049124032495</v>
      </c>
      <c r="O215" s="14">
        <f t="shared" si="26"/>
        <v>-11714.068127421953</v>
      </c>
      <c r="P215" s="13">
        <f t="shared" si="27"/>
        <v>-3.9640399425215286E-2</v>
      </c>
      <c r="Q215" s="15">
        <f t="shared" si="28"/>
        <v>-1.2861295704240163</v>
      </c>
      <c r="R215" s="13">
        <f t="shared" si="29"/>
        <v>-3.9640399425215245E-2</v>
      </c>
      <c r="S215" s="15">
        <f t="shared" si="30"/>
        <v>35.267973231772061</v>
      </c>
      <c r="T215" s="15">
        <f t="shared" si="31"/>
        <v>34.173475759247374</v>
      </c>
    </row>
    <row r="216" spans="1:20" x14ac:dyDescent="0.3">
      <c r="A216" s="5">
        <v>41852.083333333336</v>
      </c>
      <c r="B216" s="14">
        <v>611894.67318094999</v>
      </c>
      <c r="C216" s="14">
        <v>636341.31592619605</v>
      </c>
      <c r="D216" s="6">
        <v>18867</v>
      </c>
      <c r="E216" s="1">
        <v>2014</v>
      </c>
      <c r="F216" s="1">
        <v>8</v>
      </c>
      <c r="G216" s="1" t="s">
        <v>36</v>
      </c>
      <c r="H216" s="12">
        <v>41852</v>
      </c>
      <c r="I216" s="1">
        <v>1</v>
      </c>
      <c r="J216" s="1">
        <v>6</v>
      </c>
      <c r="K216" s="1" t="s">
        <v>27</v>
      </c>
      <c r="L216" s="1" t="s">
        <v>22</v>
      </c>
      <c r="M216" s="15">
        <f t="shared" si="24"/>
        <v>32.432006846925852</v>
      </c>
      <c r="N216" s="15">
        <f t="shared" si="25"/>
        <v>33.727742403466159</v>
      </c>
      <c r="O216" s="14">
        <f t="shared" si="26"/>
        <v>-24446.642745246063</v>
      </c>
      <c r="P216" s="13">
        <f t="shared" si="27"/>
        <v>-3.9952370590447484E-2</v>
      </c>
      <c r="Q216" s="15">
        <f t="shared" si="28"/>
        <v>-1.2957355565403077</v>
      </c>
      <c r="R216" s="13">
        <f t="shared" si="29"/>
        <v>-3.9952370590447359E-2</v>
      </c>
      <c r="S216" s="15">
        <f t="shared" si="30"/>
        <v>35.267973231772061</v>
      </c>
      <c r="T216" s="15">
        <f t="shared" si="31"/>
        <v>34.086641804247577</v>
      </c>
    </row>
    <row r="217" spans="1:20" x14ac:dyDescent="0.3">
      <c r="A217" s="5">
        <v>41853.083333333336</v>
      </c>
      <c r="B217" s="14">
        <v>628685.21882835601</v>
      </c>
      <c r="C217" s="14">
        <v>653779.96345324395</v>
      </c>
      <c r="D217" s="6">
        <v>19384</v>
      </c>
      <c r="E217" s="1">
        <v>2014</v>
      </c>
      <c r="F217" s="1">
        <v>8</v>
      </c>
      <c r="G217" s="1" t="s">
        <v>36</v>
      </c>
      <c r="H217" s="12">
        <v>41852</v>
      </c>
      <c r="I217" s="1">
        <v>2</v>
      </c>
      <c r="J217" s="1">
        <v>7</v>
      </c>
      <c r="K217" s="1" t="s">
        <v>28</v>
      </c>
      <c r="L217" s="1" t="s">
        <v>22</v>
      </c>
      <c r="M217" s="15">
        <f t="shared" si="24"/>
        <v>32.433203612688608</v>
      </c>
      <c r="N217" s="15">
        <f t="shared" si="25"/>
        <v>33.727814870679111</v>
      </c>
      <c r="O217" s="14">
        <f t="shared" si="26"/>
        <v>-25094.744624887942</v>
      </c>
      <c r="P217" s="13">
        <f t="shared" si="27"/>
        <v>-3.9916231324247695E-2</v>
      </c>
      <c r="Q217" s="15">
        <f t="shared" si="28"/>
        <v>-1.2946112579905034</v>
      </c>
      <c r="R217" s="13">
        <f t="shared" si="29"/>
        <v>-3.991623132424766E-2</v>
      </c>
      <c r="S217" s="15">
        <f t="shared" si="30"/>
        <v>35.267973231772061</v>
      </c>
      <c r="T217" s="15">
        <f t="shared" si="31"/>
        <v>33.999762918484926</v>
      </c>
    </row>
    <row r="218" spans="1:20" x14ac:dyDescent="0.3">
      <c r="A218" s="5">
        <v>41854.083333333336</v>
      </c>
      <c r="B218" s="14">
        <v>307272.68372995697</v>
      </c>
      <c r="C218" s="14">
        <v>319500.00945712801</v>
      </c>
      <c r="D218" s="6">
        <v>9473</v>
      </c>
      <c r="E218" s="1">
        <v>2014</v>
      </c>
      <c r="F218" s="1">
        <v>8</v>
      </c>
      <c r="G218" s="1" t="s">
        <v>36</v>
      </c>
      <c r="H218" s="12">
        <v>41852</v>
      </c>
      <c r="I218" s="1">
        <v>3</v>
      </c>
      <c r="J218" s="1">
        <v>1</v>
      </c>
      <c r="K218" s="1" t="s">
        <v>29</v>
      </c>
      <c r="L218" s="1" t="s">
        <v>22</v>
      </c>
      <c r="M218" s="15">
        <f t="shared" si="24"/>
        <v>32.43668148738066</v>
      </c>
      <c r="N218" s="15">
        <f t="shared" si="25"/>
        <v>33.727436868692919</v>
      </c>
      <c r="O218" s="14">
        <f t="shared" si="26"/>
        <v>-12227.325727171032</v>
      </c>
      <c r="P218" s="13">
        <f t="shared" si="27"/>
        <v>-3.9793077532127373E-2</v>
      </c>
      <c r="Q218" s="15">
        <f t="shared" si="28"/>
        <v>-1.290755381312259</v>
      </c>
      <c r="R218" s="13">
        <f t="shared" si="29"/>
        <v>-3.9793077532127366E-2</v>
      </c>
      <c r="S218" s="15">
        <f t="shared" si="30"/>
        <v>35.267973231772061</v>
      </c>
      <c r="T218" s="15">
        <f t="shared" si="31"/>
        <v>33.912859447950659</v>
      </c>
    </row>
    <row r="219" spans="1:20" x14ac:dyDescent="0.3">
      <c r="A219" s="5">
        <v>41855.083333333336</v>
      </c>
      <c r="B219" s="14">
        <v>362106.532635941</v>
      </c>
      <c r="C219" s="14">
        <v>376645.75093448599</v>
      </c>
      <c r="D219" s="6">
        <v>11170</v>
      </c>
      <c r="E219" s="1">
        <v>2014</v>
      </c>
      <c r="F219" s="1">
        <v>8</v>
      </c>
      <c r="G219" s="1" t="s">
        <v>36</v>
      </c>
      <c r="H219" s="12">
        <v>41852</v>
      </c>
      <c r="I219" s="1">
        <v>4</v>
      </c>
      <c r="J219" s="1">
        <v>2</v>
      </c>
      <c r="K219" s="1" t="s">
        <v>21</v>
      </c>
      <c r="L219" s="1" t="s">
        <v>22</v>
      </c>
      <c r="M219" s="15">
        <f t="shared" si="24"/>
        <v>32.417773736431599</v>
      </c>
      <c r="N219" s="15">
        <f t="shared" si="25"/>
        <v>33.719404738987109</v>
      </c>
      <c r="O219" s="14">
        <f t="shared" si="26"/>
        <v>-14539.218298544991</v>
      </c>
      <c r="P219" s="13">
        <f t="shared" si="27"/>
        <v>-4.0151770233768758E-2</v>
      </c>
      <c r="Q219" s="15">
        <f t="shared" si="28"/>
        <v>-1.30163100255551</v>
      </c>
      <c r="R219" s="13">
        <f t="shared" si="29"/>
        <v>-4.0151770233768917E-2</v>
      </c>
      <c r="S219" s="15">
        <f t="shared" si="30"/>
        <v>35.267973231772061</v>
      </c>
      <c r="T219" s="15">
        <f t="shared" si="31"/>
        <v>33.825421474581347</v>
      </c>
    </row>
    <row r="220" spans="1:20" x14ac:dyDescent="0.3">
      <c r="A220" s="5">
        <v>41856.083333333336</v>
      </c>
      <c r="B220" s="14">
        <v>262349.59097271599</v>
      </c>
      <c r="C220" s="14">
        <v>272809.29044380999</v>
      </c>
      <c r="D220" s="6">
        <v>8091</v>
      </c>
      <c r="E220" s="1">
        <v>2014</v>
      </c>
      <c r="F220" s="1">
        <v>8</v>
      </c>
      <c r="G220" s="1" t="s">
        <v>36</v>
      </c>
      <c r="H220" s="12">
        <v>41852</v>
      </c>
      <c r="I220" s="1">
        <v>5</v>
      </c>
      <c r="J220" s="1">
        <v>3</v>
      </c>
      <c r="K220" s="1" t="s">
        <v>23</v>
      </c>
      <c r="L220" s="1" t="s">
        <v>22</v>
      </c>
      <c r="M220" s="15">
        <f t="shared" si="24"/>
        <v>32.424866020605116</v>
      </c>
      <c r="N220" s="15">
        <f t="shared" si="25"/>
        <v>33.71762333998393</v>
      </c>
      <c r="O220" s="14">
        <f t="shared" si="26"/>
        <v>-10459.699471094005</v>
      </c>
      <c r="P220" s="13">
        <f t="shared" si="27"/>
        <v>-3.9869318767803225E-2</v>
      </c>
      <c r="Q220" s="15">
        <f t="shared" si="28"/>
        <v>-1.2927573193788149</v>
      </c>
      <c r="R220" s="13">
        <f t="shared" si="29"/>
        <v>-3.9869318767803169E-2</v>
      </c>
      <c r="S220" s="15">
        <f t="shared" si="30"/>
        <v>35.267973231772061</v>
      </c>
      <c r="T220" s="15">
        <f t="shared" si="31"/>
        <v>33.738200375698568</v>
      </c>
    </row>
    <row r="221" spans="1:20" x14ac:dyDescent="0.3">
      <c r="A221" s="5">
        <v>41857.083333333336</v>
      </c>
      <c r="B221" s="14">
        <v>80697.903500791203</v>
      </c>
      <c r="C221" s="14">
        <v>77649.636533253593</v>
      </c>
      <c r="D221" s="6">
        <v>2303</v>
      </c>
      <c r="E221" s="1">
        <v>2014</v>
      </c>
      <c r="F221" s="1">
        <v>8</v>
      </c>
      <c r="G221" s="1" t="s">
        <v>36</v>
      </c>
      <c r="H221" s="12">
        <v>41852</v>
      </c>
      <c r="I221" s="1">
        <v>6</v>
      </c>
      <c r="J221" s="1">
        <v>4</v>
      </c>
      <c r="K221" s="1" t="s">
        <v>25</v>
      </c>
      <c r="L221" s="1" t="s">
        <v>22</v>
      </c>
      <c r="M221" s="15">
        <f t="shared" si="24"/>
        <v>35.040340208767347</v>
      </c>
      <c r="N221" s="15">
        <f t="shared" si="25"/>
        <v>33.716733188559964</v>
      </c>
      <c r="O221" s="14">
        <f t="shared" si="26"/>
        <v>3048.2669675376092</v>
      </c>
      <c r="P221" s="13">
        <f t="shared" si="27"/>
        <v>3.7773806199410405E-2</v>
      </c>
      <c r="Q221" s="15">
        <f t="shared" si="28"/>
        <v>1.3236070202073833</v>
      </c>
      <c r="R221" s="13">
        <f t="shared" si="29"/>
        <v>3.7773806199410336E-2</v>
      </c>
      <c r="S221" s="15">
        <f t="shared" si="30"/>
        <v>35.267973231772061</v>
      </c>
      <c r="T221" s="15">
        <f t="shared" si="31"/>
        <v>33.738300933284648</v>
      </c>
    </row>
    <row r="222" spans="1:20" x14ac:dyDescent="0.3">
      <c r="A222" s="5">
        <v>41858.083333333336</v>
      </c>
      <c r="B222" s="14">
        <v>103272.62271335001</v>
      </c>
      <c r="C222" s="14">
        <v>99367.233222687995</v>
      </c>
      <c r="D222" s="6">
        <v>2947</v>
      </c>
      <c r="E222" s="1">
        <v>2014</v>
      </c>
      <c r="F222" s="1">
        <v>8</v>
      </c>
      <c r="G222" s="1" t="s">
        <v>36</v>
      </c>
      <c r="H222" s="12">
        <v>41852</v>
      </c>
      <c r="I222" s="1">
        <v>7</v>
      </c>
      <c r="J222" s="1">
        <v>5</v>
      </c>
      <c r="K222" s="1" t="s">
        <v>26</v>
      </c>
      <c r="L222" s="1" t="s">
        <v>22</v>
      </c>
      <c r="M222" s="15">
        <f t="shared" si="24"/>
        <v>35.043305976705128</v>
      </c>
      <c r="N222" s="15">
        <f t="shared" si="25"/>
        <v>33.718097462737695</v>
      </c>
      <c r="O222" s="14">
        <f t="shared" si="26"/>
        <v>3905.3894906620117</v>
      </c>
      <c r="P222" s="13">
        <f t="shared" si="27"/>
        <v>3.781630976393479E-2</v>
      </c>
      <c r="Q222" s="15">
        <f t="shared" si="28"/>
        <v>1.3252085139674321</v>
      </c>
      <c r="R222" s="13">
        <f t="shared" si="29"/>
        <v>3.7816309763934894E-2</v>
      </c>
      <c r="S222" s="15">
        <f t="shared" si="30"/>
        <v>35.267973231772061</v>
      </c>
      <c r="T222" s="15">
        <f t="shared" si="31"/>
        <v>33.738371886296562</v>
      </c>
    </row>
    <row r="223" spans="1:20" x14ac:dyDescent="0.3">
      <c r="A223" s="5">
        <v>41859.083333333336</v>
      </c>
      <c r="B223" s="14">
        <v>439421.42206707399</v>
      </c>
      <c r="C223" s="14">
        <v>456509.62185022002</v>
      </c>
      <c r="D223" s="6">
        <v>13542</v>
      </c>
      <c r="E223" s="1">
        <v>2014</v>
      </c>
      <c r="F223" s="1">
        <v>8</v>
      </c>
      <c r="G223" s="1" t="s">
        <v>36</v>
      </c>
      <c r="H223" s="12">
        <v>41852</v>
      </c>
      <c r="I223" s="1">
        <v>8</v>
      </c>
      <c r="J223" s="1">
        <v>6</v>
      </c>
      <c r="K223" s="1" t="s">
        <v>27</v>
      </c>
      <c r="L223" s="1" t="s">
        <v>22</v>
      </c>
      <c r="M223" s="15">
        <f t="shared" si="24"/>
        <v>32.448783197982131</v>
      </c>
      <c r="N223" s="15">
        <f t="shared" si="25"/>
        <v>33.710649966786299</v>
      </c>
      <c r="O223" s="14">
        <f t="shared" si="26"/>
        <v>-17088.199783146032</v>
      </c>
      <c r="P223" s="13">
        <f t="shared" si="27"/>
        <v>-3.8887953397360002E-2</v>
      </c>
      <c r="Q223" s="15">
        <f t="shared" si="28"/>
        <v>-1.2618667688041683</v>
      </c>
      <c r="R223" s="13">
        <f t="shared" si="29"/>
        <v>-3.888795339736003E-2</v>
      </c>
      <c r="S223" s="15">
        <f t="shared" si="30"/>
        <v>35.267973231772061</v>
      </c>
      <c r="T223" s="15">
        <f t="shared" si="31"/>
        <v>33.652223428891666</v>
      </c>
    </row>
    <row r="224" spans="1:20" x14ac:dyDescent="0.3">
      <c r="A224" s="5">
        <v>41860.083333333336</v>
      </c>
      <c r="B224" s="14">
        <v>408616.35063191399</v>
      </c>
      <c r="C224" s="14">
        <v>424340.94938278501</v>
      </c>
      <c r="D224" s="6">
        <v>12588</v>
      </c>
      <c r="E224" s="1">
        <v>2014</v>
      </c>
      <c r="F224" s="1">
        <v>8</v>
      </c>
      <c r="G224" s="1" t="s">
        <v>36</v>
      </c>
      <c r="H224" s="12">
        <v>41852</v>
      </c>
      <c r="I224" s="1">
        <v>9</v>
      </c>
      <c r="J224" s="1">
        <v>7</v>
      </c>
      <c r="K224" s="1" t="s">
        <v>28</v>
      </c>
      <c r="L224" s="1" t="s">
        <v>22</v>
      </c>
      <c r="M224" s="15">
        <f t="shared" si="24"/>
        <v>32.460784130275975</v>
      </c>
      <c r="N224" s="15">
        <f t="shared" si="25"/>
        <v>33.709957847377268</v>
      </c>
      <c r="O224" s="14">
        <f t="shared" si="26"/>
        <v>-15724.598750871024</v>
      </c>
      <c r="P224" s="13">
        <f t="shared" si="27"/>
        <v>-3.848254903787713E-2</v>
      </c>
      <c r="Q224" s="15">
        <f t="shared" si="28"/>
        <v>-1.2491737171012929</v>
      </c>
      <c r="R224" s="13">
        <f t="shared" si="29"/>
        <v>-3.8482549037877255E-2</v>
      </c>
      <c r="S224" s="15">
        <f t="shared" si="30"/>
        <v>35.267973231772061</v>
      </c>
      <c r="T224" s="15">
        <f t="shared" si="31"/>
        <v>33.566251366506549</v>
      </c>
    </row>
    <row r="225" spans="1:20" x14ac:dyDescent="0.3">
      <c r="A225" s="5">
        <v>41861.083333333336</v>
      </c>
      <c r="B225" s="14">
        <v>195866.773019443</v>
      </c>
      <c r="C225" s="14">
        <v>203331.43478475601</v>
      </c>
      <c r="D225" s="6">
        <v>6032</v>
      </c>
      <c r="E225" s="1">
        <v>2014</v>
      </c>
      <c r="F225" s="1">
        <v>8</v>
      </c>
      <c r="G225" s="1" t="s">
        <v>36</v>
      </c>
      <c r="H225" s="12">
        <v>41852</v>
      </c>
      <c r="I225" s="1">
        <v>10</v>
      </c>
      <c r="J225" s="1">
        <v>1</v>
      </c>
      <c r="K225" s="1" t="s">
        <v>29</v>
      </c>
      <c r="L225" s="1" t="s">
        <v>22</v>
      </c>
      <c r="M225" s="15">
        <f t="shared" si="24"/>
        <v>32.471281999244532</v>
      </c>
      <c r="N225" s="15">
        <f t="shared" si="25"/>
        <v>33.708792238852126</v>
      </c>
      <c r="O225" s="14">
        <f t="shared" si="26"/>
        <v>-7464.6617653130088</v>
      </c>
      <c r="P225" s="13">
        <f t="shared" si="27"/>
        <v>-3.8110914119017104E-2</v>
      </c>
      <c r="Q225" s="15">
        <f t="shared" si="28"/>
        <v>-1.2375102396075945</v>
      </c>
      <c r="R225" s="13">
        <f t="shared" si="29"/>
        <v>-3.8110914119017111E-2</v>
      </c>
      <c r="S225" s="15">
        <f t="shared" si="30"/>
        <v>35.267973231772061</v>
      </c>
      <c r="T225" s="15">
        <f t="shared" si="31"/>
        <v>33.480713801222301</v>
      </c>
    </row>
    <row r="226" spans="1:20" x14ac:dyDescent="0.3">
      <c r="A226" s="5">
        <v>41862.083333333336</v>
      </c>
      <c r="B226" s="14">
        <v>232347.35316929</v>
      </c>
      <c r="C226" s="14">
        <v>241134.52779440599</v>
      </c>
      <c r="D226" s="6">
        <v>7158</v>
      </c>
      <c r="E226" s="1">
        <v>2014</v>
      </c>
      <c r="F226" s="1">
        <v>8</v>
      </c>
      <c r="G226" s="1" t="s">
        <v>36</v>
      </c>
      <c r="H226" s="12">
        <v>41852</v>
      </c>
      <c r="I226" s="1">
        <v>11</v>
      </c>
      <c r="J226" s="1">
        <v>2</v>
      </c>
      <c r="K226" s="1" t="s">
        <v>21</v>
      </c>
      <c r="L226" s="1" t="s">
        <v>22</v>
      </c>
      <c r="M226" s="15">
        <f t="shared" si="24"/>
        <v>32.459814636670856</v>
      </c>
      <c r="N226" s="15">
        <f t="shared" si="25"/>
        <v>33.68741656809248</v>
      </c>
      <c r="O226" s="14">
        <f t="shared" si="26"/>
        <v>-8787.174625115993</v>
      </c>
      <c r="P226" s="13">
        <f t="shared" si="27"/>
        <v>-3.7819129442432653E-2</v>
      </c>
      <c r="Q226" s="15">
        <f t="shared" si="28"/>
        <v>-1.2276019314216242</v>
      </c>
      <c r="R226" s="13">
        <f t="shared" si="29"/>
        <v>-3.7819129442432625E-2</v>
      </c>
      <c r="S226" s="15">
        <f t="shared" si="30"/>
        <v>35.267973231772061</v>
      </c>
      <c r="T226" s="15">
        <f t="shared" si="31"/>
        <v>33.394601968802938</v>
      </c>
    </row>
    <row r="227" spans="1:20" x14ac:dyDescent="0.3">
      <c r="A227" s="5">
        <v>41863.083333333336</v>
      </c>
      <c r="B227" s="14">
        <v>190325.18114338501</v>
      </c>
      <c r="C227" s="14">
        <v>197438.11163851499</v>
      </c>
      <c r="D227" s="6">
        <v>5863</v>
      </c>
      <c r="E227" s="1">
        <v>2014</v>
      </c>
      <c r="F227" s="1">
        <v>8</v>
      </c>
      <c r="G227" s="1" t="s">
        <v>36</v>
      </c>
      <c r="H227" s="12">
        <v>41852</v>
      </c>
      <c r="I227" s="1">
        <v>12</v>
      </c>
      <c r="J227" s="1">
        <v>3</v>
      </c>
      <c r="K227" s="1" t="s">
        <v>23</v>
      </c>
      <c r="L227" s="1" t="s">
        <v>22</v>
      </c>
      <c r="M227" s="15">
        <f t="shared" si="24"/>
        <v>32.462081041000346</v>
      </c>
      <c r="N227" s="15">
        <f t="shared" si="25"/>
        <v>33.67527061888368</v>
      </c>
      <c r="O227" s="14">
        <f t="shared" si="26"/>
        <v>-7112.9304951299855</v>
      </c>
      <c r="P227" s="13">
        <f t="shared" si="27"/>
        <v>-3.7372513991048441E-2</v>
      </c>
      <c r="Q227" s="15">
        <f t="shared" si="28"/>
        <v>-1.2131895778833339</v>
      </c>
      <c r="R227" s="13">
        <f t="shared" si="29"/>
        <v>-3.7372513991048448E-2</v>
      </c>
      <c r="S227" s="15">
        <f t="shared" si="30"/>
        <v>35.267973231772061</v>
      </c>
      <c r="T227" s="15">
        <f t="shared" si="31"/>
        <v>33.309059591477563</v>
      </c>
    </row>
    <row r="228" spans="1:20" x14ac:dyDescent="0.3">
      <c r="A228" s="5">
        <v>41864.083333333336</v>
      </c>
      <c r="B228" s="14">
        <v>197698.118550841</v>
      </c>
      <c r="C228" s="14">
        <v>205114.12894822701</v>
      </c>
      <c r="D228" s="6">
        <v>6092</v>
      </c>
      <c r="E228" s="1">
        <v>2014</v>
      </c>
      <c r="F228" s="1">
        <v>8</v>
      </c>
      <c r="G228" s="1" t="s">
        <v>36</v>
      </c>
      <c r="H228" s="12">
        <v>41852</v>
      </c>
      <c r="I228" s="1">
        <v>13</v>
      </c>
      <c r="J228" s="1">
        <v>4</v>
      </c>
      <c r="K228" s="1" t="s">
        <v>25</v>
      </c>
      <c r="L228" s="1" t="s">
        <v>22</v>
      </c>
      <c r="M228" s="15">
        <f t="shared" si="24"/>
        <v>32.452087746362608</v>
      </c>
      <c r="N228" s="15">
        <f t="shared" si="25"/>
        <v>33.669423661888871</v>
      </c>
      <c r="O228" s="14">
        <f t="shared" si="26"/>
        <v>-7416.0103973860096</v>
      </c>
      <c r="P228" s="13">
        <f t="shared" si="27"/>
        <v>-3.7511790459851403E-2</v>
      </c>
      <c r="Q228" s="15">
        <f t="shared" si="28"/>
        <v>-1.2173359155262631</v>
      </c>
      <c r="R228" s="13">
        <f t="shared" si="29"/>
        <v>-3.7511790459851327E-2</v>
      </c>
      <c r="S228" s="15">
        <f t="shared" si="30"/>
        <v>35.267973231772061</v>
      </c>
      <c r="T228" s="15">
        <f t="shared" si="31"/>
        <v>33.222586109247509</v>
      </c>
    </row>
    <row r="229" spans="1:20" x14ac:dyDescent="0.3">
      <c r="A229" s="5">
        <v>41865.083333333336</v>
      </c>
      <c r="B229" s="14">
        <v>177908.83560484901</v>
      </c>
      <c r="C229" s="14">
        <v>184687.529140367</v>
      </c>
      <c r="D229" s="6">
        <v>5485</v>
      </c>
      <c r="E229" s="1">
        <v>2014</v>
      </c>
      <c r="F229" s="1">
        <v>8</v>
      </c>
      <c r="G229" s="1" t="s">
        <v>36</v>
      </c>
      <c r="H229" s="12">
        <v>41852</v>
      </c>
      <c r="I229" s="1">
        <v>14</v>
      </c>
      <c r="J229" s="1">
        <v>5</v>
      </c>
      <c r="K229" s="1" t="s">
        <v>26</v>
      </c>
      <c r="L229" s="1" t="s">
        <v>22</v>
      </c>
      <c r="M229" s="15">
        <f t="shared" si="24"/>
        <v>32.435521532333453</v>
      </c>
      <c r="N229" s="15">
        <f t="shared" si="25"/>
        <v>33.671381794050504</v>
      </c>
      <c r="O229" s="14">
        <f t="shared" si="26"/>
        <v>-6778.6935355179885</v>
      </c>
      <c r="P229" s="13">
        <f t="shared" si="27"/>
        <v>-3.810206228640637E-2</v>
      </c>
      <c r="Q229" s="15">
        <f t="shared" si="28"/>
        <v>-1.2358602617170504</v>
      </c>
      <c r="R229" s="13">
        <f t="shared" si="29"/>
        <v>-3.8102062286406564E-2</v>
      </c>
      <c r="S229" s="15">
        <f t="shared" si="30"/>
        <v>35.267973231772061</v>
      </c>
      <c r="T229" s="15">
        <f t="shared" si="31"/>
        <v>33.135957430823055</v>
      </c>
    </row>
    <row r="230" spans="1:20" x14ac:dyDescent="0.3">
      <c r="A230" s="5">
        <v>41866.083333333336</v>
      </c>
      <c r="B230" s="14">
        <v>473321.88245175401</v>
      </c>
      <c r="C230" s="14">
        <v>491559.42296304402</v>
      </c>
      <c r="D230" s="6">
        <v>14587</v>
      </c>
      <c r="E230" s="1">
        <v>2014</v>
      </c>
      <c r="F230" s="1">
        <v>8</v>
      </c>
      <c r="G230" s="1" t="s">
        <v>36</v>
      </c>
      <c r="H230" s="12">
        <v>41852</v>
      </c>
      <c r="I230" s="1">
        <v>15</v>
      </c>
      <c r="J230" s="1">
        <v>6</v>
      </c>
      <c r="K230" s="1" t="s">
        <v>27</v>
      </c>
      <c r="L230" s="1" t="s">
        <v>22</v>
      </c>
      <c r="M230" s="15">
        <f t="shared" si="24"/>
        <v>32.448199249451839</v>
      </c>
      <c r="N230" s="15">
        <f t="shared" si="25"/>
        <v>33.698459104890929</v>
      </c>
      <c r="O230" s="14">
        <f t="shared" si="26"/>
        <v>-18237.540511290019</v>
      </c>
      <c r="P230" s="13">
        <f t="shared" si="27"/>
        <v>-3.8530947305503001E-2</v>
      </c>
      <c r="Q230" s="15">
        <f t="shared" si="28"/>
        <v>-1.25025985543909</v>
      </c>
      <c r="R230" s="13">
        <f t="shared" si="29"/>
        <v>-3.8530947305502973E-2</v>
      </c>
      <c r="S230" s="15">
        <f t="shared" si="30"/>
        <v>35.267973231772061</v>
      </c>
      <c r="T230" s="15">
        <f t="shared" si="31"/>
        <v>33.136136188496174</v>
      </c>
    </row>
    <row r="231" spans="1:20" x14ac:dyDescent="0.3">
      <c r="A231" s="5">
        <v>41867.083333333336</v>
      </c>
      <c r="B231" s="14">
        <v>541600.89215953101</v>
      </c>
      <c r="C231" s="14">
        <v>562953.37077365397</v>
      </c>
      <c r="D231" s="6">
        <v>16686</v>
      </c>
      <c r="E231" s="1">
        <v>2014</v>
      </c>
      <c r="F231" s="1">
        <v>8</v>
      </c>
      <c r="G231" s="1" t="s">
        <v>36</v>
      </c>
      <c r="H231" s="12">
        <v>41852</v>
      </c>
      <c r="I231" s="1">
        <v>16</v>
      </c>
      <c r="J231" s="1">
        <v>7</v>
      </c>
      <c r="K231" s="1" t="s">
        <v>28</v>
      </c>
      <c r="L231" s="1" t="s">
        <v>22</v>
      </c>
      <c r="M231" s="15">
        <f t="shared" si="24"/>
        <v>32.458401783503</v>
      </c>
      <c r="N231" s="15">
        <f t="shared" si="25"/>
        <v>33.738066089755122</v>
      </c>
      <c r="O231" s="14">
        <f t="shared" si="26"/>
        <v>-21352.478614122956</v>
      </c>
      <c r="P231" s="13">
        <f t="shared" si="27"/>
        <v>-3.9424747859967496E-2</v>
      </c>
      <c r="Q231" s="15">
        <f t="shared" si="28"/>
        <v>-1.2796643062521227</v>
      </c>
      <c r="R231" s="13">
        <f t="shared" si="29"/>
        <v>-3.9424747859967427E-2</v>
      </c>
      <c r="S231" s="15">
        <f t="shared" si="30"/>
        <v>35.267973231772061</v>
      </c>
      <c r="T231" s="15">
        <f t="shared" si="31"/>
        <v>33.050288387840489</v>
      </c>
    </row>
    <row r="232" spans="1:20" x14ac:dyDescent="0.3">
      <c r="A232" s="5">
        <v>41868.083333333336</v>
      </c>
      <c r="B232" s="14">
        <v>239513.97904265701</v>
      </c>
      <c r="C232" s="14">
        <v>249203.120768225</v>
      </c>
      <c r="D232" s="6">
        <v>7380</v>
      </c>
      <c r="E232" s="1">
        <v>2014</v>
      </c>
      <c r="F232" s="1">
        <v>8</v>
      </c>
      <c r="G232" s="1" t="s">
        <v>36</v>
      </c>
      <c r="H232" s="12">
        <v>41852</v>
      </c>
      <c r="I232" s="1">
        <v>17</v>
      </c>
      <c r="J232" s="1">
        <v>1</v>
      </c>
      <c r="K232" s="1" t="s">
        <v>29</v>
      </c>
      <c r="L232" s="1" t="s">
        <v>22</v>
      </c>
      <c r="M232" s="15">
        <f t="shared" si="24"/>
        <v>32.454468704967077</v>
      </c>
      <c r="N232" s="15">
        <f t="shared" si="25"/>
        <v>33.767360537699865</v>
      </c>
      <c r="O232" s="14">
        <f t="shared" si="26"/>
        <v>-9689.1417255679844</v>
      </c>
      <c r="P232" s="13">
        <f t="shared" si="27"/>
        <v>-4.0453345413473195E-2</v>
      </c>
      <c r="Q232" s="15">
        <f t="shared" si="28"/>
        <v>-1.3128918327327881</v>
      </c>
      <c r="R232" s="13">
        <f t="shared" si="29"/>
        <v>-4.045334541347316E-2</v>
      </c>
      <c r="S232" s="15">
        <f t="shared" si="30"/>
        <v>35.267973231772061</v>
      </c>
      <c r="T232" s="15">
        <f t="shared" si="31"/>
        <v>32.964306376549693</v>
      </c>
    </row>
    <row r="233" spans="1:20" x14ac:dyDescent="0.3">
      <c r="A233" s="5">
        <v>41869.083333333336</v>
      </c>
      <c r="B233" s="14">
        <v>255224.22255235299</v>
      </c>
      <c r="C233" s="14">
        <v>265532.54620482202</v>
      </c>
      <c r="D233" s="6">
        <v>7864</v>
      </c>
      <c r="E233" s="1">
        <v>2014</v>
      </c>
      <c r="F233" s="1">
        <v>8</v>
      </c>
      <c r="G233" s="1" t="s">
        <v>36</v>
      </c>
      <c r="H233" s="12">
        <v>41852</v>
      </c>
      <c r="I233" s="1">
        <v>18</v>
      </c>
      <c r="J233" s="1">
        <v>2</v>
      </c>
      <c r="K233" s="1" t="s">
        <v>21</v>
      </c>
      <c r="L233" s="1" t="s">
        <v>22</v>
      </c>
      <c r="M233" s="15">
        <f t="shared" si="24"/>
        <v>32.454758717237155</v>
      </c>
      <c r="N233" s="15">
        <f t="shared" si="25"/>
        <v>33.765583189829862</v>
      </c>
      <c r="O233" s="14">
        <f t="shared" si="26"/>
        <v>-10308.323652469029</v>
      </c>
      <c r="P233" s="13">
        <f t="shared" si="27"/>
        <v>-4.038928417287873E-2</v>
      </c>
      <c r="Q233" s="15">
        <f t="shared" si="28"/>
        <v>-1.3108244725927065</v>
      </c>
      <c r="R233" s="13">
        <f t="shared" si="29"/>
        <v>-4.0389284172878785E-2</v>
      </c>
      <c r="S233" s="15">
        <f t="shared" si="30"/>
        <v>35.267973231772061</v>
      </c>
      <c r="T233" s="15">
        <f t="shared" si="31"/>
        <v>32.965040816407829</v>
      </c>
    </row>
    <row r="234" spans="1:20" x14ac:dyDescent="0.3">
      <c r="A234" s="5">
        <v>41870.083333333336</v>
      </c>
      <c r="B234" s="14">
        <v>160372.03970903001</v>
      </c>
      <c r="C234" s="14">
        <v>167021.157829009</v>
      </c>
      <c r="D234" s="6">
        <v>4941</v>
      </c>
      <c r="E234" s="1">
        <v>2014</v>
      </c>
      <c r="F234" s="1">
        <v>8</v>
      </c>
      <c r="G234" s="1" t="s">
        <v>36</v>
      </c>
      <c r="H234" s="12">
        <v>41852</v>
      </c>
      <c r="I234" s="1">
        <v>19</v>
      </c>
      <c r="J234" s="1">
        <v>3</v>
      </c>
      <c r="K234" s="1" t="s">
        <v>23</v>
      </c>
      <c r="L234" s="1" t="s">
        <v>22</v>
      </c>
      <c r="M234" s="15">
        <f t="shared" si="24"/>
        <v>32.457405324636717</v>
      </c>
      <c r="N234" s="15">
        <f t="shared" si="25"/>
        <v>33.803108243070028</v>
      </c>
      <c r="O234" s="14">
        <f t="shared" si="26"/>
        <v>-6649.1181199789862</v>
      </c>
      <c r="P234" s="13">
        <f t="shared" si="27"/>
        <v>-4.146058210672366E-2</v>
      </c>
      <c r="Q234" s="15">
        <f t="shared" si="28"/>
        <v>-1.3457029184333109</v>
      </c>
      <c r="R234" s="13">
        <f t="shared" si="29"/>
        <v>-4.1460582106723681E-2</v>
      </c>
      <c r="S234" s="15">
        <f t="shared" si="30"/>
        <v>35.267973231772061</v>
      </c>
      <c r="T234" s="15">
        <f t="shared" si="31"/>
        <v>32.878938900410873</v>
      </c>
    </row>
    <row r="235" spans="1:20" x14ac:dyDescent="0.3">
      <c r="A235" s="5">
        <v>41871.083333333336</v>
      </c>
      <c r="B235" s="14">
        <v>171587.33225254001</v>
      </c>
      <c r="C235" s="14">
        <v>174723.17542794399</v>
      </c>
      <c r="D235" s="6">
        <v>5151</v>
      </c>
      <c r="E235" s="1">
        <v>2014</v>
      </c>
      <c r="F235" s="1">
        <v>8</v>
      </c>
      <c r="G235" s="1" t="s">
        <v>36</v>
      </c>
      <c r="H235" s="12">
        <v>41852</v>
      </c>
      <c r="I235" s="1">
        <v>20</v>
      </c>
      <c r="J235" s="1">
        <v>4</v>
      </c>
      <c r="K235" s="1" t="s">
        <v>25</v>
      </c>
      <c r="L235" s="1" t="s">
        <v>22</v>
      </c>
      <c r="M235" s="15">
        <f t="shared" si="24"/>
        <v>33.311460347998448</v>
      </c>
      <c r="N235" s="15">
        <f t="shared" si="25"/>
        <v>33.920243725091048</v>
      </c>
      <c r="O235" s="14">
        <f t="shared" si="26"/>
        <v>-3135.8431754039775</v>
      </c>
      <c r="P235" s="13">
        <f t="shared" si="27"/>
        <v>-1.8275493500817905E-2</v>
      </c>
      <c r="Q235" s="15">
        <f t="shared" si="28"/>
        <v>-0.60878337709259966</v>
      </c>
      <c r="R235" s="13">
        <f t="shared" si="29"/>
        <v>-1.8275493500817926E-2</v>
      </c>
      <c r="S235" s="15">
        <f t="shared" si="30"/>
        <v>35.267973231772061</v>
      </c>
      <c r="T235" s="15">
        <f t="shared" si="31"/>
        <v>32.821131451711011</v>
      </c>
    </row>
    <row r="236" spans="1:20" x14ac:dyDescent="0.3">
      <c r="A236" s="5">
        <v>41872.083333333336</v>
      </c>
      <c r="B236" s="14">
        <v>164208.060612595</v>
      </c>
      <c r="C236" s="14">
        <v>167239.64875993101</v>
      </c>
      <c r="D236" s="6">
        <v>4928</v>
      </c>
      <c r="E236" s="1">
        <v>2014</v>
      </c>
      <c r="F236" s="1">
        <v>8</v>
      </c>
      <c r="G236" s="1" t="s">
        <v>36</v>
      </c>
      <c r="H236" s="12">
        <v>41852</v>
      </c>
      <c r="I236" s="1">
        <v>21</v>
      </c>
      <c r="J236" s="1">
        <v>5</v>
      </c>
      <c r="K236" s="1" t="s">
        <v>26</v>
      </c>
      <c r="L236" s="1" t="s">
        <v>22</v>
      </c>
      <c r="M236" s="15">
        <f t="shared" si="24"/>
        <v>33.3214408710623</v>
      </c>
      <c r="N236" s="15">
        <f t="shared" si="25"/>
        <v>33.936617037323664</v>
      </c>
      <c r="O236" s="14">
        <f t="shared" si="26"/>
        <v>-3031.5881473360059</v>
      </c>
      <c r="P236" s="13">
        <f t="shared" si="27"/>
        <v>-1.8461871701220729E-2</v>
      </c>
      <c r="Q236" s="15">
        <f t="shared" si="28"/>
        <v>-0.61517616626136373</v>
      </c>
      <c r="R236" s="13">
        <f t="shared" si="29"/>
        <v>-1.8461871701220694E-2</v>
      </c>
      <c r="S236" s="15">
        <f t="shared" si="30"/>
        <v>35.267973231772061</v>
      </c>
      <c r="T236" s="15">
        <f t="shared" si="31"/>
        <v>32.76428092673693</v>
      </c>
    </row>
    <row r="237" spans="1:20" x14ac:dyDescent="0.3">
      <c r="A237" s="5">
        <v>41873.083333333336</v>
      </c>
      <c r="B237" s="14">
        <v>376778.83570449799</v>
      </c>
      <c r="C237" s="14">
        <v>384006.045320909</v>
      </c>
      <c r="D237" s="6">
        <v>11309</v>
      </c>
      <c r="E237" s="1">
        <v>2014</v>
      </c>
      <c r="F237" s="1">
        <v>8</v>
      </c>
      <c r="G237" s="1" t="s">
        <v>36</v>
      </c>
      <c r="H237" s="12">
        <v>41852</v>
      </c>
      <c r="I237" s="1">
        <v>22</v>
      </c>
      <c r="J237" s="1">
        <v>6</v>
      </c>
      <c r="K237" s="1" t="s">
        <v>27</v>
      </c>
      <c r="L237" s="1" t="s">
        <v>22</v>
      </c>
      <c r="M237" s="15">
        <f t="shared" si="24"/>
        <v>33.316724352683529</v>
      </c>
      <c r="N237" s="15">
        <f t="shared" si="25"/>
        <v>33.955791433452028</v>
      </c>
      <c r="O237" s="14">
        <f t="shared" si="26"/>
        <v>-7227.2096164110117</v>
      </c>
      <c r="P237" s="13">
        <f t="shared" si="27"/>
        <v>-1.918157001281039E-2</v>
      </c>
      <c r="Q237" s="15">
        <f t="shared" si="28"/>
        <v>-0.63906708076849839</v>
      </c>
      <c r="R237" s="13">
        <f t="shared" si="29"/>
        <v>-1.918157001281022E-2</v>
      </c>
      <c r="S237" s="15">
        <f t="shared" si="30"/>
        <v>35.267973231772061</v>
      </c>
      <c r="T237" s="15">
        <f t="shared" si="31"/>
        <v>32.792829197272034</v>
      </c>
    </row>
    <row r="238" spans="1:20" x14ac:dyDescent="0.3">
      <c r="A238" s="5">
        <v>41874.083333333336</v>
      </c>
      <c r="B238" s="14">
        <v>453633.473978322</v>
      </c>
      <c r="C238" s="14">
        <v>463250.07125509798</v>
      </c>
      <c r="D238" s="6">
        <v>13613</v>
      </c>
      <c r="E238" s="1">
        <v>2014</v>
      </c>
      <c r="F238" s="1">
        <v>8</v>
      </c>
      <c r="G238" s="1" t="s">
        <v>36</v>
      </c>
      <c r="H238" s="12">
        <v>41852</v>
      </c>
      <c r="I238" s="1">
        <v>23</v>
      </c>
      <c r="J238" s="1">
        <v>7</v>
      </c>
      <c r="K238" s="1" t="s">
        <v>28</v>
      </c>
      <c r="L238" s="1" t="s">
        <v>22</v>
      </c>
      <c r="M238" s="15">
        <f t="shared" si="24"/>
        <v>33.32354910587835</v>
      </c>
      <c r="N238" s="15">
        <f t="shared" si="25"/>
        <v>34.029976585256591</v>
      </c>
      <c r="O238" s="14">
        <f t="shared" si="26"/>
        <v>-9616.5972767759813</v>
      </c>
      <c r="P238" s="13">
        <f t="shared" si="27"/>
        <v>-2.1199046870239418E-2</v>
      </c>
      <c r="Q238" s="15">
        <f t="shared" si="28"/>
        <v>-0.70642747937824169</v>
      </c>
      <c r="R238" s="13">
        <f t="shared" si="29"/>
        <v>-2.119904687023947E-2</v>
      </c>
      <c r="S238" s="15">
        <f t="shared" si="30"/>
        <v>35.267973231772061</v>
      </c>
      <c r="T238" s="15">
        <f t="shared" si="31"/>
        <v>32.735686369694548</v>
      </c>
    </row>
    <row r="239" spans="1:20" x14ac:dyDescent="0.3">
      <c r="A239" s="5">
        <v>41875.083333333336</v>
      </c>
      <c r="B239" s="14">
        <v>214392.40085275299</v>
      </c>
      <c r="C239" s="14">
        <v>218347.79777692899</v>
      </c>
      <c r="D239" s="6">
        <v>6424</v>
      </c>
      <c r="E239" s="1">
        <v>2014</v>
      </c>
      <c r="F239" s="1">
        <v>8</v>
      </c>
      <c r="G239" s="1" t="s">
        <v>36</v>
      </c>
      <c r="H239" s="12">
        <v>41852</v>
      </c>
      <c r="I239" s="1">
        <v>24</v>
      </c>
      <c r="J239" s="1">
        <v>1</v>
      </c>
      <c r="K239" s="1" t="s">
        <v>29</v>
      </c>
      <c r="L239" s="1" t="s">
        <v>22</v>
      </c>
      <c r="M239" s="15">
        <f t="shared" si="24"/>
        <v>33.373661402981476</v>
      </c>
      <c r="N239" s="15">
        <f t="shared" si="25"/>
        <v>33.989383215586706</v>
      </c>
      <c r="O239" s="14">
        <f t="shared" si="26"/>
        <v>-3955.3969241759914</v>
      </c>
      <c r="P239" s="13">
        <f t="shared" si="27"/>
        <v>-1.8449333597847999E-2</v>
      </c>
      <c r="Q239" s="15">
        <f t="shared" si="28"/>
        <v>-0.61572181260522996</v>
      </c>
      <c r="R239" s="13">
        <f t="shared" si="29"/>
        <v>-1.8449333597848023E-2</v>
      </c>
      <c r="S239" s="15">
        <f t="shared" si="30"/>
        <v>35.267973231772061</v>
      </c>
      <c r="T239" s="15">
        <f t="shared" si="31"/>
        <v>32.766808173718417</v>
      </c>
    </row>
    <row r="240" spans="1:20" x14ac:dyDescent="0.3">
      <c r="A240" s="5">
        <v>41876.083333333336</v>
      </c>
      <c r="B240" s="14">
        <v>316404.06232243002</v>
      </c>
      <c r="C240" s="14">
        <v>323293.39664047299</v>
      </c>
      <c r="D240" s="6">
        <v>9493</v>
      </c>
      <c r="E240" s="1">
        <v>2014</v>
      </c>
      <c r="F240" s="1">
        <v>8</v>
      </c>
      <c r="G240" s="1" t="s">
        <v>36</v>
      </c>
      <c r="H240" s="12">
        <v>41852</v>
      </c>
      <c r="I240" s="1">
        <v>25</v>
      </c>
      <c r="J240" s="1">
        <v>2</v>
      </c>
      <c r="K240" s="1" t="s">
        <v>21</v>
      </c>
      <c r="L240" s="1" t="s">
        <v>22</v>
      </c>
      <c r="M240" s="15">
        <f t="shared" si="24"/>
        <v>33.330249902289054</v>
      </c>
      <c r="N240" s="15">
        <f t="shared" si="25"/>
        <v>34.055977735223109</v>
      </c>
      <c r="O240" s="14">
        <f t="shared" si="26"/>
        <v>-6889.3343180429656</v>
      </c>
      <c r="P240" s="13">
        <f t="shared" si="27"/>
        <v>-2.1773849132892684E-2</v>
      </c>
      <c r="Q240" s="15">
        <f t="shared" si="28"/>
        <v>-0.72572783293405507</v>
      </c>
      <c r="R240" s="13">
        <f t="shared" si="29"/>
        <v>-2.1773849132892747E-2</v>
      </c>
      <c r="S240" s="15">
        <f t="shared" si="30"/>
        <v>35.267973231772061</v>
      </c>
      <c r="T240" s="15">
        <f t="shared" si="31"/>
        <v>32.796514986279789</v>
      </c>
    </row>
    <row r="241" spans="1:20" x14ac:dyDescent="0.3">
      <c r="A241" s="5">
        <v>41877.083333333336</v>
      </c>
      <c r="B241" s="14">
        <v>242824.501340455</v>
      </c>
      <c r="C241" s="14">
        <v>259860.51254868601</v>
      </c>
      <c r="D241" s="6">
        <v>7619</v>
      </c>
      <c r="E241" s="1">
        <v>2014</v>
      </c>
      <c r="F241" s="1">
        <v>8</v>
      </c>
      <c r="G241" s="1" t="s">
        <v>36</v>
      </c>
      <c r="H241" s="12">
        <v>41852</v>
      </c>
      <c r="I241" s="1">
        <v>26</v>
      </c>
      <c r="J241" s="1">
        <v>3</v>
      </c>
      <c r="K241" s="1" t="s">
        <v>23</v>
      </c>
      <c r="L241" s="1" t="s">
        <v>22</v>
      </c>
      <c r="M241" s="15">
        <f t="shared" si="24"/>
        <v>31.870914994153431</v>
      </c>
      <c r="N241" s="15">
        <f t="shared" si="25"/>
        <v>34.106905440174039</v>
      </c>
      <c r="O241" s="14">
        <f t="shared" si="26"/>
        <v>-17036.011208231008</v>
      </c>
      <c r="P241" s="13">
        <f t="shared" si="27"/>
        <v>-7.015771108017417E-2</v>
      </c>
      <c r="Q241" s="15">
        <f t="shared" si="28"/>
        <v>-2.2359904460206081</v>
      </c>
      <c r="R241" s="13">
        <f t="shared" si="29"/>
        <v>-7.0157711080174198E-2</v>
      </c>
      <c r="S241" s="15">
        <f t="shared" si="30"/>
        <v>35.267973231772061</v>
      </c>
      <c r="T241" s="15">
        <f t="shared" si="31"/>
        <v>32.777257740298893</v>
      </c>
    </row>
    <row r="242" spans="1:20" x14ac:dyDescent="0.3">
      <c r="A242" s="5">
        <v>41878.083333333336</v>
      </c>
      <c r="B242" s="14">
        <v>274712.25328417</v>
      </c>
      <c r="C242" s="14">
        <v>304334.78464343701</v>
      </c>
      <c r="D242" s="6">
        <v>8909</v>
      </c>
      <c r="E242" s="1">
        <v>2014</v>
      </c>
      <c r="F242" s="1">
        <v>8</v>
      </c>
      <c r="G242" s="1" t="s">
        <v>36</v>
      </c>
      <c r="H242" s="12">
        <v>41852</v>
      </c>
      <c r="I242" s="1">
        <v>27</v>
      </c>
      <c r="J242" s="1">
        <v>4</v>
      </c>
      <c r="K242" s="1" t="s">
        <v>25</v>
      </c>
      <c r="L242" s="1" t="s">
        <v>22</v>
      </c>
      <c r="M242" s="15">
        <f t="shared" si="24"/>
        <v>30.835363484585251</v>
      </c>
      <c r="N242" s="15">
        <f t="shared" si="25"/>
        <v>34.160375422992146</v>
      </c>
      <c r="O242" s="14">
        <f t="shared" si="26"/>
        <v>-29622.531359267014</v>
      </c>
      <c r="P242" s="13">
        <f t="shared" si="27"/>
        <v>-0.10783112513232034</v>
      </c>
      <c r="Q242" s="15">
        <f t="shared" si="28"/>
        <v>-3.3250119384068952</v>
      </c>
      <c r="R242" s="13">
        <f t="shared" si="29"/>
        <v>-0.10783112513232039</v>
      </c>
      <c r="S242" s="15">
        <f t="shared" si="30"/>
        <v>35.267973231772061</v>
      </c>
      <c r="T242" s="15">
        <f t="shared" si="31"/>
        <v>32.723434136436879</v>
      </c>
    </row>
    <row r="243" spans="1:20" x14ac:dyDescent="0.3">
      <c r="A243" s="5">
        <v>41879.083333333336</v>
      </c>
      <c r="B243" s="14">
        <v>258066.16939498499</v>
      </c>
      <c r="C243" s="14">
        <v>287168.56608982501</v>
      </c>
      <c r="D243" s="6">
        <v>8400</v>
      </c>
      <c r="E243" s="1">
        <v>2014</v>
      </c>
      <c r="F243" s="1">
        <v>8</v>
      </c>
      <c r="G243" s="1" t="s">
        <v>36</v>
      </c>
      <c r="H243" s="12">
        <v>41852</v>
      </c>
      <c r="I243" s="1">
        <v>28</v>
      </c>
      <c r="J243" s="1">
        <v>5</v>
      </c>
      <c r="K243" s="1" t="s">
        <v>26</v>
      </c>
      <c r="L243" s="1" t="s">
        <v>22</v>
      </c>
      <c r="M243" s="15">
        <f t="shared" si="24"/>
        <v>30.722163023212499</v>
      </c>
      <c r="N243" s="15">
        <f t="shared" si="25"/>
        <v>34.186734058312503</v>
      </c>
      <c r="O243" s="14">
        <f t="shared" si="26"/>
        <v>-29102.396694840019</v>
      </c>
      <c r="P243" s="13">
        <f t="shared" si="27"/>
        <v>-0.11277106473532818</v>
      </c>
      <c r="Q243" s="15">
        <f t="shared" si="28"/>
        <v>-3.4645710351000041</v>
      </c>
      <c r="R243" s="13">
        <f t="shared" si="29"/>
        <v>-0.11277106473532823</v>
      </c>
      <c r="S243" s="15">
        <f t="shared" si="30"/>
        <v>35.267973231772061</v>
      </c>
      <c r="T243" s="15">
        <f t="shared" si="31"/>
        <v>32.666458624311261</v>
      </c>
    </row>
    <row r="244" spans="1:20" x14ac:dyDescent="0.3">
      <c r="A244" s="5">
        <v>41880.083333333336</v>
      </c>
      <c r="B244" s="14">
        <v>594007.21320371202</v>
      </c>
      <c r="C244" s="14">
        <v>660937.80480560299</v>
      </c>
      <c r="D244" s="6">
        <v>19317</v>
      </c>
      <c r="E244" s="1">
        <v>2014</v>
      </c>
      <c r="F244" s="1">
        <v>8</v>
      </c>
      <c r="G244" s="1" t="s">
        <v>36</v>
      </c>
      <c r="H244" s="12">
        <v>41852</v>
      </c>
      <c r="I244" s="1">
        <v>29</v>
      </c>
      <c r="J244" s="1">
        <v>6</v>
      </c>
      <c r="K244" s="1" t="s">
        <v>27</v>
      </c>
      <c r="L244" s="1" t="s">
        <v>22</v>
      </c>
      <c r="M244" s="15">
        <f t="shared" si="24"/>
        <v>30.750489889926595</v>
      </c>
      <c r="N244" s="15">
        <f t="shared" si="25"/>
        <v>34.215344246290989</v>
      </c>
      <c r="O244" s="14">
        <f t="shared" si="26"/>
        <v>-66930.591601890977</v>
      </c>
      <c r="P244" s="13">
        <f t="shared" si="27"/>
        <v>-0.11267639536043385</v>
      </c>
      <c r="Q244" s="15">
        <f t="shared" si="28"/>
        <v>-3.4648543563643948</v>
      </c>
      <c r="R244" s="13">
        <f t="shared" si="29"/>
        <v>-0.1126763953604339</v>
      </c>
      <c r="S244" s="15">
        <f t="shared" si="30"/>
        <v>35.267973231772061</v>
      </c>
      <c r="T244" s="15">
        <f t="shared" si="31"/>
        <v>32.60975676271832</v>
      </c>
    </row>
    <row r="245" spans="1:20" x14ac:dyDescent="0.3">
      <c r="A245" s="5">
        <v>41881.083333333336</v>
      </c>
      <c r="B245" s="14">
        <v>717096.71281835902</v>
      </c>
      <c r="C245" s="14">
        <v>797788.891976238</v>
      </c>
      <c r="D245" s="6">
        <v>23310</v>
      </c>
      <c r="E245" s="1">
        <v>2014</v>
      </c>
      <c r="F245" s="1">
        <v>8</v>
      </c>
      <c r="G245" s="1" t="s">
        <v>36</v>
      </c>
      <c r="H245" s="12">
        <v>41852</v>
      </c>
      <c r="I245" s="1">
        <v>30</v>
      </c>
      <c r="J245" s="1">
        <v>7</v>
      </c>
      <c r="K245" s="1" t="s">
        <v>28</v>
      </c>
      <c r="L245" s="1" t="s">
        <v>22</v>
      </c>
      <c r="M245" s="15">
        <f t="shared" si="24"/>
        <v>30.763479743387347</v>
      </c>
      <c r="N245" s="15">
        <f t="shared" si="25"/>
        <v>34.225177690958304</v>
      </c>
      <c r="O245" s="14">
        <f t="shared" si="26"/>
        <v>-80692.179157878971</v>
      </c>
      <c r="P245" s="13">
        <f t="shared" si="27"/>
        <v>-0.11252621538417</v>
      </c>
      <c r="Q245" s="15">
        <f t="shared" si="28"/>
        <v>-3.4616979475709577</v>
      </c>
      <c r="R245" s="13">
        <f t="shared" si="29"/>
        <v>-0.11252621538417007</v>
      </c>
      <c r="S245" s="15">
        <f t="shared" si="30"/>
        <v>35.267973231772061</v>
      </c>
      <c r="T245" s="15">
        <f t="shared" si="31"/>
        <v>32.553708769044285</v>
      </c>
    </row>
    <row r="246" spans="1:20" x14ac:dyDescent="0.3">
      <c r="A246" s="5">
        <v>41882.083333333336</v>
      </c>
      <c r="B246" s="14">
        <v>358170.99632881698</v>
      </c>
      <c r="C246" s="14">
        <v>398562.607430159</v>
      </c>
      <c r="D246" s="6">
        <v>11646</v>
      </c>
      <c r="E246" s="1">
        <v>2014</v>
      </c>
      <c r="F246" s="1">
        <v>8</v>
      </c>
      <c r="G246" s="1" t="s">
        <v>36</v>
      </c>
      <c r="H246" s="12">
        <v>41852</v>
      </c>
      <c r="I246" s="1">
        <v>31</v>
      </c>
      <c r="J246" s="1">
        <v>1</v>
      </c>
      <c r="K246" s="1" t="s">
        <v>29</v>
      </c>
      <c r="L246" s="1" t="s">
        <v>22</v>
      </c>
      <c r="M246" s="15">
        <f t="shared" si="24"/>
        <v>30.754851135910783</v>
      </c>
      <c r="N246" s="15">
        <f t="shared" si="25"/>
        <v>34.223133043977242</v>
      </c>
      <c r="O246" s="14">
        <f t="shared" si="26"/>
        <v>-40391.611101342016</v>
      </c>
      <c r="P246" s="13">
        <f t="shared" si="27"/>
        <v>-0.1127718645991668</v>
      </c>
      <c r="Q246" s="15">
        <f t="shared" si="28"/>
        <v>-3.4682819080664586</v>
      </c>
      <c r="R246" s="13">
        <f t="shared" si="29"/>
        <v>-0.11277186459916669</v>
      </c>
      <c r="S246" s="15">
        <f t="shared" si="30"/>
        <v>35.267973231772061</v>
      </c>
      <c r="T246" s="15">
        <f t="shared" si="31"/>
        <v>32.497803578677114</v>
      </c>
    </row>
    <row r="247" spans="1:20" x14ac:dyDescent="0.3">
      <c r="A247" s="5">
        <v>41883.083333333336</v>
      </c>
      <c r="B247" s="14">
        <v>594953.63490643899</v>
      </c>
      <c r="C247" s="14">
        <v>662850.99076108402</v>
      </c>
      <c r="D247" s="6">
        <v>19366</v>
      </c>
      <c r="E247" s="1">
        <v>2014</v>
      </c>
      <c r="F247" s="1">
        <v>9</v>
      </c>
      <c r="G247" s="1" t="s">
        <v>37</v>
      </c>
      <c r="H247" s="12">
        <v>41883</v>
      </c>
      <c r="I247" s="1">
        <v>1</v>
      </c>
      <c r="J247" s="1">
        <v>2</v>
      </c>
      <c r="K247" s="1" t="s">
        <v>21</v>
      </c>
      <c r="L247" s="1" t="s">
        <v>22</v>
      </c>
      <c r="M247" s="15">
        <f t="shared" si="24"/>
        <v>30.721555040092895</v>
      </c>
      <c r="N247" s="15">
        <f t="shared" si="25"/>
        <v>34.227563294489521</v>
      </c>
      <c r="O247" s="14">
        <f t="shared" si="26"/>
        <v>-67897.355854645022</v>
      </c>
      <c r="P247" s="13">
        <f t="shared" si="27"/>
        <v>-0.11412209602740288</v>
      </c>
      <c r="Q247" s="15">
        <f t="shared" si="28"/>
        <v>-3.506008254396626</v>
      </c>
      <c r="R247" s="13">
        <f t="shared" si="29"/>
        <v>-0.11412209602740293</v>
      </c>
      <c r="S247" s="15">
        <f t="shared" si="30"/>
        <v>35.267973231772061</v>
      </c>
      <c r="T247" s="15">
        <f t="shared" si="31"/>
        <v>32.44074862625726</v>
      </c>
    </row>
    <row r="248" spans="1:20" x14ac:dyDescent="0.3">
      <c r="A248" s="5">
        <v>41884.083333333336</v>
      </c>
      <c r="B248" s="14">
        <v>469469.94102512801</v>
      </c>
      <c r="C248" s="14">
        <v>523480.30334564199</v>
      </c>
      <c r="D248" s="6">
        <v>15291</v>
      </c>
      <c r="E248" s="1">
        <v>2014</v>
      </c>
      <c r="F248" s="1">
        <v>9</v>
      </c>
      <c r="G248" s="1" t="s">
        <v>37</v>
      </c>
      <c r="H248" s="12">
        <v>41883</v>
      </c>
      <c r="I248" s="1">
        <v>2</v>
      </c>
      <c r="J248" s="1">
        <v>3</v>
      </c>
      <c r="K248" s="1" t="s">
        <v>23</v>
      </c>
      <c r="L248" s="1" t="s">
        <v>22</v>
      </c>
      <c r="M248" s="15">
        <f t="shared" si="24"/>
        <v>30.70237008862259</v>
      </c>
      <c r="N248" s="15">
        <f t="shared" si="25"/>
        <v>34.234536874347135</v>
      </c>
      <c r="O248" s="14">
        <f t="shared" si="26"/>
        <v>-54010.362320513988</v>
      </c>
      <c r="P248" s="13">
        <f t="shared" si="27"/>
        <v>-0.11504541100667215</v>
      </c>
      <c r="Q248" s="15">
        <f t="shared" si="28"/>
        <v>-3.5321667857245451</v>
      </c>
      <c r="R248" s="13">
        <f t="shared" si="29"/>
        <v>-0.11504541100667222</v>
      </c>
      <c r="S248" s="15">
        <f t="shared" si="30"/>
        <v>35.267973231772061</v>
      </c>
      <c r="T248" s="15">
        <f t="shared" si="31"/>
        <v>32.382938246298657</v>
      </c>
    </row>
    <row r="249" spans="1:20" x14ac:dyDescent="0.3">
      <c r="A249" s="5">
        <v>41885.083333333336</v>
      </c>
      <c r="B249" s="14">
        <v>464067.79934021301</v>
      </c>
      <c r="C249" s="14">
        <v>517180.54329555499</v>
      </c>
      <c r="D249" s="6">
        <v>15100</v>
      </c>
      <c r="E249" s="1">
        <v>2014</v>
      </c>
      <c r="F249" s="1">
        <v>9</v>
      </c>
      <c r="G249" s="1" t="s">
        <v>37</v>
      </c>
      <c r="H249" s="12">
        <v>41883</v>
      </c>
      <c r="I249" s="1">
        <v>3</v>
      </c>
      <c r="J249" s="1">
        <v>4</v>
      </c>
      <c r="K249" s="1" t="s">
        <v>25</v>
      </c>
      <c r="L249" s="1" t="s">
        <v>22</v>
      </c>
      <c r="M249" s="15">
        <f t="shared" si="24"/>
        <v>30.732966843722714</v>
      </c>
      <c r="N249" s="15">
        <f t="shared" si="25"/>
        <v>34.250367105665894</v>
      </c>
      <c r="O249" s="14">
        <f t="shared" si="26"/>
        <v>-53112.743955341983</v>
      </c>
      <c r="P249" s="13">
        <f t="shared" si="27"/>
        <v>-0.11445039718518472</v>
      </c>
      <c r="Q249" s="15">
        <f t="shared" si="28"/>
        <v>-3.5174002619431803</v>
      </c>
      <c r="R249" s="13">
        <f t="shared" si="29"/>
        <v>-0.11445039718518481</v>
      </c>
      <c r="S249" s="15">
        <f t="shared" si="30"/>
        <v>35.267973231772061</v>
      </c>
      <c r="T249" s="15">
        <f t="shared" si="31"/>
        <v>32.326778016541695</v>
      </c>
    </row>
    <row r="250" spans="1:20" x14ac:dyDescent="0.3">
      <c r="A250" s="5">
        <v>41886.083333333336</v>
      </c>
      <c r="B250" s="14">
        <v>312311.95398119098</v>
      </c>
      <c r="C250" s="14">
        <v>348177.12054578197</v>
      </c>
      <c r="D250" s="6">
        <v>10164</v>
      </c>
      <c r="E250" s="1">
        <v>2014</v>
      </c>
      <c r="F250" s="1">
        <v>9</v>
      </c>
      <c r="G250" s="1" t="s">
        <v>37</v>
      </c>
      <c r="H250" s="12">
        <v>41883</v>
      </c>
      <c r="I250" s="1">
        <v>4</v>
      </c>
      <c r="J250" s="1">
        <v>5</v>
      </c>
      <c r="K250" s="1" t="s">
        <v>26</v>
      </c>
      <c r="L250" s="1" t="s">
        <v>22</v>
      </c>
      <c r="M250" s="15">
        <f t="shared" si="24"/>
        <v>30.727268199644922</v>
      </c>
      <c r="N250" s="15">
        <f t="shared" si="25"/>
        <v>34.255915047794367</v>
      </c>
      <c r="O250" s="14">
        <f t="shared" si="26"/>
        <v>-35865.166564590996</v>
      </c>
      <c r="P250" s="13">
        <f t="shared" si="27"/>
        <v>-0.11483763623966498</v>
      </c>
      <c r="Q250" s="15">
        <f t="shared" si="28"/>
        <v>-3.528646848149446</v>
      </c>
      <c r="R250" s="13">
        <f t="shared" si="29"/>
        <v>-0.11483763623966488</v>
      </c>
      <c r="S250" s="15">
        <f t="shared" si="30"/>
        <v>35.267973231772061</v>
      </c>
      <c r="T250" s="15">
        <f t="shared" si="31"/>
        <v>32.270191422509683</v>
      </c>
    </row>
    <row r="251" spans="1:20" x14ac:dyDescent="0.3">
      <c r="A251" s="5">
        <v>41887.083333333336</v>
      </c>
      <c r="B251" s="14">
        <v>501279.00044448097</v>
      </c>
      <c r="C251" s="14">
        <v>558766.69034694601</v>
      </c>
      <c r="D251" s="6">
        <v>16310</v>
      </c>
      <c r="E251" s="1">
        <v>2014</v>
      </c>
      <c r="F251" s="1">
        <v>9</v>
      </c>
      <c r="G251" s="1" t="s">
        <v>37</v>
      </c>
      <c r="H251" s="12">
        <v>41883</v>
      </c>
      <c r="I251" s="1">
        <v>5</v>
      </c>
      <c r="J251" s="1">
        <v>6</v>
      </c>
      <c r="K251" s="1" t="s">
        <v>27</v>
      </c>
      <c r="L251" s="1" t="s">
        <v>22</v>
      </c>
      <c r="M251" s="15">
        <f t="shared" si="24"/>
        <v>30.734457415357507</v>
      </c>
      <c r="N251" s="15">
        <f t="shared" si="25"/>
        <v>34.259147170260334</v>
      </c>
      <c r="O251" s="14">
        <f t="shared" si="26"/>
        <v>-57487.689902465034</v>
      </c>
      <c r="P251" s="13">
        <f t="shared" si="27"/>
        <v>-0.1146820230879232</v>
      </c>
      <c r="Q251" s="15">
        <f t="shared" si="28"/>
        <v>-3.5246897549028269</v>
      </c>
      <c r="R251" s="13">
        <f t="shared" si="29"/>
        <v>-0.11468202308792336</v>
      </c>
      <c r="S251" s="15">
        <f t="shared" si="30"/>
        <v>35.267973231772061</v>
      </c>
      <c r="T251" s="15">
        <f t="shared" si="31"/>
        <v>32.12666199606268</v>
      </c>
    </row>
    <row r="252" spans="1:20" x14ac:dyDescent="0.3">
      <c r="A252" s="5">
        <v>41888.083333333336</v>
      </c>
      <c r="B252" s="14">
        <v>552703.90375815297</v>
      </c>
      <c r="C252" s="14">
        <v>616169.85143113602</v>
      </c>
      <c r="D252" s="6">
        <v>17985</v>
      </c>
      <c r="E252" s="1">
        <v>2014</v>
      </c>
      <c r="F252" s="1">
        <v>9</v>
      </c>
      <c r="G252" s="1" t="s">
        <v>37</v>
      </c>
      <c r="H252" s="12">
        <v>41883</v>
      </c>
      <c r="I252" s="1">
        <v>6</v>
      </c>
      <c r="J252" s="1">
        <v>7</v>
      </c>
      <c r="K252" s="1" t="s">
        <v>28</v>
      </c>
      <c r="L252" s="1" t="s">
        <v>22</v>
      </c>
      <c r="M252" s="15">
        <f t="shared" si="24"/>
        <v>30.731381915938446</v>
      </c>
      <c r="N252" s="15">
        <f t="shared" si="25"/>
        <v>34.260208586663111</v>
      </c>
      <c r="O252" s="14">
        <f t="shared" si="26"/>
        <v>-63465.947672983049</v>
      </c>
      <c r="P252" s="13">
        <f t="shared" si="27"/>
        <v>-0.11482811545466104</v>
      </c>
      <c r="Q252" s="15">
        <f t="shared" si="28"/>
        <v>-3.5288266707246656</v>
      </c>
      <c r="R252" s="13">
        <f t="shared" si="29"/>
        <v>-0.11482811545466115</v>
      </c>
      <c r="S252" s="15">
        <f t="shared" si="30"/>
        <v>35.267973231772061</v>
      </c>
      <c r="T252" s="15">
        <f t="shared" si="31"/>
        <v>31.982931194037128</v>
      </c>
    </row>
    <row r="253" spans="1:20" x14ac:dyDescent="0.3">
      <c r="A253" s="5">
        <v>41889.083333333336</v>
      </c>
      <c r="B253" s="14">
        <v>234153.762210716</v>
      </c>
      <c r="C253" s="14">
        <v>261088.386372968</v>
      </c>
      <c r="D253" s="6">
        <v>7620</v>
      </c>
      <c r="E253" s="1">
        <v>2014</v>
      </c>
      <c r="F253" s="1">
        <v>9</v>
      </c>
      <c r="G253" s="1" t="s">
        <v>37</v>
      </c>
      <c r="H253" s="12">
        <v>41883</v>
      </c>
      <c r="I253" s="1">
        <v>7</v>
      </c>
      <c r="J253" s="1">
        <v>1</v>
      </c>
      <c r="K253" s="1" t="s">
        <v>29</v>
      </c>
      <c r="L253" s="1" t="s">
        <v>22</v>
      </c>
      <c r="M253" s="15">
        <f t="shared" si="24"/>
        <v>30.728840185133333</v>
      </c>
      <c r="N253" s="15">
        <f t="shared" si="25"/>
        <v>34.263567765481362</v>
      </c>
      <c r="O253" s="14">
        <f t="shared" si="26"/>
        <v>-26934.624162252003</v>
      </c>
      <c r="P253" s="13">
        <f t="shared" si="27"/>
        <v>-0.115029645084299</v>
      </c>
      <c r="Q253" s="15">
        <f t="shared" si="28"/>
        <v>-3.5347275803480294</v>
      </c>
      <c r="R253" s="13">
        <f t="shared" si="29"/>
        <v>-0.11502964508429891</v>
      </c>
      <c r="S253" s="15">
        <f t="shared" si="30"/>
        <v>35.267973231772061</v>
      </c>
      <c r="T253" s="15">
        <f t="shared" si="31"/>
        <v>31.9255997602755</v>
      </c>
    </row>
    <row r="254" spans="1:20" x14ac:dyDescent="0.3">
      <c r="A254" s="5">
        <v>41890.083333333336</v>
      </c>
      <c r="B254" s="14">
        <v>244481.49772930599</v>
      </c>
      <c r="C254" s="14">
        <v>272633.39980275801</v>
      </c>
      <c r="D254" s="6">
        <v>7958</v>
      </c>
      <c r="E254" s="1">
        <v>2014</v>
      </c>
      <c r="F254" s="1">
        <v>9</v>
      </c>
      <c r="G254" s="1" t="s">
        <v>37</v>
      </c>
      <c r="H254" s="12">
        <v>41883</v>
      </c>
      <c r="I254" s="1">
        <v>8</v>
      </c>
      <c r="J254" s="1">
        <v>2</v>
      </c>
      <c r="K254" s="1" t="s">
        <v>21</v>
      </c>
      <c r="L254" s="1" t="s">
        <v>22</v>
      </c>
      <c r="M254" s="15">
        <f t="shared" si="24"/>
        <v>30.721474959701684</v>
      </c>
      <c r="N254" s="15">
        <f t="shared" si="25"/>
        <v>34.259034908614979</v>
      </c>
      <c r="O254" s="14">
        <f t="shared" si="26"/>
        <v>-28151.902073452016</v>
      </c>
      <c r="P254" s="13">
        <f t="shared" si="27"/>
        <v>-0.11514941758342087</v>
      </c>
      <c r="Q254" s="15">
        <f t="shared" si="28"/>
        <v>-3.5375599489132945</v>
      </c>
      <c r="R254" s="13">
        <f t="shared" si="29"/>
        <v>-0.11514941758342079</v>
      </c>
      <c r="S254" s="15">
        <f t="shared" si="30"/>
        <v>35.267973231772061</v>
      </c>
      <c r="T254" s="15">
        <f t="shared" si="31"/>
        <v>31.867622787923025</v>
      </c>
    </row>
    <row r="255" spans="1:20" x14ac:dyDescent="0.3">
      <c r="A255" s="5">
        <v>41891.083333333336</v>
      </c>
      <c r="B255" s="14">
        <v>122749.635278309</v>
      </c>
      <c r="C255" s="14">
        <v>120070.95018859699</v>
      </c>
      <c r="D255" s="6">
        <v>3503</v>
      </c>
      <c r="E255" s="1">
        <v>2014</v>
      </c>
      <c r="F255" s="1">
        <v>9</v>
      </c>
      <c r="G255" s="1" t="s">
        <v>37</v>
      </c>
      <c r="H255" s="12">
        <v>41883</v>
      </c>
      <c r="I255" s="1">
        <v>9</v>
      </c>
      <c r="J255" s="1">
        <v>3</v>
      </c>
      <c r="K255" s="1" t="s">
        <v>23</v>
      </c>
      <c r="L255" s="1" t="s">
        <v>22</v>
      </c>
      <c r="M255" s="15">
        <f t="shared" si="24"/>
        <v>35.041288974681414</v>
      </c>
      <c r="N255" s="15">
        <f t="shared" si="25"/>
        <v>34.276605820324576</v>
      </c>
      <c r="O255" s="14">
        <f t="shared" si="26"/>
        <v>2678.6850897120021</v>
      </c>
      <c r="P255" s="13">
        <f t="shared" si="27"/>
        <v>2.1822346629695857E-2</v>
      </c>
      <c r="Q255" s="15">
        <f t="shared" si="28"/>
        <v>0.7646831543568382</v>
      </c>
      <c r="R255" s="13">
        <f t="shared" si="29"/>
        <v>2.1822346629695875E-2</v>
      </c>
      <c r="S255" s="15">
        <f t="shared" si="30"/>
        <v>35.267973231772061</v>
      </c>
      <c r="T255" s="15">
        <f t="shared" si="31"/>
        <v>31.953289687104252</v>
      </c>
    </row>
    <row r="256" spans="1:20" x14ac:dyDescent="0.3">
      <c r="A256" s="5">
        <v>41892.083333333336</v>
      </c>
      <c r="B256" s="14">
        <v>78736.402839721195</v>
      </c>
      <c r="C256" s="14">
        <v>77071.542706110107</v>
      </c>
      <c r="D256" s="6">
        <v>2247</v>
      </c>
      <c r="E256" s="1">
        <v>2014</v>
      </c>
      <c r="F256" s="1">
        <v>9</v>
      </c>
      <c r="G256" s="1" t="s">
        <v>37</v>
      </c>
      <c r="H256" s="12">
        <v>41883</v>
      </c>
      <c r="I256" s="1">
        <v>10</v>
      </c>
      <c r="J256" s="1">
        <v>4</v>
      </c>
      <c r="K256" s="1" t="s">
        <v>25</v>
      </c>
      <c r="L256" s="1" t="s">
        <v>22</v>
      </c>
      <c r="M256" s="15">
        <f t="shared" si="24"/>
        <v>35.040677721282243</v>
      </c>
      <c r="N256" s="15">
        <f t="shared" si="25"/>
        <v>34.299751983137561</v>
      </c>
      <c r="O256" s="14">
        <f t="shared" si="26"/>
        <v>1664.8601336110878</v>
      </c>
      <c r="P256" s="13">
        <f t="shared" si="27"/>
        <v>2.1144731960896668E-2</v>
      </c>
      <c r="Q256" s="15">
        <f t="shared" si="28"/>
        <v>0.7409257381446821</v>
      </c>
      <c r="R256" s="13">
        <f t="shared" si="29"/>
        <v>2.1144731960896827E-2</v>
      </c>
      <c r="S256" s="15">
        <f t="shared" si="30"/>
        <v>35.267973231772061</v>
      </c>
      <c r="T256" s="15">
        <f t="shared" si="31"/>
        <v>32.039318456591296</v>
      </c>
    </row>
    <row r="257" spans="1:20" x14ac:dyDescent="0.3">
      <c r="A257" s="5">
        <v>41893.083333333336</v>
      </c>
      <c r="B257" s="14">
        <v>70875.110668741094</v>
      </c>
      <c r="C257" s="14">
        <v>69489.360846835101</v>
      </c>
      <c r="D257" s="6">
        <v>2023</v>
      </c>
      <c r="E257" s="1">
        <v>2014</v>
      </c>
      <c r="F257" s="1">
        <v>9</v>
      </c>
      <c r="G257" s="1" t="s">
        <v>37</v>
      </c>
      <c r="H257" s="12">
        <v>41883</v>
      </c>
      <c r="I257" s="1">
        <v>11</v>
      </c>
      <c r="J257" s="1">
        <v>5</v>
      </c>
      <c r="K257" s="1" t="s">
        <v>26</v>
      </c>
      <c r="L257" s="1" t="s">
        <v>22</v>
      </c>
      <c r="M257" s="15">
        <f t="shared" si="24"/>
        <v>35.034656781384626</v>
      </c>
      <c r="N257" s="15">
        <f t="shared" si="25"/>
        <v>34.349659340996098</v>
      </c>
      <c r="O257" s="14">
        <f t="shared" si="26"/>
        <v>1385.7498219059926</v>
      </c>
      <c r="P257" s="13">
        <f t="shared" si="27"/>
        <v>1.9551995176173554E-2</v>
      </c>
      <c r="Q257" s="15">
        <f t="shared" si="28"/>
        <v>0.68499744038852839</v>
      </c>
      <c r="R257" s="13">
        <f t="shared" si="29"/>
        <v>1.9551995176173557E-2</v>
      </c>
      <c r="S257" s="15">
        <f t="shared" si="30"/>
        <v>35.267973231772061</v>
      </c>
      <c r="T257" s="15">
        <f t="shared" si="31"/>
        <v>32.125070981270781</v>
      </c>
    </row>
    <row r="258" spans="1:20" x14ac:dyDescent="0.3">
      <c r="A258" s="5">
        <v>41894.083333333336</v>
      </c>
      <c r="B258" s="14">
        <v>148634.39140687499</v>
      </c>
      <c r="C258" s="14">
        <v>145956.13969592101</v>
      </c>
      <c r="D258" s="6">
        <v>4242</v>
      </c>
      <c r="E258" s="1">
        <v>2014</v>
      </c>
      <c r="F258" s="1">
        <v>9</v>
      </c>
      <c r="G258" s="1" t="s">
        <v>37</v>
      </c>
      <c r="H258" s="12">
        <v>41883</v>
      </c>
      <c r="I258" s="1">
        <v>12</v>
      </c>
      <c r="J258" s="1">
        <v>6</v>
      </c>
      <c r="K258" s="1" t="s">
        <v>27</v>
      </c>
      <c r="L258" s="1" t="s">
        <v>22</v>
      </c>
      <c r="M258" s="15">
        <f t="shared" si="24"/>
        <v>35.038753278376944</v>
      </c>
      <c r="N258" s="15">
        <f t="shared" si="25"/>
        <v>34.407387952833808</v>
      </c>
      <c r="O258" s="14">
        <f t="shared" si="26"/>
        <v>2678.2517109539767</v>
      </c>
      <c r="P258" s="13">
        <f t="shared" si="27"/>
        <v>1.8019057942131798E-2</v>
      </c>
      <c r="Q258" s="15">
        <f t="shared" si="28"/>
        <v>0.63136532554313618</v>
      </c>
      <c r="R258" s="13">
        <f t="shared" si="29"/>
        <v>1.8019057942131843E-2</v>
      </c>
      <c r="S258" s="15">
        <f t="shared" si="30"/>
        <v>35.267973231772061</v>
      </c>
      <c r="T258" s="15">
        <f t="shared" si="31"/>
        <v>32.21129316567125</v>
      </c>
    </row>
    <row r="259" spans="1:20" x14ac:dyDescent="0.3">
      <c r="A259" s="5">
        <v>41895.083333333336</v>
      </c>
      <c r="B259" s="14">
        <v>171724.82878193399</v>
      </c>
      <c r="C259" s="14">
        <v>168652.20357144199</v>
      </c>
      <c r="D259" s="6">
        <v>4901</v>
      </c>
      <c r="E259" s="1">
        <v>2014</v>
      </c>
      <c r="F259" s="1">
        <v>9</v>
      </c>
      <c r="G259" s="1" t="s">
        <v>37</v>
      </c>
      <c r="H259" s="12">
        <v>41883</v>
      </c>
      <c r="I259" s="1">
        <v>13</v>
      </c>
      <c r="J259" s="1">
        <v>7</v>
      </c>
      <c r="K259" s="1" t="s">
        <v>28</v>
      </c>
      <c r="L259" s="1" t="s">
        <v>22</v>
      </c>
      <c r="M259" s="15">
        <f t="shared" ref="M259:M322" si="32">IFERROR(B259/D259,0)</f>
        <v>35.038732663116505</v>
      </c>
      <c r="N259" s="15">
        <f t="shared" ref="N259:N322" si="33">IFERROR(C259/D259,0)</f>
        <v>34.411794240245257</v>
      </c>
      <c r="O259" s="14">
        <f t="shared" ref="O259:O322" si="34">B259-C259</f>
        <v>3072.6252104919986</v>
      </c>
      <c r="P259" s="13">
        <f t="shared" ref="P259:P322" si="35">IFERROR(O259/B259,0)</f>
        <v>1.7892725427572233E-2</v>
      </c>
      <c r="Q259" s="15">
        <f t="shared" ref="Q259:Q322" si="36">M259-N259</f>
        <v>0.62693842287124824</v>
      </c>
      <c r="R259" s="13">
        <f t="shared" ref="R259:R322" si="37">IFERROR(Q259/M259,0)</f>
        <v>1.789272542757217E-2</v>
      </c>
      <c r="S259" s="15">
        <f t="shared" ref="S259:S322" si="38">IFERROR(SUM($B$2:$B$1001)/SUM($D$2:$D$1001),0)</f>
        <v>35.267973231772061</v>
      </c>
      <c r="T259" s="15">
        <f t="shared" ref="T259:T322" si="39">AVERAGEIFS($M$2:$M$1001,$A$2:$A$1001,"&gt;="&amp;A259-29,$A$2:$A$1001,"&lt;="&amp;A259)</f>
        <v>32.298066870030688</v>
      </c>
    </row>
    <row r="260" spans="1:20" x14ac:dyDescent="0.3">
      <c r="A260" s="5">
        <v>41896.083333333336</v>
      </c>
      <c r="B260" s="14">
        <v>86435.698834951094</v>
      </c>
      <c r="C260" s="14">
        <v>84948.374577163704</v>
      </c>
      <c r="D260" s="6">
        <v>2467</v>
      </c>
      <c r="E260" s="1">
        <v>2014</v>
      </c>
      <c r="F260" s="1">
        <v>9</v>
      </c>
      <c r="G260" s="1" t="s">
        <v>37</v>
      </c>
      <c r="H260" s="12">
        <v>41883</v>
      </c>
      <c r="I260" s="1">
        <v>14</v>
      </c>
      <c r="J260" s="1">
        <v>1</v>
      </c>
      <c r="K260" s="1" t="s">
        <v>29</v>
      </c>
      <c r="L260" s="1" t="s">
        <v>22</v>
      </c>
      <c r="M260" s="15">
        <f t="shared" si="32"/>
        <v>35.03676482973291</v>
      </c>
      <c r="N260" s="15">
        <f t="shared" si="33"/>
        <v>34.433877007362668</v>
      </c>
      <c r="O260" s="14">
        <f t="shared" si="34"/>
        <v>1487.3242577873898</v>
      </c>
      <c r="P260" s="13">
        <f t="shared" si="35"/>
        <v>1.7207291406614696E-2</v>
      </c>
      <c r="Q260" s="15">
        <f t="shared" si="36"/>
        <v>0.60288782237024208</v>
      </c>
      <c r="R260" s="13">
        <f t="shared" si="37"/>
        <v>1.7207291406614665E-2</v>
      </c>
      <c r="S260" s="15">
        <f t="shared" si="38"/>
        <v>35.267973231772061</v>
      </c>
      <c r="T260" s="15">
        <f t="shared" si="39"/>
        <v>32.384352389373383</v>
      </c>
    </row>
    <row r="261" spans="1:20" x14ac:dyDescent="0.3">
      <c r="A261" s="5">
        <v>41897.083333333336</v>
      </c>
      <c r="B261" s="14">
        <v>120236.18270337</v>
      </c>
      <c r="C261" s="14">
        <v>118094.043193149</v>
      </c>
      <c r="D261" s="6">
        <v>3432</v>
      </c>
      <c r="E261" s="1">
        <v>2014</v>
      </c>
      <c r="F261" s="1">
        <v>9</v>
      </c>
      <c r="G261" s="1" t="s">
        <v>37</v>
      </c>
      <c r="H261" s="12">
        <v>41883</v>
      </c>
      <c r="I261" s="1">
        <v>15</v>
      </c>
      <c r="J261" s="1">
        <v>2</v>
      </c>
      <c r="K261" s="1" t="s">
        <v>21</v>
      </c>
      <c r="L261" s="1" t="s">
        <v>22</v>
      </c>
      <c r="M261" s="15">
        <f t="shared" si="32"/>
        <v>35.033852769047201</v>
      </c>
      <c r="N261" s="15">
        <f t="shared" si="33"/>
        <v>34.409686245090036</v>
      </c>
      <c r="O261" s="14">
        <f t="shared" si="34"/>
        <v>2142.1395102209935</v>
      </c>
      <c r="P261" s="13">
        <f t="shared" si="35"/>
        <v>1.7816097135300631E-2</v>
      </c>
      <c r="Q261" s="15">
        <f t="shared" si="36"/>
        <v>0.62416652395716454</v>
      </c>
      <c r="R261" s="13">
        <f t="shared" si="37"/>
        <v>1.7816097135300593E-2</v>
      </c>
      <c r="S261" s="15">
        <f t="shared" si="38"/>
        <v>35.267973231772061</v>
      </c>
      <c r="T261" s="15">
        <f t="shared" si="39"/>
        <v>32.470200755558189</v>
      </c>
    </row>
    <row r="262" spans="1:20" x14ac:dyDescent="0.3">
      <c r="A262" s="5">
        <v>41898.083333333336</v>
      </c>
      <c r="B262" s="14">
        <v>83204.196694181097</v>
      </c>
      <c r="C262" s="14">
        <v>81753.424593545598</v>
      </c>
      <c r="D262" s="6">
        <v>2375</v>
      </c>
      <c r="E262" s="1">
        <v>2014</v>
      </c>
      <c r="F262" s="1">
        <v>9</v>
      </c>
      <c r="G262" s="1" t="s">
        <v>37</v>
      </c>
      <c r="H262" s="12">
        <v>41883</v>
      </c>
      <c r="I262" s="1">
        <v>16</v>
      </c>
      <c r="J262" s="1">
        <v>3</v>
      </c>
      <c r="K262" s="1" t="s">
        <v>23</v>
      </c>
      <c r="L262" s="1" t="s">
        <v>22</v>
      </c>
      <c r="M262" s="15">
        <f t="shared" si="32"/>
        <v>35.033345976497301</v>
      </c>
      <c r="N262" s="15">
        <f t="shared" si="33"/>
        <v>34.42249456570341</v>
      </c>
      <c r="O262" s="14">
        <f t="shared" si="34"/>
        <v>1450.7721006354986</v>
      </c>
      <c r="P262" s="13">
        <f t="shared" si="35"/>
        <v>1.7436285166814895E-2</v>
      </c>
      <c r="Q262" s="15">
        <f t="shared" si="36"/>
        <v>0.6108514107938916</v>
      </c>
      <c r="R262" s="13">
        <f t="shared" si="37"/>
        <v>1.7436285166814822E-2</v>
      </c>
      <c r="S262" s="15">
        <f t="shared" si="38"/>
        <v>35.267973231772061</v>
      </c>
      <c r="T262" s="15">
        <f t="shared" si="39"/>
        <v>32.556163331275862</v>
      </c>
    </row>
    <row r="263" spans="1:20" x14ac:dyDescent="0.3">
      <c r="A263" s="5">
        <v>41899.083333333336</v>
      </c>
      <c r="B263" s="14">
        <v>73768.034734921006</v>
      </c>
      <c r="C263" s="14">
        <v>72471.919323404494</v>
      </c>
      <c r="D263" s="6">
        <v>2105</v>
      </c>
      <c r="E263" s="1">
        <v>2014</v>
      </c>
      <c r="F263" s="1">
        <v>9</v>
      </c>
      <c r="G263" s="1" t="s">
        <v>37</v>
      </c>
      <c r="H263" s="12">
        <v>41883</v>
      </c>
      <c r="I263" s="1">
        <v>17</v>
      </c>
      <c r="J263" s="1">
        <v>4</v>
      </c>
      <c r="K263" s="1" t="s">
        <v>25</v>
      </c>
      <c r="L263" s="1" t="s">
        <v>22</v>
      </c>
      <c r="M263" s="15">
        <f t="shared" si="32"/>
        <v>35.044197023715441</v>
      </c>
      <c r="N263" s="15">
        <f t="shared" si="33"/>
        <v>34.428465236771729</v>
      </c>
      <c r="O263" s="14">
        <f t="shared" si="34"/>
        <v>1296.1154115165118</v>
      </c>
      <c r="P263" s="13">
        <f t="shared" si="35"/>
        <v>1.7570149674909864E-2</v>
      </c>
      <c r="Q263" s="15">
        <f t="shared" si="36"/>
        <v>0.61573178694371222</v>
      </c>
      <c r="R263" s="13">
        <f t="shared" si="37"/>
        <v>1.7570149674909896E-2</v>
      </c>
      <c r="S263" s="15">
        <f t="shared" si="38"/>
        <v>35.267973231772061</v>
      </c>
      <c r="T263" s="15">
        <f t="shared" si="39"/>
        <v>32.642477941491812</v>
      </c>
    </row>
    <row r="264" spans="1:20" x14ac:dyDescent="0.3">
      <c r="A264" s="5">
        <v>41900.083333333336</v>
      </c>
      <c r="B264" s="14">
        <v>69425.445115770999</v>
      </c>
      <c r="C264" s="14">
        <v>68280.383276895198</v>
      </c>
      <c r="D264" s="6">
        <v>1982</v>
      </c>
      <c r="E264" s="1">
        <v>2014</v>
      </c>
      <c r="F264" s="1">
        <v>9</v>
      </c>
      <c r="G264" s="1" t="s">
        <v>37</v>
      </c>
      <c r="H264" s="12">
        <v>41883</v>
      </c>
      <c r="I264" s="1">
        <v>18</v>
      </c>
      <c r="J264" s="1">
        <v>5</v>
      </c>
      <c r="K264" s="1" t="s">
        <v>26</v>
      </c>
      <c r="L264" s="1" t="s">
        <v>22</v>
      </c>
      <c r="M264" s="15">
        <f t="shared" si="32"/>
        <v>35.027974326826943</v>
      </c>
      <c r="N264" s="15">
        <f t="shared" si="33"/>
        <v>34.450243832944096</v>
      </c>
      <c r="O264" s="14">
        <f t="shared" si="34"/>
        <v>1145.0618388758012</v>
      </c>
      <c r="P264" s="13">
        <f t="shared" si="35"/>
        <v>1.6493402915405776E-2</v>
      </c>
      <c r="Q264" s="15">
        <f t="shared" si="36"/>
        <v>0.57773049388284647</v>
      </c>
      <c r="R264" s="13">
        <f t="shared" si="37"/>
        <v>1.6493402915405783E-2</v>
      </c>
      <c r="S264" s="15">
        <f t="shared" si="38"/>
        <v>35.267973231772061</v>
      </c>
      <c r="T264" s="15">
        <f t="shared" si="39"/>
        <v>32.728163574898154</v>
      </c>
    </row>
    <row r="265" spans="1:20" x14ac:dyDescent="0.3">
      <c r="A265" s="5">
        <v>41901.083333333336</v>
      </c>
      <c r="B265" s="14">
        <v>137154.954087791</v>
      </c>
      <c r="C265" s="14">
        <v>135276.90958604601</v>
      </c>
      <c r="D265" s="6">
        <v>3915</v>
      </c>
      <c r="E265" s="1">
        <v>2014</v>
      </c>
      <c r="F265" s="1">
        <v>9</v>
      </c>
      <c r="G265" s="1" t="s">
        <v>37</v>
      </c>
      <c r="H265" s="12">
        <v>41883</v>
      </c>
      <c r="I265" s="1">
        <v>19</v>
      </c>
      <c r="J265" s="1">
        <v>6</v>
      </c>
      <c r="K265" s="1" t="s">
        <v>27</v>
      </c>
      <c r="L265" s="1" t="s">
        <v>22</v>
      </c>
      <c r="M265" s="15">
        <f t="shared" si="32"/>
        <v>35.033193892156071</v>
      </c>
      <c r="N265" s="15">
        <f t="shared" si="33"/>
        <v>34.553489038581354</v>
      </c>
      <c r="O265" s="14">
        <f t="shared" si="34"/>
        <v>1878.0445017449965</v>
      </c>
      <c r="P265" s="13">
        <f t="shared" si="35"/>
        <v>1.3692866686703026E-2</v>
      </c>
      <c r="Q265" s="15">
        <f t="shared" si="36"/>
        <v>0.47970485357471659</v>
      </c>
      <c r="R265" s="13">
        <f t="shared" si="37"/>
        <v>1.3692866686703163E-2</v>
      </c>
      <c r="S265" s="15">
        <f t="shared" si="38"/>
        <v>35.267973231772061</v>
      </c>
      <c r="T265" s="15">
        <f t="shared" si="39"/>
        <v>32.785554693036737</v>
      </c>
    </row>
    <row r="266" spans="1:20" x14ac:dyDescent="0.3">
      <c r="A266" s="5">
        <v>41902.083333333336</v>
      </c>
      <c r="B266" s="14">
        <v>153569.06188021001</v>
      </c>
      <c r="C266" s="14">
        <v>151376.135589805</v>
      </c>
      <c r="D266" s="6">
        <v>4383</v>
      </c>
      <c r="E266" s="1">
        <v>2014</v>
      </c>
      <c r="F266" s="1">
        <v>9</v>
      </c>
      <c r="G266" s="1" t="s">
        <v>37</v>
      </c>
      <c r="H266" s="12">
        <v>41883</v>
      </c>
      <c r="I266" s="1">
        <v>20</v>
      </c>
      <c r="J266" s="1">
        <v>7</v>
      </c>
      <c r="K266" s="1" t="s">
        <v>28</v>
      </c>
      <c r="L266" s="1" t="s">
        <v>22</v>
      </c>
      <c r="M266" s="15">
        <f t="shared" si="32"/>
        <v>35.037431412322611</v>
      </c>
      <c r="N266" s="15">
        <f t="shared" si="33"/>
        <v>34.537105998130272</v>
      </c>
      <c r="O266" s="14">
        <f t="shared" si="34"/>
        <v>2192.926290405012</v>
      </c>
      <c r="P266" s="13">
        <f t="shared" si="35"/>
        <v>1.4279740095798606E-2</v>
      </c>
      <c r="Q266" s="15">
        <f t="shared" si="36"/>
        <v>0.50032541419233922</v>
      </c>
      <c r="R266" s="13">
        <f t="shared" si="37"/>
        <v>1.4279740095798675E-2</v>
      </c>
      <c r="S266" s="15">
        <f t="shared" si="38"/>
        <v>35.267973231772061</v>
      </c>
      <c r="T266" s="15">
        <f t="shared" si="39"/>
        <v>32.842754377745422</v>
      </c>
    </row>
    <row r="267" spans="1:20" x14ac:dyDescent="0.3">
      <c r="A267" s="5">
        <v>41903.083333333336</v>
      </c>
      <c r="B267" s="14">
        <v>75633.3205886863</v>
      </c>
      <c r="C267" s="14">
        <v>74546.6682535992</v>
      </c>
      <c r="D267" s="6">
        <v>2159</v>
      </c>
      <c r="E267" s="1">
        <v>2014</v>
      </c>
      <c r="F267" s="1">
        <v>9</v>
      </c>
      <c r="G267" s="1" t="s">
        <v>37</v>
      </c>
      <c r="H267" s="12">
        <v>41883</v>
      </c>
      <c r="I267" s="1">
        <v>21</v>
      </c>
      <c r="J267" s="1">
        <v>1</v>
      </c>
      <c r="K267" s="1" t="s">
        <v>29</v>
      </c>
      <c r="L267" s="1" t="s">
        <v>22</v>
      </c>
      <c r="M267" s="15">
        <f t="shared" si="32"/>
        <v>35.031644552425334</v>
      </c>
      <c r="N267" s="15">
        <f t="shared" si="33"/>
        <v>34.528331752477627</v>
      </c>
      <c r="O267" s="14">
        <f t="shared" si="34"/>
        <v>1086.6523350870993</v>
      </c>
      <c r="P267" s="13">
        <f t="shared" si="35"/>
        <v>1.4367375736371511E-2</v>
      </c>
      <c r="Q267" s="15">
        <f t="shared" si="36"/>
        <v>0.50331279994770739</v>
      </c>
      <c r="R267" s="13">
        <f t="shared" si="37"/>
        <v>1.4367375736371523E-2</v>
      </c>
      <c r="S267" s="15">
        <f t="shared" si="38"/>
        <v>35.267973231772061</v>
      </c>
      <c r="T267" s="15">
        <f t="shared" si="39"/>
        <v>32.899918384403477</v>
      </c>
    </row>
    <row r="268" spans="1:20" x14ac:dyDescent="0.3">
      <c r="A268" s="5">
        <v>41904.083333333336</v>
      </c>
      <c r="B268" s="14">
        <v>90815.929812690898</v>
      </c>
      <c r="C268" s="14">
        <v>89653.637589452905</v>
      </c>
      <c r="D268" s="6">
        <v>2592</v>
      </c>
      <c r="E268" s="1">
        <v>2014</v>
      </c>
      <c r="F268" s="1">
        <v>9</v>
      </c>
      <c r="G268" s="1" t="s">
        <v>37</v>
      </c>
      <c r="H268" s="12">
        <v>41883</v>
      </c>
      <c r="I268" s="1">
        <v>22</v>
      </c>
      <c r="J268" s="1">
        <v>2</v>
      </c>
      <c r="K268" s="1" t="s">
        <v>21</v>
      </c>
      <c r="L268" s="1" t="s">
        <v>22</v>
      </c>
      <c r="M268" s="15">
        <f t="shared" si="32"/>
        <v>35.037009958599882</v>
      </c>
      <c r="N268" s="15">
        <f t="shared" si="33"/>
        <v>34.588594749017325</v>
      </c>
      <c r="O268" s="14">
        <f t="shared" si="34"/>
        <v>1162.2922232379933</v>
      </c>
      <c r="P268" s="13">
        <f t="shared" si="35"/>
        <v>1.2798329826443852E-2</v>
      </c>
      <c r="Q268" s="15">
        <f t="shared" si="36"/>
        <v>0.44841520958255643</v>
      </c>
      <c r="R268" s="13">
        <f t="shared" si="37"/>
        <v>1.2798329826443775E-2</v>
      </c>
      <c r="S268" s="15">
        <f t="shared" si="38"/>
        <v>35.267973231772061</v>
      </c>
      <c r="T268" s="15">
        <f t="shared" si="39"/>
        <v>32.95703374616086</v>
      </c>
    </row>
    <row r="269" spans="1:20" x14ac:dyDescent="0.3">
      <c r="A269" s="5">
        <v>41905.083333333336</v>
      </c>
      <c r="B269" s="14">
        <v>110118.15639146999</v>
      </c>
      <c r="C269" s="14">
        <v>108880.408963183</v>
      </c>
      <c r="D269" s="6">
        <v>3143</v>
      </c>
      <c r="E269" s="1">
        <v>2014</v>
      </c>
      <c r="F269" s="1">
        <v>9</v>
      </c>
      <c r="G269" s="1" t="s">
        <v>37</v>
      </c>
      <c r="H269" s="12">
        <v>41883</v>
      </c>
      <c r="I269" s="1">
        <v>23</v>
      </c>
      <c r="J269" s="1">
        <v>3</v>
      </c>
      <c r="K269" s="1" t="s">
        <v>23</v>
      </c>
      <c r="L269" s="1" t="s">
        <v>22</v>
      </c>
      <c r="M269" s="15">
        <f t="shared" si="32"/>
        <v>35.036002669891822</v>
      </c>
      <c r="N269" s="15">
        <f t="shared" si="33"/>
        <v>34.642191843201715</v>
      </c>
      <c r="O269" s="14">
        <f t="shared" si="34"/>
        <v>1237.7474282869953</v>
      </c>
      <c r="P269" s="13">
        <f t="shared" si="35"/>
        <v>1.1240175724399197E-2</v>
      </c>
      <c r="Q269" s="15">
        <f t="shared" si="36"/>
        <v>0.39381082669010681</v>
      </c>
      <c r="R269" s="13">
        <f t="shared" si="37"/>
        <v>1.124017572439929E-2</v>
      </c>
      <c r="S269" s="15">
        <f t="shared" si="38"/>
        <v>35.267973231772061</v>
      </c>
      <c r="T269" s="15">
        <f t="shared" si="39"/>
        <v>33.012445121724546</v>
      </c>
    </row>
    <row r="270" spans="1:20" x14ac:dyDescent="0.3">
      <c r="A270" s="5">
        <v>41906.083333333336</v>
      </c>
      <c r="B270" s="14">
        <v>209908.38311164</v>
      </c>
      <c r="C270" s="14">
        <v>223554.08660175101</v>
      </c>
      <c r="D270" s="6">
        <v>6457</v>
      </c>
      <c r="E270" s="1">
        <v>2014</v>
      </c>
      <c r="F270" s="1">
        <v>9</v>
      </c>
      <c r="G270" s="1" t="s">
        <v>37</v>
      </c>
      <c r="H270" s="12">
        <v>41883</v>
      </c>
      <c r="I270" s="1">
        <v>24</v>
      </c>
      <c r="J270" s="1">
        <v>4</v>
      </c>
      <c r="K270" s="1" t="s">
        <v>25</v>
      </c>
      <c r="L270" s="1" t="s">
        <v>22</v>
      </c>
      <c r="M270" s="15">
        <f t="shared" si="32"/>
        <v>32.508654655666717</v>
      </c>
      <c r="N270" s="15">
        <f t="shared" si="33"/>
        <v>34.621974074918853</v>
      </c>
      <c r="O270" s="14">
        <f t="shared" si="34"/>
        <v>-13645.703490111016</v>
      </c>
      <c r="P270" s="13">
        <f t="shared" si="35"/>
        <v>-6.500790148458975E-2</v>
      </c>
      <c r="Q270" s="15">
        <f t="shared" si="36"/>
        <v>-2.1133194192521358</v>
      </c>
      <c r="R270" s="13">
        <f t="shared" si="37"/>
        <v>-6.5007901484589875E-2</v>
      </c>
      <c r="S270" s="15">
        <f t="shared" si="38"/>
        <v>35.267973231772061</v>
      </c>
      <c r="T270" s="15">
        <f t="shared" si="39"/>
        <v>32.985058613503803</v>
      </c>
    </row>
    <row r="271" spans="1:20" x14ac:dyDescent="0.3">
      <c r="A271" s="5">
        <v>41907.083333333336</v>
      </c>
      <c r="B271" s="14">
        <v>358365.68296879297</v>
      </c>
      <c r="C271" s="14">
        <v>382967.98317568301</v>
      </c>
      <c r="D271" s="6">
        <v>11039</v>
      </c>
      <c r="E271" s="1">
        <v>2014</v>
      </c>
      <c r="F271" s="1">
        <v>9</v>
      </c>
      <c r="G271" s="1" t="s">
        <v>37</v>
      </c>
      <c r="H271" s="12">
        <v>41883</v>
      </c>
      <c r="I271" s="1">
        <v>25</v>
      </c>
      <c r="J271" s="1">
        <v>5</v>
      </c>
      <c r="K271" s="1" t="s">
        <v>26</v>
      </c>
      <c r="L271" s="1" t="s">
        <v>22</v>
      </c>
      <c r="M271" s="15">
        <f t="shared" si="32"/>
        <v>32.463600232701602</v>
      </c>
      <c r="N271" s="15">
        <f t="shared" si="33"/>
        <v>34.692271326721894</v>
      </c>
      <c r="O271" s="14">
        <f t="shared" si="34"/>
        <v>-24602.300206890039</v>
      </c>
      <c r="P271" s="13">
        <f t="shared" si="35"/>
        <v>-6.8651384259447751E-2</v>
      </c>
      <c r="Q271" s="15">
        <f t="shared" si="36"/>
        <v>-2.2286710940202923</v>
      </c>
      <c r="R271" s="13">
        <f t="shared" si="37"/>
        <v>-6.8651384259447668E-2</v>
      </c>
      <c r="S271" s="15">
        <f t="shared" si="38"/>
        <v>35.267973231772061</v>
      </c>
      <c r="T271" s="15">
        <f t="shared" si="39"/>
        <v>33.004814788122069</v>
      </c>
    </row>
    <row r="272" spans="1:20" x14ac:dyDescent="0.3">
      <c r="A272" s="5">
        <v>41908.083333333336</v>
      </c>
      <c r="B272" s="14">
        <v>585463.99600736005</v>
      </c>
      <c r="C272" s="14">
        <v>625980.93020941503</v>
      </c>
      <c r="D272" s="6">
        <v>18036</v>
      </c>
      <c r="E272" s="1">
        <v>2014</v>
      </c>
      <c r="F272" s="1">
        <v>9</v>
      </c>
      <c r="G272" s="1" t="s">
        <v>37</v>
      </c>
      <c r="H272" s="12">
        <v>41883</v>
      </c>
      <c r="I272" s="1">
        <v>26</v>
      </c>
      <c r="J272" s="1">
        <v>6</v>
      </c>
      <c r="K272" s="1" t="s">
        <v>27</v>
      </c>
      <c r="L272" s="1" t="s">
        <v>22</v>
      </c>
      <c r="M272" s="15">
        <f t="shared" si="32"/>
        <v>32.460855844275898</v>
      </c>
      <c r="N272" s="15">
        <f t="shared" si="33"/>
        <v>34.707303737492516</v>
      </c>
      <c r="O272" s="14">
        <f t="shared" si="34"/>
        <v>-40516.934202054981</v>
      </c>
      <c r="P272" s="13">
        <f t="shared" si="35"/>
        <v>-6.9204826391315158E-2</v>
      </c>
      <c r="Q272" s="15">
        <f t="shared" si="36"/>
        <v>-2.2464478932166188</v>
      </c>
      <c r="R272" s="13">
        <f t="shared" si="37"/>
        <v>-6.9204826391315075E-2</v>
      </c>
      <c r="S272" s="15">
        <f t="shared" si="38"/>
        <v>35.267973231772061</v>
      </c>
      <c r="T272" s="15">
        <f t="shared" si="39"/>
        <v>33.058997866778427</v>
      </c>
    </row>
    <row r="273" spans="1:20" x14ac:dyDescent="0.3">
      <c r="A273" s="5">
        <v>41909.083333333336</v>
      </c>
      <c r="B273" s="14">
        <v>617019.09153442096</v>
      </c>
      <c r="C273" s="14">
        <v>661010.59126386198</v>
      </c>
      <c r="D273" s="6">
        <v>19017</v>
      </c>
      <c r="E273" s="1">
        <v>2014</v>
      </c>
      <c r="F273" s="1">
        <v>9</v>
      </c>
      <c r="G273" s="1" t="s">
        <v>37</v>
      </c>
      <c r="H273" s="12">
        <v>41883</v>
      </c>
      <c r="I273" s="1">
        <v>27</v>
      </c>
      <c r="J273" s="1">
        <v>7</v>
      </c>
      <c r="K273" s="1" t="s">
        <v>28</v>
      </c>
      <c r="L273" s="1" t="s">
        <v>22</v>
      </c>
      <c r="M273" s="15">
        <f t="shared" si="32"/>
        <v>32.445658701920436</v>
      </c>
      <c r="N273" s="15">
        <f t="shared" si="33"/>
        <v>34.758931022972185</v>
      </c>
      <c r="O273" s="14">
        <f t="shared" si="34"/>
        <v>-43991.499729441013</v>
      </c>
      <c r="P273" s="13">
        <f t="shared" si="35"/>
        <v>-7.1296821010905315E-2</v>
      </c>
      <c r="Q273" s="15">
        <f t="shared" si="36"/>
        <v>-2.3132723210517483</v>
      </c>
      <c r="R273" s="13">
        <f t="shared" si="37"/>
        <v>-7.1296821010905453E-2</v>
      </c>
      <c r="S273" s="15">
        <f t="shared" si="38"/>
        <v>35.267973231772061</v>
      </c>
      <c r="T273" s="15">
        <f t="shared" si="39"/>
        <v>33.116447722735359</v>
      </c>
    </row>
    <row r="274" spans="1:20" x14ac:dyDescent="0.3">
      <c r="A274" s="5">
        <v>41910.083333333336</v>
      </c>
      <c r="B274" s="14">
        <v>283850.59710549901</v>
      </c>
      <c r="C274" s="14">
        <v>304440.65150645497</v>
      </c>
      <c r="D274" s="6">
        <v>8747</v>
      </c>
      <c r="E274" s="1">
        <v>2014</v>
      </c>
      <c r="F274" s="1">
        <v>9</v>
      </c>
      <c r="G274" s="1" t="s">
        <v>37</v>
      </c>
      <c r="H274" s="12">
        <v>41883</v>
      </c>
      <c r="I274" s="1">
        <v>28</v>
      </c>
      <c r="J274" s="1">
        <v>1</v>
      </c>
      <c r="K274" s="1" t="s">
        <v>29</v>
      </c>
      <c r="L274" s="1" t="s">
        <v>22</v>
      </c>
      <c r="M274" s="15">
        <f t="shared" si="32"/>
        <v>32.45119436441054</v>
      </c>
      <c r="N274" s="15">
        <f t="shared" si="33"/>
        <v>34.805150509483823</v>
      </c>
      <c r="O274" s="14">
        <f t="shared" si="34"/>
        <v>-20590.054400955967</v>
      </c>
      <c r="P274" s="13">
        <f t="shared" si="35"/>
        <v>-7.253835155154964E-2</v>
      </c>
      <c r="Q274" s="15">
        <f t="shared" si="36"/>
        <v>-2.3539561450732833</v>
      </c>
      <c r="R274" s="13">
        <f t="shared" si="37"/>
        <v>-7.2538351551549793E-2</v>
      </c>
      <c r="S274" s="15">
        <f t="shared" si="38"/>
        <v>35.267973231772061</v>
      </c>
      <c r="T274" s="15">
        <f t="shared" si="39"/>
        <v>33.173137871884826</v>
      </c>
    </row>
    <row r="275" spans="1:20" x14ac:dyDescent="0.3">
      <c r="A275" s="5">
        <v>41911.083333333336</v>
      </c>
      <c r="B275" s="14">
        <v>264317.11036810599</v>
      </c>
      <c r="C275" s="14">
        <v>283912.96869744197</v>
      </c>
      <c r="D275" s="6">
        <v>8147</v>
      </c>
      <c r="E275" s="1">
        <v>2014</v>
      </c>
      <c r="F275" s="1">
        <v>9</v>
      </c>
      <c r="G275" s="1" t="s">
        <v>37</v>
      </c>
      <c r="H275" s="12">
        <v>41883</v>
      </c>
      <c r="I275" s="1">
        <v>29</v>
      </c>
      <c r="J275" s="1">
        <v>2</v>
      </c>
      <c r="K275" s="1" t="s">
        <v>21</v>
      </c>
      <c r="L275" s="1" t="s">
        <v>22</v>
      </c>
      <c r="M275" s="15">
        <f t="shared" si="32"/>
        <v>32.443489673266967</v>
      </c>
      <c r="N275" s="15">
        <f t="shared" si="33"/>
        <v>34.848774849323917</v>
      </c>
      <c r="O275" s="14">
        <f t="shared" si="34"/>
        <v>-19595.858329335984</v>
      </c>
      <c r="P275" s="13">
        <f t="shared" si="35"/>
        <v>-7.4137683716523156E-2</v>
      </c>
      <c r="Q275" s="15">
        <f t="shared" si="36"/>
        <v>-2.4052851760569496</v>
      </c>
      <c r="R275" s="13">
        <f t="shared" si="37"/>
        <v>-7.4137683716523101E-2</v>
      </c>
      <c r="S275" s="15">
        <f t="shared" si="38"/>
        <v>35.267973231772061</v>
      </c>
      <c r="T275" s="15">
        <f t="shared" si="39"/>
        <v>33.229138202880812</v>
      </c>
    </row>
    <row r="276" spans="1:20" x14ac:dyDescent="0.3">
      <c r="A276" s="5">
        <v>41912.083333333336</v>
      </c>
      <c r="B276" s="14">
        <v>358024.98134882603</v>
      </c>
      <c r="C276" s="14">
        <v>384823.43987807201</v>
      </c>
      <c r="D276" s="6">
        <v>11036</v>
      </c>
      <c r="E276" s="1">
        <v>2014</v>
      </c>
      <c r="F276" s="1">
        <v>9</v>
      </c>
      <c r="G276" s="1" t="s">
        <v>37</v>
      </c>
      <c r="H276" s="12">
        <v>41883</v>
      </c>
      <c r="I276" s="1">
        <v>30</v>
      </c>
      <c r="J276" s="1">
        <v>3</v>
      </c>
      <c r="K276" s="1" t="s">
        <v>23</v>
      </c>
      <c r="L276" s="1" t="s">
        <v>22</v>
      </c>
      <c r="M276" s="15">
        <f t="shared" si="32"/>
        <v>32.44155322116945</v>
      </c>
      <c r="N276" s="15">
        <f t="shared" si="33"/>
        <v>34.869829637375133</v>
      </c>
      <c r="O276" s="14">
        <f t="shared" si="34"/>
        <v>-26798.458529245981</v>
      </c>
      <c r="P276" s="13">
        <f t="shared" si="35"/>
        <v>-7.4850806299284658E-2</v>
      </c>
      <c r="Q276" s="15">
        <f t="shared" si="36"/>
        <v>-2.4282764162056836</v>
      </c>
      <c r="R276" s="13">
        <f t="shared" si="37"/>
        <v>-7.4850806299284506E-2</v>
      </c>
      <c r="S276" s="15">
        <f t="shared" si="38"/>
        <v>35.267973231772061</v>
      </c>
      <c r="T276" s="15">
        <f t="shared" si="39"/>
        <v>33.28536160572277</v>
      </c>
    </row>
    <row r="277" spans="1:20" x14ac:dyDescent="0.3">
      <c r="A277" s="5">
        <v>41913.083333333336</v>
      </c>
      <c r="B277" s="14">
        <v>594438.28078030003</v>
      </c>
      <c r="C277" s="14">
        <v>639306.56878246495</v>
      </c>
      <c r="D277" s="6">
        <v>18330</v>
      </c>
      <c r="E277" s="1">
        <v>2014</v>
      </c>
      <c r="F277" s="1">
        <v>10</v>
      </c>
      <c r="G277" s="1" t="s">
        <v>38</v>
      </c>
      <c r="H277" s="12">
        <v>41913</v>
      </c>
      <c r="I277" s="1">
        <v>1</v>
      </c>
      <c r="J277" s="1">
        <v>4</v>
      </c>
      <c r="K277" s="1" t="s">
        <v>25</v>
      </c>
      <c r="L277" s="1" t="s">
        <v>22</v>
      </c>
      <c r="M277" s="15">
        <f t="shared" si="32"/>
        <v>32.429802552116747</v>
      </c>
      <c r="N277" s="15">
        <f t="shared" si="33"/>
        <v>34.877608771547457</v>
      </c>
      <c r="O277" s="14">
        <f t="shared" si="34"/>
        <v>-44868.288002164918</v>
      </c>
      <c r="P277" s="13">
        <f t="shared" si="35"/>
        <v>-7.548014563138121E-2</v>
      </c>
      <c r="Q277" s="15">
        <f t="shared" si="36"/>
        <v>-2.44780621943071</v>
      </c>
      <c r="R277" s="13">
        <f t="shared" si="37"/>
        <v>-7.548014563138121E-2</v>
      </c>
      <c r="S277" s="15">
        <f t="shared" si="38"/>
        <v>35.267973231772061</v>
      </c>
      <c r="T277" s="15">
        <f t="shared" si="39"/>
        <v>33.342303189456892</v>
      </c>
    </row>
    <row r="278" spans="1:20" x14ac:dyDescent="0.3">
      <c r="A278" s="5">
        <v>41914.083333333336</v>
      </c>
      <c r="B278" s="14">
        <v>470507.66304443899</v>
      </c>
      <c r="C278" s="14">
        <v>506072.03334142902</v>
      </c>
      <c r="D278" s="6">
        <v>14503</v>
      </c>
      <c r="E278" s="1">
        <v>2014</v>
      </c>
      <c r="F278" s="1">
        <v>10</v>
      </c>
      <c r="G278" s="1" t="s">
        <v>38</v>
      </c>
      <c r="H278" s="12">
        <v>41913</v>
      </c>
      <c r="I278" s="1">
        <v>2</v>
      </c>
      <c r="J278" s="1">
        <v>5</v>
      </c>
      <c r="K278" s="1" t="s">
        <v>26</v>
      </c>
      <c r="L278" s="1" t="s">
        <v>22</v>
      </c>
      <c r="M278" s="15">
        <f t="shared" si="32"/>
        <v>32.44209219088733</v>
      </c>
      <c r="N278" s="15">
        <f t="shared" si="33"/>
        <v>34.894300030437087</v>
      </c>
      <c r="O278" s="14">
        <f t="shared" si="34"/>
        <v>-35564.370296990033</v>
      </c>
      <c r="P278" s="13">
        <f t="shared" si="35"/>
        <v>-7.5587228626350797E-2</v>
      </c>
      <c r="Q278" s="15">
        <f t="shared" si="36"/>
        <v>-2.4522078395497573</v>
      </c>
      <c r="R278" s="13">
        <f t="shared" si="37"/>
        <v>-7.5587228626351005E-2</v>
      </c>
      <c r="S278" s="15">
        <f t="shared" si="38"/>
        <v>35.267973231772061</v>
      </c>
      <c r="T278" s="15">
        <f t="shared" si="39"/>
        <v>33.400293926199048</v>
      </c>
    </row>
    <row r="279" spans="1:20" x14ac:dyDescent="0.3">
      <c r="A279" s="5">
        <v>41915.083333333336</v>
      </c>
      <c r="B279" s="14">
        <v>518693.52866487199</v>
      </c>
      <c r="C279" s="14">
        <v>557939.36927636899</v>
      </c>
      <c r="D279" s="6">
        <v>15986</v>
      </c>
      <c r="E279" s="1">
        <v>2014</v>
      </c>
      <c r="F279" s="1">
        <v>10</v>
      </c>
      <c r="G279" s="1" t="s">
        <v>38</v>
      </c>
      <c r="H279" s="12">
        <v>41913</v>
      </c>
      <c r="I279" s="1">
        <v>3</v>
      </c>
      <c r="J279" s="1">
        <v>6</v>
      </c>
      <c r="K279" s="1" t="s">
        <v>27</v>
      </c>
      <c r="L279" s="1" t="s">
        <v>22</v>
      </c>
      <c r="M279" s="15">
        <f t="shared" si="32"/>
        <v>32.446736435935946</v>
      </c>
      <c r="N279" s="15">
        <f t="shared" si="33"/>
        <v>34.901749610682408</v>
      </c>
      <c r="O279" s="14">
        <f t="shared" si="34"/>
        <v>-39245.840611496998</v>
      </c>
      <c r="P279" s="13">
        <f t="shared" si="35"/>
        <v>-7.5662869194679586E-2</v>
      </c>
      <c r="Q279" s="15">
        <f t="shared" si="36"/>
        <v>-2.4550131747464619</v>
      </c>
      <c r="R279" s="13">
        <f t="shared" si="37"/>
        <v>-7.5662869194679475E-2</v>
      </c>
      <c r="S279" s="15">
        <f t="shared" si="38"/>
        <v>35.267973231772061</v>
      </c>
      <c r="T279" s="15">
        <f t="shared" si="39"/>
        <v>33.457419579272823</v>
      </c>
    </row>
    <row r="280" spans="1:20" x14ac:dyDescent="0.3">
      <c r="A280" s="5">
        <v>41916.083333333336</v>
      </c>
      <c r="B280" s="14">
        <v>656245.82842866599</v>
      </c>
      <c r="C280" s="14">
        <v>705891.30026245199</v>
      </c>
      <c r="D280" s="6">
        <v>20223</v>
      </c>
      <c r="E280" s="1">
        <v>2014</v>
      </c>
      <c r="F280" s="1">
        <v>10</v>
      </c>
      <c r="G280" s="1" t="s">
        <v>38</v>
      </c>
      <c r="H280" s="12">
        <v>41913</v>
      </c>
      <c r="I280" s="1">
        <v>4</v>
      </c>
      <c r="J280" s="1">
        <v>7</v>
      </c>
      <c r="K280" s="1" t="s">
        <v>28</v>
      </c>
      <c r="L280" s="1" t="s">
        <v>22</v>
      </c>
      <c r="M280" s="15">
        <f t="shared" si="32"/>
        <v>32.450468695478712</v>
      </c>
      <c r="N280" s="15">
        <f t="shared" si="33"/>
        <v>34.905370136105027</v>
      </c>
      <c r="O280" s="14">
        <f t="shared" si="34"/>
        <v>-49645.471833785996</v>
      </c>
      <c r="P280" s="13">
        <f t="shared" si="35"/>
        <v>-7.5650723681792459E-2</v>
      </c>
      <c r="Q280" s="15">
        <f t="shared" si="36"/>
        <v>-2.4549014406263154</v>
      </c>
      <c r="R280" s="13">
        <f t="shared" si="37"/>
        <v>-7.5650723681792431E-2</v>
      </c>
      <c r="S280" s="15">
        <f t="shared" si="38"/>
        <v>35.267973231772061</v>
      </c>
      <c r="T280" s="15">
        <f t="shared" si="39"/>
        <v>33.514859595800623</v>
      </c>
    </row>
    <row r="281" spans="1:20" x14ac:dyDescent="0.3">
      <c r="A281" s="5">
        <v>41917.083333333336</v>
      </c>
      <c r="B281" s="14">
        <v>280055.11771676299</v>
      </c>
      <c r="C281" s="14">
        <v>301279.65498243202</v>
      </c>
      <c r="D281" s="6">
        <v>8631</v>
      </c>
      <c r="E281" s="1">
        <v>2014</v>
      </c>
      <c r="F281" s="1">
        <v>10</v>
      </c>
      <c r="G281" s="1" t="s">
        <v>38</v>
      </c>
      <c r="H281" s="12">
        <v>41913</v>
      </c>
      <c r="I281" s="1">
        <v>5</v>
      </c>
      <c r="J281" s="1">
        <v>1</v>
      </c>
      <c r="K281" s="1" t="s">
        <v>29</v>
      </c>
      <c r="L281" s="1" t="s">
        <v>22</v>
      </c>
      <c r="M281" s="15">
        <f t="shared" si="32"/>
        <v>32.447586341879621</v>
      </c>
      <c r="N281" s="15">
        <f t="shared" si="33"/>
        <v>34.906691574838611</v>
      </c>
      <c r="O281" s="14">
        <f t="shared" si="34"/>
        <v>-21224.537265669031</v>
      </c>
      <c r="P281" s="13">
        <f t="shared" si="35"/>
        <v>-7.5787000211632316E-2</v>
      </c>
      <c r="Q281" s="15">
        <f t="shared" si="36"/>
        <v>-2.45910523295899</v>
      </c>
      <c r="R281" s="13">
        <f t="shared" si="37"/>
        <v>-7.5787000211632358E-2</v>
      </c>
      <c r="S281" s="15">
        <f t="shared" si="38"/>
        <v>35.267973231772061</v>
      </c>
      <c r="T281" s="15">
        <f t="shared" si="39"/>
        <v>33.571963893351359</v>
      </c>
    </row>
    <row r="282" spans="1:20" x14ac:dyDescent="0.3">
      <c r="A282" s="5">
        <v>41918.083333333336</v>
      </c>
      <c r="B282" s="14">
        <v>375648.01745595399</v>
      </c>
      <c r="C282" s="14">
        <v>404178.92105522798</v>
      </c>
      <c r="D282" s="6">
        <v>11579</v>
      </c>
      <c r="E282" s="1">
        <v>2014</v>
      </c>
      <c r="F282" s="1">
        <v>10</v>
      </c>
      <c r="G282" s="1" t="s">
        <v>38</v>
      </c>
      <c r="H282" s="12">
        <v>41913</v>
      </c>
      <c r="I282" s="1">
        <v>6</v>
      </c>
      <c r="J282" s="1">
        <v>2</v>
      </c>
      <c r="K282" s="1" t="s">
        <v>21</v>
      </c>
      <c r="L282" s="1" t="s">
        <v>22</v>
      </c>
      <c r="M282" s="15">
        <f t="shared" si="32"/>
        <v>32.44218131582641</v>
      </c>
      <c r="N282" s="15">
        <f t="shared" si="33"/>
        <v>34.906202699302874</v>
      </c>
      <c r="O282" s="14">
        <f t="shared" si="34"/>
        <v>-28530.903599273995</v>
      </c>
      <c r="P282" s="13">
        <f t="shared" si="35"/>
        <v>-7.5951162453877036E-2</v>
      </c>
      <c r="Q282" s="15">
        <f t="shared" si="36"/>
        <v>-2.4640213834764637</v>
      </c>
      <c r="R282" s="13">
        <f t="shared" si="37"/>
        <v>-7.5951162453876966E-2</v>
      </c>
      <c r="S282" s="15">
        <f t="shared" si="38"/>
        <v>35.267973231772061</v>
      </c>
      <c r="T282" s="15">
        <f t="shared" si="39"/>
        <v>33.628990540014293</v>
      </c>
    </row>
    <row r="283" spans="1:20" x14ac:dyDescent="0.3">
      <c r="A283" s="5">
        <v>41919.083333333336</v>
      </c>
      <c r="B283" s="14">
        <v>78111.716463120698</v>
      </c>
      <c r="C283" s="14">
        <v>74251.874725965507</v>
      </c>
      <c r="D283" s="6">
        <v>2127</v>
      </c>
      <c r="E283" s="1">
        <v>2014</v>
      </c>
      <c r="F283" s="1">
        <v>10</v>
      </c>
      <c r="G283" s="1" t="s">
        <v>38</v>
      </c>
      <c r="H283" s="12">
        <v>41913</v>
      </c>
      <c r="I283" s="1">
        <v>7</v>
      </c>
      <c r="J283" s="1">
        <v>3</v>
      </c>
      <c r="K283" s="1" t="s">
        <v>23</v>
      </c>
      <c r="L283" s="1" t="s">
        <v>22</v>
      </c>
      <c r="M283" s="15">
        <f t="shared" si="32"/>
        <v>36.723891143921342</v>
      </c>
      <c r="N283" s="15">
        <f t="shared" si="33"/>
        <v>34.909202974125769</v>
      </c>
      <c r="O283" s="14">
        <f t="shared" si="34"/>
        <v>3859.8417371551914</v>
      </c>
      <c r="P283" s="13">
        <f t="shared" si="35"/>
        <v>4.9414376125988209E-2</v>
      </c>
      <c r="Q283" s="15">
        <f t="shared" si="36"/>
        <v>1.8146881697955735</v>
      </c>
      <c r="R283" s="13">
        <f t="shared" si="37"/>
        <v>4.9414376125988126E-2</v>
      </c>
      <c r="S283" s="15">
        <f t="shared" si="38"/>
        <v>35.267973231772061</v>
      </c>
      <c r="T283" s="15">
        <f t="shared" si="39"/>
        <v>33.828825571973887</v>
      </c>
    </row>
    <row r="284" spans="1:20" x14ac:dyDescent="0.3">
      <c r="A284" s="5">
        <v>41920.083333333336</v>
      </c>
      <c r="B284" s="14">
        <v>70509.132791540396</v>
      </c>
      <c r="C284" s="14">
        <v>67141.979629084002</v>
      </c>
      <c r="D284" s="6">
        <v>1923</v>
      </c>
      <c r="E284" s="1">
        <v>2014</v>
      </c>
      <c r="F284" s="1">
        <v>10</v>
      </c>
      <c r="G284" s="1" t="s">
        <v>38</v>
      </c>
      <c r="H284" s="12">
        <v>41913</v>
      </c>
      <c r="I284" s="1">
        <v>8</v>
      </c>
      <c r="J284" s="1">
        <v>4</v>
      </c>
      <c r="K284" s="1" t="s">
        <v>25</v>
      </c>
      <c r="L284" s="1" t="s">
        <v>22</v>
      </c>
      <c r="M284" s="15">
        <f t="shared" si="32"/>
        <v>36.666215700229017</v>
      </c>
      <c r="N284" s="15">
        <f t="shared" si="33"/>
        <v>34.915226016164326</v>
      </c>
      <c r="O284" s="14">
        <f t="shared" si="34"/>
        <v>3367.1531624563941</v>
      </c>
      <c r="P284" s="13">
        <f t="shared" si="35"/>
        <v>4.7754851451816197E-2</v>
      </c>
      <c r="Q284" s="15">
        <f t="shared" si="36"/>
        <v>1.7509896840646917</v>
      </c>
      <c r="R284" s="13">
        <f t="shared" si="37"/>
        <v>4.7754851451816308E-2</v>
      </c>
      <c r="S284" s="15">
        <f t="shared" si="38"/>
        <v>35.267973231772061</v>
      </c>
      <c r="T284" s="15">
        <f t="shared" si="39"/>
        <v>34.026983596658134</v>
      </c>
    </row>
    <row r="285" spans="1:20" x14ac:dyDescent="0.3">
      <c r="A285" s="5">
        <v>41921.083333333336</v>
      </c>
      <c r="B285" s="14">
        <v>103281.311047572</v>
      </c>
      <c r="C285" s="14">
        <v>98065.939078450901</v>
      </c>
      <c r="D285" s="6">
        <v>2809</v>
      </c>
      <c r="E285" s="1">
        <v>2014</v>
      </c>
      <c r="F285" s="1">
        <v>10</v>
      </c>
      <c r="G285" s="1" t="s">
        <v>38</v>
      </c>
      <c r="H285" s="12">
        <v>41913</v>
      </c>
      <c r="I285" s="1">
        <v>9</v>
      </c>
      <c r="J285" s="1">
        <v>5</v>
      </c>
      <c r="K285" s="1" t="s">
        <v>26</v>
      </c>
      <c r="L285" s="1" t="s">
        <v>22</v>
      </c>
      <c r="M285" s="15">
        <f t="shared" si="32"/>
        <v>36.767999660936987</v>
      </c>
      <c r="N285" s="15">
        <f t="shared" si="33"/>
        <v>34.911334666589852</v>
      </c>
      <c r="O285" s="14">
        <f t="shared" si="34"/>
        <v>5215.3719691211008</v>
      </c>
      <c r="P285" s="13">
        <f t="shared" si="35"/>
        <v>5.0496763801912516E-2</v>
      </c>
      <c r="Q285" s="15">
        <f t="shared" si="36"/>
        <v>1.8566649943471347</v>
      </c>
      <c r="R285" s="13">
        <f t="shared" si="37"/>
        <v>5.0496763801912523E-2</v>
      </c>
      <c r="S285" s="15">
        <f t="shared" si="38"/>
        <v>35.267973231772061</v>
      </c>
      <c r="T285" s="15">
        <f t="shared" si="39"/>
        <v>34.084540619533321</v>
      </c>
    </row>
    <row r="286" spans="1:20" x14ac:dyDescent="0.3">
      <c r="A286" s="5">
        <v>41922.083333333336</v>
      </c>
      <c r="B286" s="14">
        <v>179841.43177972399</v>
      </c>
      <c r="C286" s="14">
        <v>170757.581177207</v>
      </c>
      <c r="D286" s="6">
        <v>4891</v>
      </c>
      <c r="E286" s="1">
        <v>2014</v>
      </c>
      <c r="F286" s="1">
        <v>10</v>
      </c>
      <c r="G286" s="1" t="s">
        <v>38</v>
      </c>
      <c r="H286" s="12">
        <v>41913</v>
      </c>
      <c r="I286" s="1">
        <v>10</v>
      </c>
      <c r="J286" s="1">
        <v>6</v>
      </c>
      <c r="K286" s="1" t="s">
        <v>27</v>
      </c>
      <c r="L286" s="1" t="s">
        <v>22</v>
      </c>
      <c r="M286" s="15">
        <f t="shared" si="32"/>
        <v>36.769869511290942</v>
      </c>
      <c r="N286" s="15">
        <f t="shared" si="33"/>
        <v>34.912611158701083</v>
      </c>
      <c r="O286" s="14">
        <f t="shared" si="34"/>
        <v>9083.8506025169918</v>
      </c>
      <c r="P286" s="13">
        <f t="shared" si="35"/>
        <v>5.0510332978460748E-2</v>
      </c>
      <c r="Q286" s="15">
        <f t="shared" si="36"/>
        <v>1.8572583525898594</v>
      </c>
      <c r="R286" s="13">
        <f t="shared" si="37"/>
        <v>5.0510332978460803E-2</v>
      </c>
      <c r="S286" s="15">
        <f t="shared" si="38"/>
        <v>35.267973231772061</v>
      </c>
      <c r="T286" s="15">
        <f t="shared" si="39"/>
        <v>34.14218034586694</v>
      </c>
    </row>
    <row r="287" spans="1:20" x14ac:dyDescent="0.3">
      <c r="A287" s="5">
        <v>41923.083333333336</v>
      </c>
      <c r="B287" s="14">
        <v>138038.239752895</v>
      </c>
      <c r="C287" s="14">
        <v>131192.316771474</v>
      </c>
      <c r="D287" s="6">
        <v>3758</v>
      </c>
      <c r="E287" s="1">
        <v>2014</v>
      </c>
      <c r="F287" s="1">
        <v>10</v>
      </c>
      <c r="G287" s="1" t="s">
        <v>38</v>
      </c>
      <c r="H287" s="12">
        <v>41913</v>
      </c>
      <c r="I287" s="1">
        <v>11</v>
      </c>
      <c r="J287" s="1">
        <v>7</v>
      </c>
      <c r="K287" s="1" t="s">
        <v>28</v>
      </c>
      <c r="L287" s="1" t="s">
        <v>22</v>
      </c>
      <c r="M287" s="15">
        <f t="shared" si="32"/>
        <v>36.731836017268492</v>
      </c>
      <c r="N287" s="15">
        <f t="shared" si="33"/>
        <v>34.910142834346459</v>
      </c>
      <c r="O287" s="14">
        <f t="shared" si="34"/>
        <v>6845.9229814209975</v>
      </c>
      <c r="P287" s="13">
        <f t="shared" si="35"/>
        <v>4.9594394956615072E-2</v>
      </c>
      <c r="Q287" s="15">
        <f t="shared" si="36"/>
        <v>1.8216931829220329</v>
      </c>
      <c r="R287" s="13">
        <f t="shared" si="37"/>
        <v>4.9594394956615086E-2</v>
      </c>
      <c r="S287" s="15">
        <f t="shared" si="38"/>
        <v>35.267973231772061</v>
      </c>
      <c r="T287" s="15">
        <f t="shared" si="39"/>
        <v>34.198752987063067</v>
      </c>
    </row>
    <row r="288" spans="1:20" x14ac:dyDescent="0.3">
      <c r="A288" s="5">
        <v>41924.083333333336</v>
      </c>
      <c r="B288" s="14">
        <v>61037.562229970397</v>
      </c>
      <c r="C288" s="14">
        <v>57992.341511187697</v>
      </c>
      <c r="D288" s="6">
        <v>1661</v>
      </c>
      <c r="E288" s="1">
        <v>2014</v>
      </c>
      <c r="F288" s="1">
        <v>10</v>
      </c>
      <c r="G288" s="1" t="s">
        <v>38</v>
      </c>
      <c r="H288" s="12">
        <v>41913</v>
      </c>
      <c r="I288" s="1">
        <v>12</v>
      </c>
      <c r="J288" s="1">
        <v>1</v>
      </c>
      <c r="K288" s="1" t="s">
        <v>29</v>
      </c>
      <c r="L288" s="1" t="s">
        <v>22</v>
      </c>
      <c r="M288" s="15">
        <f t="shared" si="32"/>
        <v>36.747478765785914</v>
      </c>
      <c r="N288" s="15">
        <f t="shared" si="33"/>
        <v>34.914112890540459</v>
      </c>
      <c r="O288" s="14">
        <f t="shared" si="34"/>
        <v>3045.2207187827007</v>
      </c>
      <c r="P288" s="13">
        <f t="shared" si="35"/>
        <v>4.9890929577253822E-2</v>
      </c>
      <c r="Q288" s="15">
        <f t="shared" si="36"/>
        <v>1.8333658752454554</v>
      </c>
      <c r="R288" s="13">
        <f t="shared" si="37"/>
        <v>4.9890929577253829E-2</v>
      </c>
      <c r="S288" s="15">
        <f t="shared" si="38"/>
        <v>35.267973231772061</v>
      </c>
      <c r="T288" s="15">
        <f t="shared" si="39"/>
        <v>34.255710503310041</v>
      </c>
    </row>
    <row r="289" spans="1:20" x14ac:dyDescent="0.3">
      <c r="A289" s="5">
        <v>41925.083333333336</v>
      </c>
      <c r="B289" s="14">
        <v>86799.759454041705</v>
      </c>
      <c r="C289" s="14">
        <v>82392.333264616405</v>
      </c>
      <c r="D289" s="6">
        <v>2360</v>
      </c>
      <c r="E289" s="1">
        <v>2014</v>
      </c>
      <c r="F289" s="1">
        <v>10</v>
      </c>
      <c r="G289" s="1" t="s">
        <v>38</v>
      </c>
      <c r="H289" s="12">
        <v>41913</v>
      </c>
      <c r="I289" s="1">
        <v>13</v>
      </c>
      <c r="J289" s="1">
        <v>2</v>
      </c>
      <c r="K289" s="1" t="s">
        <v>21</v>
      </c>
      <c r="L289" s="1" t="s">
        <v>22</v>
      </c>
      <c r="M289" s="15">
        <f t="shared" si="32"/>
        <v>36.779559090695635</v>
      </c>
      <c r="N289" s="15">
        <f t="shared" si="33"/>
        <v>34.912005620600169</v>
      </c>
      <c r="O289" s="14">
        <f t="shared" si="34"/>
        <v>4407.4261894252995</v>
      </c>
      <c r="P289" s="13">
        <f t="shared" si="35"/>
        <v>5.0776940133790589E-2</v>
      </c>
      <c r="Q289" s="15">
        <f t="shared" si="36"/>
        <v>1.8675534700954657</v>
      </c>
      <c r="R289" s="13">
        <f t="shared" si="37"/>
        <v>5.0776940133790589E-2</v>
      </c>
      <c r="S289" s="15">
        <f t="shared" si="38"/>
        <v>35.267973231772061</v>
      </c>
      <c r="T289" s="15">
        <f t="shared" si="39"/>
        <v>34.313738050895999</v>
      </c>
    </row>
    <row r="290" spans="1:20" x14ac:dyDescent="0.3">
      <c r="A290" s="5">
        <v>41926.083333333336</v>
      </c>
      <c r="B290" s="14">
        <v>69570.501466700705</v>
      </c>
      <c r="C290" s="14">
        <v>66313.940979270206</v>
      </c>
      <c r="D290" s="6">
        <v>1894</v>
      </c>
      <c r="E290" s="1">
        <v>2014</v>
      </c>
      <c r="F290" s="1">
        <v>10</v>
      </c>
      <c r="G290" s="1" t="s">
        <v>38</v>
      </c>
      <c r="H290" s="12">
        <v>41913</v>
      </c>
      <c r="I290" s="1">
        <v>14</v>
      </c>
      <c r="J290" s="1">
        <v>3</v>
      </c>
      <c r="K290" s="1" t="s">
        <v>23</v>
      </c>
      <c r="L290" s="1" t="s">
        <v>22</v>
      </c>
      <c r="M290" s="15">
        <f t="shared" si="32"/>
        <v>36.732049348838807</v>
      </c>
      <c r="N290" s="15">
        <f t="shared" si="33"/>
        <v>35.012640432560829</v>
      </c>
      <c r="O290" s="14">
        <f t="shared" si="34"/>
        <v>3256.5604874304991</v>
      </c>
      <c r="P290" s="13">
        <f t="shared" si="35"/>
        <v>4.6809501423375859E-2</v>
      </c>
      <c r="Q290" s="15">
        <f t="shared" si="36"/>
        <v>1.7194089162779775</v>
      </c>
      <c r="R290" s="13">
        <f t="shared" si="37"/>
        <v>4.6809501423375727E-2</v>
      </c>
      <c r="S290" s="15">
        <f t="shared" si="38"/>
        <v>35.267973231772061</v>
      </c>
      <c r="T290" s="15">
        <f t="shared" si="39"/>
        <v>34.370247534866202</v>
      </c>
    </row>
    <row r="291" spans="1:20" x14ac:dyDescent="0.3">
      <c r="A291" s="5">
        <v>41927.083333333336</v>
      </c>
      <c r="B291" s="14">
        <v>130476.355345242</v>
      </c>
      <c r="C291" s="14">
        <v>124398.431629589</v>
      </c>
      <c r="D291" s="6">
        <v>3548</v>
      </c>
      <c r="E291" s="1">
        <v>2014</v>
      </c>
      <c r="F291" s="1">
        <v>10</v>
      </c>
      <c r="G291" s="1" t="s">
        <v>38</v>
      </c>
      <c r="H291" s="12">
        <v>41913</v>
      </c>
      <c r="I291" s="1">
        <v>15</v>
      </c>
      <c r="J291" s="1">
        <v>4</v>
      </c>
      <c r="K291" s="1" t="s">
        <v>25</v>
      </c>
      <c r="L291" s="1" t="s">
        <v>22</v>
      </c>
      <c r="M291" s="15">
        <f t="shared" si="32"/>
        <v>36.774621010496617</v>
      </c>
      <c r="N291" s="15">
        <f t="shared" si="33"/>
        <v>35.061564720853724</v>
      </c>
      <c r="O291" s="14">
        <f t="shared" si="34"/>
        <v>6077.9237156529998</v>
      </c>
      <c r="P291" s="13">
        <f t="shared" si="35"/>
        <v>4.6582568156281964E-2</v>
      </c>
      <c r="Q291" s="15">
        <f t="shared" si="36"/>
        <v>1.7130562896428927</v>
      </c>
      <c r="R291" s="13">
        <f t="shared" si="37"/>
        <v>4.6582568156281839E-2</v>
      </c>
      <c r="S291" s="15">
        <f t="shared" si="38"/>
        <v>35.267973231772061</v>
      </c>
      <c r="T291" s="15">
        <f t="shared" si="39"/>
        <v>34.428273142914513</v>
      </c>
    </row>
    <row r="292" spans="1:20" x14ac:dyDescent="0.3">
      <c r="A292" s="5">
        <v>41928.083333333336</v>
      </c>
      <c r="B292" s="14">
        <v>95229.773480081203</v>
      </c>
      <c r="C292" s="14">
        <v>91087.851335542902</v>
      </c>
      <c r="D292" s="6">
        <v>2591</v>
      </c>
      <c r="E292" s="1">
        <v>2014</v>
      </c>
      <c r="F292" s="1">
        <v>10</v>
      </c>
      <c r="G292" s="1" t="s">
        <v>38</v>
      </c>
      <c r="H292" s="12">
        <v>41913</v>
      </c>
      <c r="I292" s="1">
        <v>16</v>
      </c>
      <c r="J292" s="1">
        <v>5</v>
      </c>
      <c r="K292" s="1" t="s">
        <v>26</v>
      </c>
      <c r="L292" s="1" t="s">
        <v>22</v>
      </c>
      <c r="M292" s="15">
        <f t="shared" si="32"/>
        <v>36.75406155155585</v>
      </c>
      <c r="N292" s="15">
        <f t="shared" si="33"/>
        <v>35.155481024910422</v>
      </c>
      <c r="O292" s="14">
        <f t="shared" si="34"/>
        <v>4141.9221445383009</v>
      </c>
      <c r="P292" s="13">
        <f t="shared" si="35"/>
        <v>4.3493982954864938E-2</v>
      </c>
      <c r="Q292" s="15">
        <f t="shared" si="36"/>
        <v>1.5985805266454278</v>
      </c>
      <c r="R292" s="13">
        <f t="shared" si="37"/>
        <v>4.3493982954864965E-2</v>
      </c>
      <c r="S292" s="15">
        <f t="shared" si="38"/>
        <v>35.267973231772061</v>
      </c>
      <c r="T292" s="15">
        <f t="shared" si="39"/>
        <v>34.485630328749806</v>
      </c>
    </row>
    <row r="293" spans="1:20" x14ac:dyDescent="0.3">
      <c r="A293" s="5">
        <v>41929.083333333336</v>
      </c>
      <c r="B293" s="14">
        <v>121057.86128350301</v>
      </c>
      <c r="C293" s="14">
        <v>116949.79127421101</v>
      </c>
      <c r="D293" s="6">
        <v>3293</v>
      </c>
      <c r="E293" s="1">
        <v>2014</v>
      </c>
      <c r="F293" s="1">
        <v>10</v>
      </c>
      <c r="G293" s="1" t="s">
        <v>38</v>
      </c>
      <c r="H293" s="12">
        <v>41913</v>
      </c>
      <c r="I293" s="1">
        <v>17</v>
      </c>
      <c r="J293" s="1">
        <v>6</v>
      </c>
      <c r="K293" s="1" t="s">
        <v>27</v>
      </c>
      <c r="L293" s="1" t="s">
        <v>22</v>
      </c>
      <c r="M293" s="15">
        <f t="shared" si="32"/>
        <v>36.762180772396903</v>
      </c>
      <c r="N293" s="15">
        <f t="shared" si="33"/>
        <v>35.514664826665957</v>
      </c>
      <c r="O293" s="14">
        <f t="shared" si="34"/>
        <v>4108.0700092920015</v>
      </c>
      <c r="P293" s="13">
        <f t="shared" si="35"/>
        <v>3.3934764464997394E-2</v>
      </c>
      <c r="Q293" s="15">
        <f t="shared" si="36"/>
        <v>1.2475159457309459</v>
      </c>
      <c r="R293" s="13">
        <f t="shared" si="37"/>
        <v>3.3934764464997422E-2</v>
      </c>
      <c r="S293" s="15">
        <f t="shared" si="38"/>
        <v>35.267973231772061</v>
      </c>
      <c r="T293" s="15">
        <f t="shared" si="39"/>
        <v>34.542896453705858</v>
      </c>
    </row>
    <row r="294" spans="1:20" x14ac:dyDescent="0.3">
      <c r="A294" s="5">
        <v>41930.083333333336</v>
      </c>
      <c r="B294" s="14">
        <v>169498.91638532499</v>
      </c>
      <c r="C294" s="14">
        <v>164492.94663284899</v>
      </c>
      <c r="D294" s="6">
        <v>4611</v>
      </c>
      <c r="E294" s="1">
        <v>2014</v>
      </c>
      <c r="F294" s="1">
        <v>10</v>
      </c>
      <c r="G294" s="1" t="s">
        <v>38</v>
      </c>
      <c r="H294" s="12">
        <v>41913</v>
      </c>
      <c r="I294" s="1">
        <v>18</v>
      </c>
      <c r="J294" s="1">
        <v>7</v>
      </c>
      <c r="K294" s="1" t="s">
        <v>28</v>
      </c>
      <c r="L294" s="1" t="s">
        <v>22</v>
      </c>
      <c r="M294" s="15">
        <f t="shared" si="32"/>
        <v>36.759686919393836</v>
      </c>
      <c r="N294" s="15">
        <f t="shared" si="33"/>
        <v>35.674028764443506</v>
      </c>
      <c r="O294" s="14">
        <f t="shared" si="34"/>
        <v>5005.9697524759977</v>
      </c>
      <c r="P294" s="13">
        <f t="shared" si="35"/>
        <v>2.953393366300841E-2</v>
      </c>
      <c r="Q294" s="15">
        <f t="shared" si="36"/>
        <v>1.0856581549503304</v>
      </c>
      <c r="R294" s="13">
        <f t="shared" si="37"/>
        <v>2.9533933663008268E-2</v>
      </c>
      <c r="S294" s="15">
        <f t="shared" si="38"/>
        <v>35.267973231772061</v>
      </c>
      <c r="T294" s="15">
        <f t="shared" si="39"/>
        <v>34.600620206791412</v>
      </c>
    </row>
    <row r="295" spans="1:20" x14ac:dyDescent="0.3">
      <c r="A295" s="5">
        <v>41931.083333333336</v>
      </c>
      <c r="B295" s="14">
        <v>90692.375875501995</v>
      </c>
      <c r="C295" s="14">
        <v>87911.211583205499</v>
      </c>
      <c r="D295" s="6">
        <v>2468</v>
      </c>
      <c r="E295" s="1">
        <v>2014</v>
      </c>
      <c r="F295" s="1">
        <v>10</v>
      </c>
      <c r="G295" s="1" t="s">
        <v>38</v>
      </c>
      <c r="H295" s="12">
        <v>41913</v>
      </c>
      <c r="I295" s="1">
        <v>19</v>
      </c>
      <c r="J295" s="1">
        <v>1</v>
      </c>
      <c r="K295" s="1" t="s">
        <v>29</v>
      </c>
      <c r="L295" s="1" t="s">
        <v>22</v>
      </c>
      <c r="M295" s="15">
        <f t="shared" si="32"/>
        <v>36.747315994935981</v>
      </c>
      <c r="N295" s="15">
        <f t="shared" si="33"/>
        <v>35.620426087198339</v>
      </c>
      <c r="O295" s="14">
        <f t="shared" si="34"/>
        <v>2781.1642922964966</v>
      </c>
      <c r="P295" s="13">
        <f t="shared" si="35"/>
        <v>3.0665910617606283E-2</v>
      </c>
      <c r="Q295" s="15">
        <f t="shared" si="36"/>
        <v>1.1268899077376417</v>
      </c>
      <c r="R295" s="13">
        <f t="shared" si="37"/>
        <v>3.0665910617606318E-2</v>
      </c>
      <c r="S295" s="15">
        <f t="shared" si="38"/>
        <v>35.267973231772061</v>
      </c>
      <c r="T295" s="15">
        <f t="shared" si="39"/>
        <v>34.657757610217416</v>
      </c>
    </row>
    <row r="296" spans="1:20" x14ac:dyDescent="0.3">
      <c r="A296" s="5">
        <v>41932.083333333336</v>
      </c>
      <c r="B296" s="14">
        <v>101723.91500409201</v>
      </c>
      <c r="C296" s="14">
        <v>98870.811877197702</v>
      </c>
      <c r="D296" s="6">
        <v>2773</v>
      </c>
      <c r="E296" s="1">
        <v>2014</v>
      </c>
      <c r="F296" s="1">
        <v>10</v>
      </c>
      <c r="G296" s="1" t="s">
        <v>38</v>
      </c>
      <c r="H296" s="12">
        <v>41913</v>
      </c>
      <c r="I296" s="1">
        <v>20</v>
      </c>
      <c r="J296" s="1">
        <v>2</v>
      </c>
      <c r="K296" s="1" t="s">
        <v>21</v>
      </c>
      <c r="L296" s="1" t="s">
        <v>22</v>
      </c>
      <c r="M296" s="15">
        <f t="shared" si="32"/>
        <v>36.68370537471764</v>
      </c>
      <c r="N296" s="15">
        <f t="shared" si="33"/>
        <v>35.654818563720774</v>
      </c>
      <c r="O296" s="14">
        <f t="shared" si="34"/>
        <v>2853.1031268943043</v>
      </c>
      <c r="P296" s="13">
        <f t="shared" si="35"/>
        <v>2.8047515933490502E-2</v>
      </c>
      <c r="Q296" s="15">
        <f t="shared" si="36"/>
        <v>1.0288868109968661</v>
      </c>
      <c r="R296" s="13">
        <f t="shared" si="37"/>
        <v>2.8047515933490554E-2</v>
      </c>
      <c r="S296" s="15">
        <f t="shared" si="38"/>
        <v>35.267973231772061</v>
      </c>
      <c r="T296" s="15">
        <f t="shared" si="39"/>
        <v>34.712633408963917</v>
      </c>
    </row>
    <row r="297" spans="1:20" x14ac:dyDescent="0.3">
      <c r="A297" s="5">
        <v>41933.083333333336</v>
      </c>
      <c r="B297" s="14">
        <v>103395.691268742</v>
      </c>
      <c r="C297" s="14">
        <v>100424.155743323</v>
      </c>
      <c r="D297" s="6">
        <v>2815</v>
      </c>
      <c r="E297" s="1">
        <v>2014</v>
      </c>
      <c r="F297" s="1">
        <v>10</v>
      </c>
      <c r="G297" s="1" t="s">
        <v>38</v>
      </c>
      <c r="H297" s="12">
        <v>41913</v>
      </c>
      <c r="I297" s="1">
        <v>21</v>
      </c>
      <c r="J297" s="1">
        <v>3</v>
      </c>
      <c r="K297" s="1" t="s">
        <v>23</v>
      </c>
      <c r="L297" s="1" t="s">
        <v>22</v>
      </c>
      <c r="M297" s="15">
        <f t="shared" si="32"/>
        <v>36.73026332814991</v>
      </c>
      <c r="N297" s="15">
        <f t="shared" si="33"/>
        <v>35.674655681464657</v>
      </c>
      <c r="O297" s="14">
        <f t="shared" si="34"/>
        <v>2971.5355254189926</v>
      </c>
      <c r="P297" s="13">
        <f t="shared" si="35"/>
        <v>2.8739452185637938E-2</v>
      </c>
      <c r="Q297" s="15">
        <f t="shared" si="36"/>
        <v>1.0556076466852531</v>
      </c>
      <c r="R297" s="13">
        <f t="shared" si="37"/>
        <v>2.8739452185637889E-2</v>
      </c>
      <c r="S297" s="15">
        <f t="shared" si="38"/>
        <v>35.267973231772061</v>
      </c>
      <c r="T297" s="15">
        <f t="shared" si="39"/>
        <v>34.769254034821408</v>
      </c>
    </row>
    <row r="298" spans="1:20" x14ac:dyDescent="0.3">
      <c r="A298" s="5">
        <v>41934.083333333336</v>
      </c>
      <c r="B298" s="14">
        <v>99075.599096021804</v>
      </c>
      <c r="C298" s="14">
        <v>96511.722157538097</v>
      </c>
      <c r="D298" s="6">
        <v>2701</v>
      </c>
      <c r="E298" s="1">
        <v>2014</v>
      </c>
      <c r="F298" s="1">
        <v>10</v>
      </c>
      <c r="G298" s="1" t="s">
        <v>38</v>
      </c>
      <c r="H298" s="12">
        <v>41913</v>
      </c>
      <c r="I298" s="1">
        <v>22</v>
      </c>
      <c r="J298" s="1">
        <v>4</v>
      </c>
      <c r="K298" s="1" t="s">
        <v>25</v>
      </c>
      <c r="L298" s="1" t="s">
        <v>22</v>
      </c>
      <c r="M298" s="15">
        <f t="shared" si="32"/>
        <v>36.681080746398301</v>
      </c>
      <c r="N298" s="15">
        <f t="shared" si="33"/>
        <v>35.731848262694591</v>
      </c>
      <c r="O298" s="14">
        <f t="shared" si="34"/>
        <v>2563.8769384837069</v>
      </c>
      <c r="P298" s="13">
        <f t="shared" si="35"/>
        <v>2.5877985718752567E-2</v>
      </c>
      <c r="Q298" s="15">
        <f t="shared" si="36"/>
        <v>0.94923248370371027</v>
      </c>
      <c r="R298" s="13">
        <f t="shared" si="37"/>
        <v>2.5877985718752713E-2</v>
      </c>
      <c r="S298" s="15">
        <f t="shared" si="38"/>
        <v>35.267973231772061</v>
      </c>
      <c r="T298" s="15">
        <f t="shared" si="39"/>
        <v>34.824056394414683</v>
      </c>
    </row>
    <row r="299" spans="1:20" x14ac:dyDescent="0.3">
      <c r="A299" s="5">
        <v>41935.083333333336</v>
      </c>
      <c r="B299" s="14">
        <v>97476.144719572098</v>
      </c>
      <c r="C299" s="14">
        <v>94763.842548765897</v>
      </c>
      <c r="D299" s="6">
        <v>2651</v>
      </c>
      <c r="E299" s="1">
        <v>2014</v>
      </c>
      <c r="F299" s="1">
        <v>10</v>
      </c>
      <c r="G299" s="1" t="s">
        <v>38</v>
      </c>
      <c r="H299" s="12">
        <v>41913</v>
      </c>
      <c r="I299" s="1">
        <v>23</v>
      </c>
      <c r="J299" s="1">
        <v>5</v>
      </c>
      <c r="K299" s="1" t="s">
        <v>26</v>
      </c>
      <c r="L299" s="1" t="s">
        <v>22</v>
      </c>
      <c r="M299" s="15">
        <f t="shared" si="32"/>
        <v>36.769575526055114</v>
      </c>
      <c r="N299" s="15">
        <f t="shared" si="33"/>
        <v>35.746451357512598</v>
      </c>
      <c r="O299" s="14">
        <f t="shared" si="34"/>
        <v>2712.3021708062006</v>
      </c>
      <c r="P299" s="13">
        <f t="shared" si="35"/>
        <v>2.7825291804566017E-2</v>
      </c>
      <c r="Q299" s="15">
        <f t="shared" si="36"/>
        <v>1.0231241685425161</v>
      </c>
      <c r="R299" s="13">
        <f t="shared" si="37"/>
        <v>2.7825291804566114E-2</v>
      </c>
      <c r="S299" s="15">
        <f t="shared" si="38"/>
        <v>35.267973231772061</v>
      </c>
      <c r="T299" s="15">
        <f t="shared" si="39"/>
        <v>34.881842156286794</v>
      </c>
    </row>
    <row r="300" spans="1:20" x14ac:dyDescent="0.3">
      <c r="A300" s="5">
        <v>41936.083333333336</v>
      </c>
      <c r="B300" s="14">
        <v>248974.65278279601</v>
      </c>
      <c r="C300" s="14">
        <v>241961.14324530301</v>
      </c>
      <c r="D300" s="6">
        <v>6781</v>
      </c>
      <c r="E300" s="1">
        <v>2014</v>
      </c>
      <c r="F300" s="1">
        <v>10</v>
      </c>
      <c r="G300" s="1" t="s">
        <v>38</v>
      </c>
      <c r="H300" s="12">
        <v>41913</v>
      </c>
      <c r="I300" s="1">
        <v>24</v>
      </c>
      <c r="J300" s="1">
        <v>6</v>
      </c>
      <c r="K300" s="1" t="s">
        <v>27</v>
      </c>
      <c r="L300" s="1" t="s">
        <v>22</v>
      </c>
      <c r="M300" s="15">
        <f t="shared" si="32"/>
        <v>36.71650977478189</v>
      </c>
      <c r="N300" s="15">
        <f t="shared" si="33"/>
        <v>35.682221389957675</v>
      </c>
      <c r="O300" s="14">
        <f t="shared" si="34"/>
        <v>7013.5095374929952</v>
      </c>
      <c r="P300" s="13">
        <f t="shared" si="35"/>
        <v>2.8169572521149527E-2</v>
      </c>
      <c r="Q300" s="15">
        <f t="shared" si="36"/>
        <v>1.0342883848242153</v>
      </c>
      <c r="R300" s="13">
        <f t="shared" si="37"/>
        <v>2.8169572521149561E-2</v>
      </c>
      <c r="S300" s="15">
        <f t="shared" si="38"/>
        <v>35.267973231772061</v>
      </c>
      <c r="T300" s="15">
        <f t="shared" si="39"/>
        <v>35.022103993590626</v>
      </c>
    </row>
    <row r="301" spans="1:20" x14ac:dyDescent="0.3">
      <c r="A301" s="5">
        <v>41937.083333333336</v>
      </c>
      <c r="B301" s="14">
        <v>302721.68330039998</v>
      </c>
      <c r="C301" s="14">
        <v>294129.67112311901</v>
      </c>
      <c r="D301" s="6">
        <v>8249</v>
      </c>
      <c r="E301" s="1">
        <v>2014</v>
      </c>
      <c r="F301" s="1">
        <v>10</v>
      </c>
      <c r="G301" s="1" t="s">
        <v>38</v>
      </c>
      <c r="H301" s="12">
        <v>41913</v>
      </c>
      <c r="I301" s="1">
        <v>25</v>
      </c>
      <c r="J301" s="1">
        <v>7</v>
      </c>
      <c r="K301" s="1" t="s">
        <v>28</v>
      </c>
      <c r="L301" s="1" t="s">
        <v>22</v>
      </c>
      <c r="M301" s="15">
        <f t="shared" si="32"/>
        <v>36.697985610425505</v>
      </c>
      <c r="N301" s="15">
        <f t="shared" si="33"/>
        <v>35.656403336540066</v>
      </c>
      <c r="O301" s="14">
        <f t="shared" si="34"/>
        <v>8592.0121772809653</v>
      </c>
      <c r="P301" s="13">
        <f t="shared" si="35"/>
        <v>2.8382546250427819E-2</v>
      </c>
      <c r="Q301" s="15">
        <f t="shared" si="36"/>
        <v>1.0415822738854388</v>
      </c>
      <c r="R301" s="13">
        <f t="shared" si="37"/>
        <v>2.8382546250427881E-2</v>
      </c>
      <c r="S301" s="15">
        <f t="shared" si="38"/>
        <v>35.267973231772061</v>
      </c>
      <c r="T301" s="15">
        <f t="shared" si="39"/>
        <v>35.163250172848095</v>
      </c>
    </row>
    <row r="302" spans="1:20" x14ac:dyDescent="0.3">
      <c r="A302" s="5">
        <v>41938.083333333336</v>
      </c>
      <c r="B302" s="14">
        <v>128520.727803954</v>
      </c>
      <c r="C302" s="14">
        <v>124739.23394868799</v>
      </c>
      <c r="D302" s="6">
        <v>3502</v>
      </c>
      <c r="E302" s="1">
        <v>2014</v>
      </c>
      <c r="F302" s="1">
        <v>10</v>
      </c>
      <c r="G302" s="1" t="s">
        <v>38</v>
      </c>
      <c r="H302" s="12">
        <v>41913</v>
      </c>
      <c r="I302" s="1">
        <v>26</v>
      </c>
      <c r="J302" s="1">
        <v>1</v>
      </c>
      <c r="K302" s="1" t="s">
        <v>29</v>
      </c>
      <c r="L302" s="1" t="s">
        <v>22</v>
      </c>
      <c r="M302" s="15">
        <f t="shared" si="32"/>
        <v>36.699236951443176</v>
      </c>
      <c r="N302" s="15">
        <f t="shared" si="33"/>
        <v>35.619427169813818</v>
      </c>
      <c r="O302" s="14">
        <f t="shared" si="34"/>
        <v>3781.4938552660024</v>
      </c>
      <c r="P302" s="13">
        <f t="shared" si="35"/>
        <v>2.9423221606979282E-2</v>
      </c>
      <c r="Q302" s="15">
        <f t="shared" si="36"/>
        <v>1.0798097816293577</v>
      </c>
      <c r="R302" s="13">
        <f t="shared" si="37"/>
        <v>2.9423221606979348E-2</v>
      </c>
      <c r="S302" s="15">
        <f t="shared" si="38"/>
        <v>35.267973231772061</v>
      </c>
      <c r="T302" s="15">
        <f t="shared" si="39"/>
        <v>35.304529543087007</v>
      </c>
    </row>
    <row r="303" spans="1:20" x14ac:dyDescent="0.3">
      <c r="A303" s="5">
        <v>41939.083333333336</v>
      </c>
      <c r="B303" s="14">
        <v>145185.26833608499</v>
      </c>
      <c r="C303" s="14">
        <v>140651.93717841999</v>
      </c>
      <c r="D303" s="6">
        <v>3949</v>
      </c>
      <c r="E303" s="1">
        <v>2014</v>
      </c>
      <c r="F303" s="1">
        <v>10</v>
      </c>
      <c r="G303" s="1" t="s">
        <v>38</v>
      </c>
      <c r="H303" s="12">
        <v>41913</v>
      </c>
      <c r="I303" s="1">
        <v>27</v>
      </c>
      <c r="J303" s="1">
        <v>2</v>
      </c>
      <c r="K303" s="1" t="s">
        <v>21</v>
      </c>
      <c r="L303" s="1" t="s">
        <v>22</v>
      </c>
      <c r="M303" s="15">
        <f t="shared" si="32"/>
        <v>36.765071748818684</v>
      </c>
      <c r="N303" s="15">
        <f t="shared" si="33"/>
        <v>35.617102349561911</v>
      </c>
      <c r="O303" s="14">
        <f t="shared" si="34"/>
        <v>4533.3311576650012</v>
      </c>
      <c r="P303" s="13">
        <f t="shared" si="35"/>
        <v>3.1224456927481995E-2</v>
      </c>
      <c r="Q303" s="15">
        <f t="shared" si="36"/>
        <v>1.1479693992567732</v>
      </c>
      <c r="R303" s="13">
        <f t="shared" si="37"/>
        <v>3.1224456927481971E-2</v>
      </c>
      <c r="S303" s="15">
        <f t="shared" si="38"/>
        <v>35.267973231772061</v>
      </c>
      <c r="T303" s="15">
        <f t="shared" si="39"/>
        <v>35.448509977983605</v>
      </c>
    </row>
    <row r="304" spans="1:20" x14ac:dyDescent="0.3">
      <c r="A304" s="5">
        <v>41940.083333333336</v>
      </c>
      <c r="B304" s="14">
        <v>89527.556631861706</v>
      </c>
      <c r="C304" s="14">
        <v>87067.051318914295</v>
      </c>
      <c r="D304" s="6">
        <v>2435</v>
      </c>
      <c r="E304" s="1">
        <v>2014</v>
      </c>
      <c r="F304" s="1">
        <v>10</v>
      </c>
      <c r="G304" s="1" t="s">
        <v>38</v>
      </c>
      <c r="H304" s="12">
        <v>41913</v>
      </c>
      <c r="I304" s="1">
        <v>28</v>
      </c>
      <c r="J304" s="1">
        <v>3</v>
      </c>
      <c r="K304" s="1" t="s">
        <v>23</v>
      </c>
      <c r="L304" s="1" t="s">
        <v>22</v>
      </c>
      <c r="M304" s="15">
        <f t="shared" si="32"/>
        <v>36.76696370918345</v>
      </c>
      <c r="N304" s="15">
        <f t="shared" si="33"/>
        <v>35.756489248014084</v>
      </c>
      <c r="O304" s="14">
        <f t="shared" si="34"/>
        <v>2460.5053129474109</v>
      </c>
      <c r="P304" s="13">
        <f t="shared" si="35"/>
        <v>2.7483217519998181E-2</v>
      </c>
      <c r="Q304" s="15">
        <f t="shared" si="36"/>
        <v>1.0104744611693661</v>
      </c>
      <c r="R304" s="13">
        <f t="shared" si="37"/>
        <v>2.7483217519998132E-2</v>
      </c>
      <c r="S304" s="15">
        <f t="shared" si="38"/>
        <v>35.267973231772061</v>
      </c>
      <c r="T304" s="15">
        <f t="shared" si="39"/>
        <v>35.5923689561427</v>
      </c>
    </row>
    <row r="305" spans="1:20" x14ac:dyDescent="0.3">
      <c r="A305" s="5">
        <v>41941.083333333336</v>
      </c>
      <c r="B305" s="14">
        <v>81991.882841411105</v>
      </c>
      <c r="C305" s="14">
        <v>80112.548014988206</v>
      </c>
      <c r="D305" s="6">
        <v>2232</v>
      </c>
      <c r="E305" s="1">
        <v>2014</v>
      </c>
      <c r="F305" s="1">
        <v>10</v>
      </c>
      <c r="G305" s="1" t="s">
        <v>38</v>
      </c>
      <c r="H305" s="12">
        <v>41913</v>
      </c>
      <c r="I305" s="1">
        <v>29</v>
      </c>
      <c r="J305" s="1">
        <v>4</v>
      </c>
      <c r="K305" s="1" t="s">
        <v>25</v>
      </c>
      <c r="L305" s="1" t="s">
        <v>22</v>
      </c>
      <c r="M305" s="15">
        <f t="shared" si="32"/>
        <v>36.734714534682396</v>
      </c>
      <c r="N305" s="15">
        <f t="shared" si="33"/>
        <v>35.892718644707976</v>
      </c>
      <c r="O305" s="14">
        <f t="shared" si="34"/>
        <v>1879.3348264228989</v>
      </c>
      <c r="P305" s="13">
        <f t="shared" si="35"/>
        <v>2.2920986337853867E-2</v>
      </c>
      <c r="Q305" s="15">
        <f t="shared" si="36"/>
        <v>0.84199588997442021</v>
      </c>
      <c r="R305" s="13">
        <f t="shared" si="37"/>
        <v>2.2920986337853951E-2</v>
      </c>
      <c r="S305" s="15">
        <f t="shared" si="38"/>
        <v>35.267973231772061</v>
      </c>
      <c r="T305" s="15">
        <f t="shared" si="39"/>
        <v>35.73540978485655</v>
      </c>
    </row>
    <row r="306" spans="1:20" x14ac:dyDescent="0.3">
      <c r="A306" s="5">
        <v>41942.083333333336</v>
      </c>
      <c r="B306" s="14">
        <v>69704.491112590506</v>
      </c>
      <c r="C306" s="14">
        <v>68293.096389796105</v>
      </c>
      <c r="D306" s="6">
        <v>1898</v>
      </c>
      <c r="E306" s="1">
        <v>2014</v>
      </c>
      <c r="F306" s="1">
        <v>10</v>
      </c>
      <c r="G306" s="1" t="s">
        <v>38</v>
      </c>
      <c r="H306" s="12">
        <v>41913</v>
      </c>
      <c r="I306" s="1">
        <v>30</v>
      </c>
      <c r="J306" s="1">
        <v>5</v>
      </c>
      <c r="K306" s="1" t="s">
        <v>26</v>
      </c>
      <c r="L306" s="1" t="s">
        <v>22</v>
      </c>
      <c r="M306" s="15">
        <f t="shared" si="32"/>
        <v>36.725232409162544</v>
      </c>
      <c r="N306" s="15">
        <f t="shared" si="33"/>
        <v>35.981610321283512</v>
      </c>
      <c r="O306" s="14">
        <f t="shared" si="34"/>
        <v>1411.3947227944009</v>
      </c>
      <c r="P306" s="13">
        <f t="shared" si="35"/>
        <v>2.0248260912121702E-2</v>
      </c>
      <c r="Q306" s="15">
        <f t="shared" si="36"/>
        <v>0.74362208787903228</v>
      </c>
      <c r="R306" s="13">
        <f t="shared" si="37"/>
        <v>2.0248260912121736E-2</v>
      </c>
      <c r="S306" s="15">
        <f t="shared" si="38"/>
        <v>35.267973231772061</v>
      </c>
      <c r="T306" s="15">
        <f t="shared" si="39"/>
        <v>35.878199091122987</v>
      </c>
    </row>
    <row r="307" spans="1:20" x14ac:dyDescent="0.3">
      <c r="A307" s="5">
        <v>41943.083333333336</v>
      </c>
      <c r="B307" s="14">
        <v>166652.39481922399</v>
      </c>
      <c r="C307" s="14">
        <v>163319.716470677</v>
      </c>
      <c r="D307" s="6">
        <v>4537</v>
      </c>
      <c r="E307" s="1">
        <v>2014</v>
      </c>
      <c r="F307" s="1">
        <v>10</v>
      </c>
      <c r="G307" s="1" t="s">
        <v>38</v>
      </c>
      <c r="H307" s="12">
        <v>41913</v>
      </c>
      <c r="I307" s="1">
        <v>31</v>
      </c>
      <c r="J307" s="1">
        <v>6</v>
      </c>
      <c r="K307" s="1" t="s">
        <v>27</v>
      </c>
      <c r="L307" s="1" t="s">
        <v>22</v>
      </c>
      <c r="M307" s="15">
        <f t="shared" si="32"/>
        <v>36.731848097690985</v>
      </c>
      <c r="N307" s="15">
        <f t="shared" si="33"/>
        <v>35.997292587762175</v>
      </c>
      <c r="O307" s="14">
        <f t="shared" si="34"/>
        <v>3332.6783485469932</v>
      </c>
      <c r="P307" s="13">
        <f t="shared" si="35"/>
        <v>1.9997782523090129E-2</v>
      </c>
      <c r="Q307" s="15">
        <f t="shared" si="36"/>
        <v>0.73455550992881058</v>
      </c>
      <c r="R307" s="13">
        <f t="shared" si="37"/>
        <v>1.9997782523090247E-2</v>
      </c>
      <c r="S307" s="15">
        <f t="shared" si="38"/>
        <v>35.267973231772061</v>
      </c>
      <c r="T307" s="15">
        <f t="shared" si="39"/>
        <v>36.021600609308798</v>
      </c>
    </row>
    <row r="308" spans="1:20" x14ac:dyDescent="0.3">
      <c r="A308" s="5">
        <v>41944.083333333336</v>
      </c>
      <c r="B308" s="14">
        <v>247453.10218524799</v>
      </c>
      <c r="C308" s="14">
        <v>242638.80119746801</v>
      </c>
      <c r="D308" s="6">
        <v>6730</v>
      </c>
      <c r="E308" s="1">
        <v>2014</v>
      </c>
      <c r="F308" s="1">
        <v>11</v>
      </c>
      <c r="G308" s="1" t="s">
        <v>39</v>
      </c>
      <c r="H308" s="12">
        <v>41944</v>
      </c>
      <c r="I308" s="1">
        <v>1</v>
      </c>
      <c r="J308" s="1">
        <v>7</v>
      </c>
      <c r="K308" s="1" t="s">
        <v>28</v>
      </c>
      <c r="L308" s="1" t="s">
        <v>22</v>
      </c>
      <c r="M308" s="15">
        <f t="shared" si="32"/>
        <v>36.768663029011591</v>
      </c>
      <c r="N308" s="15">
        <f t="shared" si="33"/>
        <v>36.05331369947519</v>
      </c>
      <c r="O308" s="14">
        <f t="shared" si="34"/>
        <v>4814.3009877799777</v>
      </c>
      <c r="P308" s="13">
        <f t="shared" si="35"/>
        <v>1.9455407692468136E-2</v>
      </c>
      <c r="Q308" s="15">
        <f t="shared" si="36"/>
        <v>0.71534932953640151</v>
      </c>
      <c r="R308" s="13">
        <f t="shared" si="37"/>
        <v>1.9455407692468153E-2</v>
      </c>
      <c r="S308" s="15">
        <f t="shared" si="38"/>
        <v>35.267973231772061</v>
      </c>
      <c r="T308" s="15">
        <f t="shared" si="39"/>
        <v>36.165819637246273</v>
      </c>
    </row>
    <row r="309" spans="1:20" x14ac:dyDescent="0.3">
      <c r="A309" s="5">
        <v>41945.083333333336</v>
      </c>
      <c r="B309" s="14">
        <v>148476.181209175</v>
      </c>
      <c r="C309" s="14">
        <v>145646.33680169401</v>
      </c>
      <c r="D309" s="6">
        <v>4038</v>
      </c>
      <c r="E309" s="1">
        <v>2014</v>
      </c>
      <c r="F309" s="1">
        <v>11</v>
      </c>
      <c r="G309" s="1" t="s">
        <v>39</v>
      </c>
      <c r="H309" s="12">
        <v>41944</v>
      </c>
      <c r="I309" s="1">
        <v>2</v>
      </c>
      <c r="J309" s="1">
        <v>1</v>
      </c>
      <c r="K309" s="1" t="s">
        <v>29</v>
      </c>
      <c r="L309" s="1" t="s">
        <v>22</v>
      </c>
      <c r="M309" s="15">
        <f t="shared" si="32"/>
        <v>36.769732840310802</v>
      </c>
      <c r="N309" s="15">
        <f t="shared" si="33"/>
        <v>36.068929371395249</v>
      </c>
      <c r="O309" s="14">
        <f t="shared" si="34"/>
        <v>2829.8444074809959</v>
      </c>
      <c r="P309" s="13">
        <f t="shared" si="35"/>
        <v>1.9059248321414448E-2</v>
      </c>
      <c r="Q309" s="15">
        <f t="shared" si="36"/>
        <v>0.70080346891555223</v>
      </c>
      <c r="R309" s="13">
        <f t="shared" si="37"/>
        <v>1.9059248321414472E-2</v>
      </c>
      <c r="S309" s="15">
        <f t="shared" si="38"/>
        <v>35.267973231772061</v>
      </c>
      <c r="T309" s="15">
        <f t="shared" si="39"/>
        <v>36.309919517392103</v>
      </c>
    </row>
    <row r="310" spans="1:20" x14ac:dyDescent="0.3">
      <c r="A310" s="5">
        <v>41946.083333333336</v>
      </c>
      <c r="B310" s="14">
        <v>205368.92263440101</v>
      </c>
      <c r="C310" s="14">
        <v>201281.239025563</v>
      </c>
      <c r="D310" s="6">
        <v>5581</v>
      </c>
      <c r="E310" s="1">
        <v>2014</v>
      </c>
      <c r="F310" s="1">
        <v>11</v>
      </c>
      <c r="G310" s="1" t="s">
        <v>39</v>
      </c>
      <c r="H310" s="12">
        <v>41944</v>
      </c>
      <c r="I310" s="1">
        <v>3</v>
      </c>
      <c r="J310" s="1">
        <v>2</v>
      </c>
      <c r="K310" s="1" t="s">
        <v>21</v>
      </c>
      <c r="L310" s="1" t="s">
        <v>22</v>
      </c>
      <c r="M310" s="15">
        <f t="shared" si="32"/>
        <v>36.797871821250851</v>
      </c>
      <c r="N310" s="15">
        <f t="shared" si="33"/>
        <v>36.065443294313383</v>
      </c>
      <c r="O310" s="14">
        <f t="shared" si="34"/>
        <v>4087.6836088380078</v>
      </c>
      <c r="P310" s="13">
        <f t="shared" si="35"/>
        <v>1.9904100174469565E-2</v>
      </c>
      <c r="Q310" s="15">
        <f t="shared" si="36"/>
        <v>0.7324285269374684</v>
      </c>
      <c r="R310" s="13">
        <f t="shared" si="37"/>
        <v>1.9904100174469582E-2</v>
      </c>
      <c r="S310" s="15">
        <f t="shared" si="38"/>
        <v>35.267973231772061</v>
      </c>
      <c r="T310" s="15">
        <f t="shared" si="39"/>
        <v>36.45483295491784</v>
      </c>
    </row>
    <row r="311" spans="1:20" x14ac:dyDescent="0.3">
      <c r="A311" s="5">
        <v>41947.083333333336</v>
      </c>
      <c r="B311" s="14">
        <v>99244.681846049105</v>
      </c>
      <c r="C311" s="14">
        <v>90949.442252201101</v>
      </c>
      <c r="D311" s="6">
        <v>2519</v>
      </c>
      <c r="E311" s="1">
        <v>2014</v>
      </c>
      <c r="F311" s="1">
        <v>11</v>
      </c>
      <c r="G311" s="1" t="s">
        <v>39</v>
      </c>
      <c r="H311" s="12">
        <v>41944</v>
      </c>
      <c r="I311" s="1">
        <v>4</v>
      </c>
      <c r="J311" s="1">
        <v>3</v>
      </c>
      <c r="K311" s="1" t="s">
        <v>23</v>
      </c>
      <c r="L311" s="1" t="s">
        <v>22</v>
      </c>
      <c r="M311" s="15">
        <f t="shared" si="32"/>
        <v>39.398444559765423</v>
      </c>
      <c r="N311" s="15">
        <f t="shared" si="33"/>
        <v>36.105376042953992</v>
      </c>
      <c r="O311" s="14">
        <f t="shared" si="34"/>
        <v>8295.239593848004</v>
      </c>
      <c r="P311" s="13">
        <f t="shared" si="35"/>
        <v>8.358371894139166E-2</v>
      </c>
      <c r="Q311" s="15">
        <f t="shared" si="36"/>
        <v>3.2930685168114309</v>
      </c>
      <c r="R311" s="13">
        <f t="shared" si="37"/>
        <v>8.3583718941391577E-2</v>
      </c>
      <c r="S311" s="15">
        <f t="shared" si="38"/>
        <v>35.267973231772061</v>
      </c>
      <c r="T311" s="15">
        <f t="shared" si="39"/>
        <v>36.686528228847365</v>
      </c>
    </row>
    <row r="312" spans="1:20" x14ac:dyDescent="0.3">
      <c r="A312" s="5">
        <v>41948.083333333336</v>
      </c>
      <c r="B312" s="14">
        <v>72756.863100070506</v>
      </c>
      <c r="C312" s="14">
        <v>67872.774326885206</v>
      </c>
      <c r="D312" s="6">
        <v>1847</v>
      </c>
      <c r="E312" s="1">
        <v>2014</v>
      </c>
      <c r="F312" s="1">
        <v>11</v>
      </c>
      <c r="G312" s="1" t="s">
        <v>39</v>
      </c>
      <c r="H312" s="12">
        <v>41944</v>
      </c>
      <c r="I312" s="1">
        <v>5</v>
      </c>
      <c r="J312" s="1">
        <v>4</v>
      </c>
      <c r="K312" s="1" t="s">
        <v>25</v>
      </c>
      <c r="L312" s="1" t="s">
        <v>22</v>
      </c>
      <c r="M312" s="15">
        <f t="shared" si="32"/>
        <v>39.391912885798867</v>
      </c>
      <c r="N312" s="15">
        <f t="shared" si="33"/>
        <v>36.747576787701789</v>
      </c>
      <c r="O312" s="14">
        <f t="shared" si="34"/>
        <v>4884.0887731852999</v>
      </c>
      <c r="P312" s="13">
        <f t="shared" si="35"/>
        <v>6.7128908051844904E-2</v>
      </c>
      <c r="Q312" s="15">
        <f t="shared" si="36"/>
        <v>2.644336098097078</v>
      </c>
      <c r="R312" s="13">
        <f t="shared" si="37"/>
        <v>6.7128908051844946E-2</v>
      </c>
      <c r="S312" s="15">
        <f t="shared" si="38"/>
        <v>35.267973231772061</v>
      </c>
      <c r="T312" s="15">
        <f t="shared" si="39"/>
        <v>36.918185947846446</v>
      </c>
    </row>
    <row r="313" spans="1:20" x14ac:dyDescent="0.3">
      <c r="A313" s="5">
        <v>41949.083333333336</v>
      </c>
      <c r="B313" s="14">
        <v>86867.458080595097</v>
      </c>
      <c r="C313" s="14">
        <v>84486.086086063602</v>
      </c>
      <c r="D313" s="6">
        <v>2309</v>
      </c>
      <c r="E313" s="1">
        <v>2014</v>
      </c>
      <c r="F313" s="1">
        <v>11</v>
      </c>
      <c r="G313" s="1" t="s">
        <v>39</v>
      </c>
      <c r="H313" s="12">
        <v>41944</v>
      </c>
      <c r="I313" s="1">
        <v>6</v>
      </c>
      <c r="J313" s="1">
        <v>5</v>
      </c>
      <c r="K313" s="1" t="s">
        <v>26</v>
      </c>
      <c r="L313" s="1" t="s">
        <v>22</v>
      </c>
      <c r="M313" s="15">
        <f t="shared" si="32"/>
        <v>37.621246461929452</v>
      </c>
      <c r="N313" s="15">
        <f t="shared" si="33"/>
        <v>36.58990302557973</v>
      </c>
      <c r="O313" s="14">
        <f t="shared" si="34"/>
        <v>2381.3719945314951</v>
      </c>
      <c r="P313" s="13">
        <f t="shared" si="35"/>
        <v>2.7413856087766177E-2</v>
      </c>
      <c r="Q313" s="15">
        <f t="shared" si="36"/>
        <v>1.0313434363497223</v>
      </c>
      <c r="R313" s="13">
        <f t="shared" si="37"/>
        <v>2.7413856087766329E-2</v>
      </c>
      <c r="S313" s="15">
        <f t="shared" si="38"/>
        <v>35.267973231772061</v>
      </c>
      <c r="T313" s="15">
        <f t="shared" si="39"/>
        <v>36.948097791780043</v>
      </c>
    </row>
    <row r="314" spans="1:20" x14ac:dyDescent="0.3">
      <c r="A314" s="5">
        <v>41950.083333333336</v>
      </c>
      <c r="B314" s="14">
        <v>140167.80386220501</v>
      </c>
      <c r="C314" s="14">
        <v>136539.203296447</v>
      </c>
      <c r="D314" s="6">
        <v>3722</v>
      </c>
      <c r="E314" s="1">
        <v>2014</v>
      </c>
      <c r="F314" s="1">
        <v>11</v>
      </c>
      <c r="G314" s="1" t="s">
        <v>39</v>
      </c>
      <c r="H314" s="12">
        <v>41944</v>
      </c>
      <c r="I314" s="1">
        <v>7</v>
      </c>
      <c r="J314" s="1">
        <v>6</v>
      </c>
      <c r="K314" s="1" t="s">
        <v>27</v>
      </c>
      <c r="L314" s="1" t="s">
        <v>22</v>
      </c>
      <c r="M314" s="15">
        <f t="shared" si="32"/>
        <v>37.65927024777136</v>
      </c>
      <c r="N314" s="15">
        <f t="shared" si="33"/>
        <v>36.6843641312324</v>
      </c>
      <c r="O314" s="14">
        <f t="shared" si="34"/>
        <v>3628.6005657580099</v>
      </c>
      <c r="P314" s="13">
        <f t="shared" si="35"/>
        <v>2.5887546681727169E-2</v>
      </c>
      <c r="Q314" s="15">
        <f t="shared" si="36"/>
        <v>0.97490611653896053</v>
      </c>
      <c r="R314" s="13">
        <f t="shared" si="37"/>
        <v>2.5887546681727179E-2</v>
      </c>
      <c r="S314" s="15">
        <f t="shared" si="38"/>
        <v>35.267973231772061</v>
      </c>
      <c r="T314" s="15">
        <f t="shared" si="39"/>
        <v>36.98119961003146</v>
      </c>
    </row>
    <row r="315" spans="1:20" x14ac:dyDescent="0.3">
      <c r="A315" s="5">
        <v>41951.083333333336</v>
      </c>
      <c r="B315" s="14">
        <v>160727.30278297901</v>
      </c>
      <c r="C315" s="14">
        <v>156700.82499573199</v>
      </c>
      <c r="D315" s="6">
        <v>4268</v>
      </c>
      <c r="E315" s="1">
        <v>2014</v>
      </c>
      <c r="F315" s="1">
        <v>11</v>
      </c>
      <c r="G315" s="1" t="s">
        <v>39</v>
      </c>
      <c r="H315" s="12">
        <v>41944</v>
      </c>
      <c r="I315" s="1">
        <v>8</v>
      </c>
      <c r="J315" s="1">
        <v>7</v>
      </c>
      <c r="K315" s="1" t="s">
        <v>28</v>
      </c>
      <c r="L315" s="1" t="s">
        <v>22</v>
      </c>
      <c r="M315" s="15">
        <f t="shared" si="32"/>
        <v>37.65869324812067</v>
      </c>
      <c r="N315" s="15">
        <f t="shared" si="33"/>
        <v>36.715282332645735</v>
      </c>
      <c r="O315" s="14">
        <f t="shared" si="34"/>
        <v>4026.4777872470149</v>
      </c>
      <c r="P315" s="13">
        <f t="shared" si="35"/>
        <v>2.5051610507542333E-2</v>
      </c>
      <c r="Q315" s="15">
        <f t="shared" si="36"/>
        <v>0.94341091547493505</v>
      </c>
      <c r="R315" s="13">
        <f t="shared" si="37"/>
        <v>2.5051610507542378E-2</v>
      </c>
      <c r="S315" s="15">
        <f t="shared" si="38"/>
        <v>35.267973231772061</v>
      </c>
      <c r="T315" s="15">
        <f t="shared" si="39"/>
        <v>37.010889396270926</v>
      </c>
    </row>
    <row r="316" spans="1:20" x14ac:dyDescent="0.3">
      <c r="A316" s="5">
        <v>41952.083333333336</v>
      </c>
      <c r="B316" s="14">
        <v>74115.628776445505</v>
      </c>
      <c r="C316" s="14">
        <v>71994.346393653104</v>
      </c>
      <c r="D316" s="6">
        <v>1968</v>
      </c>
      <c r="E316" s="1">
        <v>2014</v>
      </c>
      <c r="F316" s="1">
        <v>11</v>
      </c>
      <c r="G316" s="1" t="s">
        <v>39</v>
      </c>
      <c r="H316" s="12">
        <v>41944</v>
      </c>
      <c r="I316" s="1">
        <v>9</v>
      </c>
      <c r="J316" s="1">
        <v>1</v>
      </c>
      <c r="K316" s="1" t="s">
        <v>29</v>
      </c>
      <c r="L316" s="1" t="s">
        <v>22</v>
      </c>
      <c r="M316" s="15">
        <f t="shared" si="32"/>
        <v>37.660380475836128</v>
      </c>
      <c r="N316" s="15">
        <f t="shared" si="33"/>
        <v>36.582493086205844</v>
      </c>
      <c r="O316" s="14">
        <f t="shared" si="34"/>
        <v>2121.2823827924003</v>
      </c>
      <c r="P316" s="13">
        <f t="shared" si="35"/>
        <v>2.8621255972755905E-2</v>
      </c>
      <c r="Q316" s="15">
        <f t="shared" si="36"/>
        <v>1.0778873896302841</v>
      </c>
      <c r="R316" s="13">
        <f t="shared" si="37"/>
        <v>2.8621255972755891E-2</v>
      </c>
      <c r="S316" s="15">
        <f t="shared" si="38"/>
        <v>35.267973231772061</v>
      </c>
      <c r="T316" s="15">
        <f t="shared" si="39"/>
        <v>37.040573095089101</v>
      </c>
    </row>
    <row r="317" spans="1:20" x14ac:dyDescent="0.3">
      <c r="A317" s="5">
        <v>41953.083333333336</v>
      </c>
      <c r="B317" s="14">
        <v>76103.291516535493</v>
      </c>
      <c r="C317" s="14">
        <v>73967.605694431404</v>
      </c>
      <c r="D317" s="6">
        <v>2016</v>
      </c>
      <c r="E317" s="1">
        <v>2014</v>
      </c>
      <c r="F317" s="1">
        <v>11</v>
      </c>
      <c r="G317" s="1" t="s">
        <v>39</v>
      </c>
      <c r="H317" s="12">
        <v>41944</v>
      </c>
      <c r="I317" s="1">
        <v>10</v>
      </c>
      <c r="J317" s="1">
        <v>2</v>
      </c>
      <c r="K317" s="1" t="s">
        <v>21</v>
      </c>
      <c r="L317" s="1" t="s">
        <v>22</v>
      </c>
      <c r="M317" s="15">
        <f t="shared" si="32"/>
        <v>37.749648569710068</v>
      </c>
      <c r="N317" s="15">
        <f t="shared" si="33"/>
        <v>36.690280602396527</v>
      </c>
      <c r="O317" s="14">
        <f t="shared" si="34"/>
        <v>2135.6858221040893</v>
      </c>
      <c r="P317" s="13">
        <f t="shared" si="35"/>
        <v>2.806298886087015E-2</v>
      </c>
      <c r="Q317" s="15">
        <f t="shared" si="36"/>
        <v>1.0593679673135412</v>
      </c>
      <c r="R317" s="13">
        <f t="shared" si="37"/>
        <v>2.8062988860870278E-2</v>
      </c>
      <c r="S317" s="15">
        <f t="shared" si="38"/>
        <v>35.267973231772061</v>
      </c>
      <c r="T317" s="15">
        <f t="shared" si="39"/>
        <v>37.074500180170475</v>
      </c>
    </row>
    <row r="318" spans="1:20" x14ac:dyDescent="0.3">
      <c r="A318" s="5">
        <v>41954.083333333336</v>
      </c>
      <c r="B318" s="14">
        <v>56303.366574580403</v>
      </c>
      <c r="C318" s="14">
        <v>54996.866607590702</v>
      </c>
      <c r="D318" s="6">
        <v>1497</v>
      </c>
      <c r="E318" s="1">
        <v>2014</v>
      </c>
      <c r="F318" s="1">
        <v>11</v>
      </c>
      <c r="G318" s="1" t="s">
        <v>39</v>
      </c>
      <c r="H318" s="12">
        <v>41944</v>
      </c>
      <c r="I318" s="1">
        <v>11</v>
      </c>
      <c r="J318" s="1">
        <v>3</v>
      </c>
      <c r="K318" s="1" t="s">
        <v>23</v>
      </c>
      <c r="L318" s="1" t="s">
        <v>22</v>
      </c>
      <c r="M318" s="15">
        <f t="shared" si="32"/>
        <v>37.610799315016969</v>
      </c>
      <c r="N318" s="15">
        <f t="shared" si="33"/>
        <v>36.738053846085975</v>
      </c>
      <c r="O318" s="14">
        <f t="shared" si="34"/>
        <v>1306.4999669897006</v>
      </c>
      <c r="P318" s="13">
        <f t="shared" si="35"/>
        <v>2.3204650920102415E-2</v>
      </c>
      <c r="Q318" s="15">
        <f t="shared" si="36"/>
        <v>0.8727454689309937</v>
      </c>
      <c r="R318" s="13">
        <f t="shared" si="37"/>
        <v>2.3204650920102359E-2</v>
      </c>
      <c r="S318" s="15">
        <f t="shared" si="38"/>
        <v>35.267973231772061</v>
      </c>
      <c r="T318" s="15">
        <f t="shared" si="39"/>
        <v>37.103277531811514</v>
      </c>
    </row>
    <row r="319" spans="1:20" x14ac:dyDescent="0.3">
      <c r="A319" s="5">
        <v>41955.083333333336</v>
      </c>
      <c r="B319" s="14">
        <v>49436.815864520402</v>
      </c>
      <c r="C319" s="14">
        <v>48289.892276094703</v>
      </c>
      <c r="D319" s="6">
        <v>1314</v>
      </c>
      <c r="E319" s="1">
        <v>2014</v>
      </c>
      <c r="F319" s="1">
        <v>11</v>
      </c>
      <c r="G319" s="1" t="s">
        <v>39</v>
      </c>
      <c r="H319" s="12">
        <v>41944</v>
      </c>
      <c r="I319" s="1">
        <v>12</v>
      </c>
      <c r="J319" s="1">
        <v>4</v>
      </c>
      <c r="K319" s="1" t="s">
        <v>25</v>
      </c>
      <c r="L319" s="1" t="s">
        <v>22</v>
      </c>
      <c r="M319" s="15">
        <f t="shared" si="32"/>
        <v>37.623147537686762</v>
      </c>
      <c r="N319" s="15">
        <f t="shared" si="33"/>
        <v>36.75029853584072</v>
      </c>
      <c r="O319" s="14">
        <f t="shared" si="34"/>
        <v>1146.9235884256996</v>
      </c>
      <c r="P319" s="13">
        <f t="shared" si="35"/>
        <v>2.3199786806027259E-2</v>
      </c>
      <c r="Q319" s="15">
        <f t="shared" si="36"/>
        <v>0.87284900184604197</v>
      </c>
      <c r="R319" s="13">
        <f t="shared" si="37"/>
        <v>2.3199786806027252E-2</v>
      </c>
      <c r="S319" s="15">
        <f t="shared" si="38"/>
        <v>35.267973231772061</v>
      </c>
      <c r="T319" s="15">
        <f t="shared" si="39"/>
        <v>37.131397146711222</v>
      </c>
    </row>
    <row r="320" spans="1:20" x14ac:dyDescent="0.3">
      <c r="A320" s="5">
        <v>41956.083333333336</v>
      </c>
      <c r="B320" s="14">
        <v>55033.1224039804</v>
      </c>
      <c r="C320" s="14">
        <v>53997.218873107602</v>
      </c>
      <c r="D320" s="6">
        <v>1466</v>
      </c>
      <c r="E320" s="1">
        <v>2014</v>
      </c>
      <c r="F320" s="1">
        <v>11</v>
      </c>
      <c r="G320" s="1" t="s">
        <v>39</v>
      </c>
      <c r="H320" s="12">
        <v>41944</v>
      </c>
      <c r="I320" s="1">
        <v>13</v>
      </c>
      <c r="J320" s="1">
        <v>5</v>
      </c>
      <c r="K320" s="1" t="s">
        <v>26</v>
      </c>
      <c r="L320" s="1" t="s">
        <v>22</v>
      </c>
      <c r="M320" s="15">
        <f t="shared" si="32"/>
        <v>37.539646933138066</v>
      </c>
      <c r="N320" s="15">
        <f t="shared" si="33"/>
        <v>36.833027880700953</v>
      </c>
      <c r="O320" s="14">
        <f t="shared" si="34"/>
        <v>1035.903530872798</v>
      </c>
      <c r="P320" s="13">
        <f t="shared" si="35"/>
        <v>1.8823273796252451E-2</v>
      </c>
      <c r="Q320" s="15">
        <f t="shared" si="36"/>
        <v>0.70661905243711232</v>
      </c>
      <c r="R320" s="13">
        <f t="shared" si="37"/>
        <v>1.8823273796252607E-2</v>
      </c>
      <c r="S320" s="15">
        <f t="shared" si="38"/>
        <v>35.267973231772061</v>
      </c>
      <c r="T320" s="15">
        <f t="shared" si="39"/>
        <v>37.15831706618787</v>
      </c>
    </row>
    <row r="321" spans="1:20" x14ac:dyDescent="0.3">
      <c r="A321" s="5">
        <v>41957.083333333336</v>
      </c>
      <c r="B321" s="14">
        <v>149808.165944726</v>
      </c>
      <c r="C321" s="14">
        <v>146994.89550113201</v>
      </c>
      <c r="D321" s="6">
        <v>3984</v>
      </c>
      <c r="E321" s="1">
        <v>2014</v>
      </c>
      <c r="F321" s="1">
        <v>11</v>
      </c>
      <c r="G321" s="1" t="s">
        <v>39</v>
      </c>
      <c r="H321" s="12">
        <v>41944</v>
      </c>
      <c r="I321" s="1">
        <v>14</v>
      </c>
      <c r="J321" s="1">
        <v>6</v>
      </c>
      <c r="K321" s="1" t="s">
        <v>27</v>
      </c>
      <c r="L321" s="1" t="s">
        <v>22</v>
      </c>
      <c r="M321" s="15">
        <f t="shared" si="32"/>
        <v>37.602451291346888</v>
      </c>
      <c r="N321" s="15">
        <f t="shared" si="33"/>
        <v>36.89630911172992</v>
      </c>
      <c r="O321" s="14">
        <f t="shared" si="34"/>
        <v>2813.2704435939959</v>
      </c>
      <c r="P321" s="13">
        <f t="shared" si="35"/>
        <v>1.8779152830907728E-2</v>
      </c>
      <c r="Q321" s="15">
        <f t="shared" si="36"/>
        <v>0.70614217961696824</v>
      </c>
      <c r="R321" s="13">
        <f t="shared" si="37"/>
        <v>1.8779152830907763E-2</v>
      </c>
      <c r="S321" s="15">
        <f t="shared" si="38"/>
        <v>35.267973231772061</v>
      </c>
      <c r="T321" s="15">
        <f t="shared" si="39"/>
        <v>37.185911408882866</v>
      </c>
    </row>
    <row r="322" spans="1:20" x14ac:dyDescent="0.3">
      <c r="A322" s="5">
        <v>41958.083333333336</v>
      </c>
      <c r="B322" s="14">
        <v>180685.51072990999</v>
      </c>
      <c r="C322" s="14">
        <v>176898.277820371</v>
      </c>
      <c r="D322" s="6">
        <v>4802</v>
      </c>
      <c r="E322" s="1">
        <v>2014</v>
      </c>
      <c r="F322" s="1">
        <v>11</v>
      </c>
      <c r="G322" s="1" t="s">
        <v>39</v>
      </c>
      <c r="H322" s="12">
        <v>41944</v>
      </c>
      <c r="I322" s="1">
        <v>15</v>
      </c>
      <c r="J322" s="1">
        <v>7</v>
      </c>
      <c r="K322" s="1" t="s">
        <v>28</v>
      </c>
      <c r="L322" s="1" t="s">
        <v>22</v>
      </c>
      <c r="M322" s="15">
        <f t="shared" si="32"/>
        <v>37.627136761747188</v>
      </c>
      <c r="N322" s="15">
        <f t="shared" si="33"/>
        <v>36.838458521526654</v>
      </c>
      <c r="O322" s="14">
        <f t="shared" si="34"/>
        <v>3787.2329095389869</v>
      </c>
      <c r="P322" s="13">
        <f t="shared" si="35"/>
        <v>2.0960357552964885E-2</v>
      </c>
      <c r="Q322" s="15">
        <f t="shared" si="36"/>
        <v>0.78867824022053412</v>
      </c>
      <c r="R322" s="13">
        <f t="shared" si="37"/>
        <v>2.0960357552964985E-2</v>
      </c>
      <c r="S322" s="15">
        <f t="shared" si="38"/>
        <v>35.267973231772061</v>
      </c>
      <c r="T322" s="15">
        <f t="shared" si="39"/>
        <v>37.215013915889244</v>
      </c>
    </row>
    <row r="323" spans="1:20" x14ac:dyDescent="0.3">
      <c r="A323" s="5">
        <v>41959.083333333336</v>
      </c>
      <c r="B323" s="14">
        <v>75871.436765220496</v>
      </c>
      <c r="C323" s="14">
        <v>73905.810158819993</v>
      </c>
      <c r="D323" s="6">
        <v>2017</v>
      </c>
      <c r="E323" s="1">
        <v>2014</v>
      </c>
      <c r="F323" s="1">
        <v>11</v>
      </c>
      <c r="G323" s="1" t="s">
        <v>39</v>
      </c>
      <c r="H323" s="12">
        <v>41944</v>
      </c>
      <c r="I323" s="1">
        <v>16</v>
      </c>
      <c r="J323" s="1">
        <v>1</v>
      </c>
      <c r="K323" s="1" t="s">
        <v>29</v>
      </c>
      <c r="L323" s="1" t="s">
        <v>22</v>
      </c>
      <c r="M323" s="15">
        <f t="shared" ref="M323:M386" si="40">IFERROR(B323/D323,0)</f>
        <v>37.615982531095931</v>
      </c>
      <c r="N323" s="15">
        <f t="shared" ref="N323:N386" si="41">IFERROR(C323/D323,0)</f>
        <v>36.641452731194839</v>
      </c>
      <c r="O323" s="14">
        <f t="shared" ref="O323:O386" si="42">B323-C323</f>
        <v>1965.6266064005031</v>
      </c>
      <c r="P323" s="13">
        <f t="shared" ref="P323:P386" si="43">IFERROR(O323/B323,0)</f>
        <v>2.5907333381375311E-2</v>
      </c>
      <c r="Q323" s="15">
        <f t="shared" ref="Q323:Q386" si="44">M323-N323</f>
        <v>0.97452979990109156</v>
      </c>
      <c r="R323" s="13">
        <f t="shared" ref="R323:R386" si="45">IFERROR(Q323/M323,0)</f>
        <v>2.5907333381375294E-2</v>
      </c>
      <c r="S323" s="15">
        <f t="shared" ref="S323:S386" si="46">IFERROR(SUM($B$2:$B$1001)/SUM($D$2:$D$1001),0)</f>
        <v>35.267973231772061</v>
      </c>
      <c r="T323" s="15">
        <f t="shared" ref="T323:T386" si="47">AVERAGEIFS($M$2:$M$1001,$A$2:$A$1001,"&gt;="&amp;A323-29,$A$2:$A$1001,"&lt;="&amp;A323)</f>
        <v>37.243473974512547</v>
      </c>
    </row>
    <row r="324" spans="1:20" x14ac:dyDescent="0.3">
      <c r="A324" s="5">
        <v>41960.083333333336</v>
      </c>
      <c r="B324" s="14">
        <v>86313.334083170106</v>
      </c>
      <c r="C324" s="14">
        <v>84418.789109310601</v>
      </c>
      <c r="D324" s="6">
        <v>2297</v>
      </c>
      <c r="E324" s="1">
        <v>2014</v>
      </c>
      <c r="F324" s="1">
        <v>11</v>
      </c>
      <c r="G324" s="1" t="s">
        <v>39</v>
      </c>
      <c r="H324" s="12">
        <v>41944</v>
      </c>
      <c r="I324" s="1">
        <v>17</v>
      </c>
      <c r="J324" s="1">
        <v>2</v>
      </c>
      <c r="K324" s="1" t="s">
        <v>21</v>
      </c>
      <c r="L324" s="1" t="s">
        <v>22</v>
      </c>
      <c r="M324" s="15">
        <f t="shared" si="40"/>
        <v>37.576549448485025</v>
      </c>
      <c r="N324" s="15">
        <f t="shared" si="41"/>
        <v>36.75175842808472</v>
      </c>
      <c r="O324" s="14">
        <f t="shared" si="42"/>
        <v>1894.5449738595053</v>
      </c>
      <c r="P324" s="13">
        <f t="shared" si="43"/>
        <v>2.1949621040405563E-2</v>
      </c>
      <c r="Q324" s="15">
        <f t="shared" si="44"/>
        <v>0.82479102040030483</v>
      </c>
      <c r="R324" s="13">
        <f t="shared" si="45"/>
        <v>2.1949621040405508E-2</v>
      </c>
      <c r="S324" s="15">
        <f t="shared" si="46"/>
        <v>35.267973231772061</v>
      </c>
      <c r="T324" s="15">
        <f t="shared" si="47"/>
        <v>37.270702725482259</v>
      </c>
    </row>
    <row r="325" spans="1:20" x14ac:dyDescent="0.3">
      <c r="A325" s="5">
        <v>41961.083333333336</v>
      </c>
      <c r="B325" s="14">
        <v>62631.798752070397</v>
      </c>
      <c r="C325" s="14">
        <v>61158.361090192797</v>
      </c>
      <c r="D325" s="6">
        <v>1665</v>
      </c>
      <c r="E325" s="1">
        <v>2014</v>
      </c>
      <c r="F325" s="1">
        <v>11</v>
      </c>
      <c r="G325" s="1" t="s">
        <v>39</v>
      </c>
      <c r="H325" s="12">
        <v>41944</v>
      </c>
      <c r="I325" s="1">
        <v>18</v>
      </c>
      <c r="J325" s="1">
        <v>3</v>
      </c>
      <c r="K325" s="1" t="s">
        <v>23</v>
      </c>
      <c r="L325" s="1" t="s">
        <v>22</v>
      </c>
      <c r="M325" s="15">
        <f t="shared" si="40"/>
        <v>37.616695947189427</v>
      </c>
      <c r="N325" s="15">
        <f t="shared" si="41"/>
        <v>36.7317484025182</v>
      </c>
      <c r="O325" s="14">
        <f t="shared" si="42"/>
        <v>1473.4376618776005</v>
      </c>
      <c r="P325" s="13">
        <f t="shared" si="43"/>
        <v>2.3525392711619887E-2</v>
      </c>
      <c r="Q325" s="15">
        <f t="shared" si="44"/>
        <v>0.8849475446712276</v>
      </c>
      <c r="R325" s="13">
        <f t="shared" si="45"/>
        <v>2.3525392711619783E-2</v>
      </c>
      <c r="S325" s="15">
        <f t="shared" si="46"/>
        <v>35.267973231772061</v>
      </c>
      <c r="T325" s="15">
        <f t="shared" si="47"/>
        <v>37.29968205722404</v>
      </c>
    </row>
    <row r="326" spans="1:20" x14ac:dyDescent="0.3">
      <c r="A326" s="5">
        <v>41962.083333333336</v>
      </c>
      <c r="B326" s="14">
        <v>48529.103360340203</v>
      </c>
      <c r="C326" s="14">
        <v>47409.554056467197</v>
      </c>
      <c r="D326" s="6">
        <v>1291</v>
      </c>
      <c r="E326" s="1">
        <v>2014</v>
      </c>
      <c r="F326" s="1">
        <v>11</v>
      </c>
      <c r="G326" s="1" t="s">
        <v>39</v>
      </c>
      <c r="H326" s="12">
        <v>41944</v>
      </c>
      <c r="I326" s="1">
        <v>19</v>
      </c>
      <c r="J326" s="1">
        <v>4</v>
      </c>
      <c r="K326" s="1" t="s">
        <v>25</v>
      </c>
      <c r="L326" s="1" t="s">
        <v>22</v>
      </c>
      <c r="M326" s="15">
        <f t="shared" si="40"/>
        <v>37.590320186165918</v>
      </c>
      <c r="N326" s="15">
        <f t="shared" si="41"/>
        <v>36.72312475326661</v>
      </c>
      <c r="O326" s="14">
        <f t="shared" si="42"/>
        <v>1119.5493038730056</v>
      </c>
      <c r="P326" s="13">
        <f t="shared" si="43"/>
        <v>2.3069647414667528E-2</v>
      </c>
      <c r="Q326" s="15">
        <f t="shared" si="44"/>
        <v>0.86719543289930812</v>
      </c>
      <c r="R326" s="13">
        <f t="shared" si="45"/>
        <v>2.3069647414667552E-2</v>
      </c>
      <c r="S326" s="15">
        <f t="shared" si="46"/>
        <v>35.267973231772061</v>
      </c>
      <c r="T326" s="15">
        <f t="shared" si="47"/>
        <v>37.329902550938982</v>
      </c>
    </row>
    <row r="327" spans="1:20" x14ac:dyDescent="0.3">
      <c r="A327" s="5">
        <v>41963.083333333336</v>
      </c>
      <c r="B327" s="14">
        <v>51040.881368070302</v>
      </c>
      <c r="C327" s="14">
        <v>50038.1426341611</v>
      </c>
      <c r="D327" s="6">
        <v>1361</v>
      </c>
      <c r="E327" s="1">
        <v>2014</v>
      </c>
      <c r="F327" s="1">
        <v>11</v>
      </c>
      <c r="G327" s="1" t="s">
        <v>39</v>
      </c>
      <c r="H327" s="12">
        <v>41944</v>
      </c>
      <c r="I327" s="1">
        <v>20</v>
      </c>
      <c r="J327" s="1">
        <v>5</v>
      </c>
      <c r="K327" s="1" t="s">
        <v>26</v>
      </c>
      <c r="L327" s="1" t="s">
        <v>22</v>
      </c>
      <c r="M327" s="15">
        <f t="shared" si="40"/>
        <v>37.502484473233139</v>
      </c>
      <c r="N327" s="15">
        <f t="shared" si="41"/>
        <v>36.765718320471052</v>
      </c>
      <c r="O327" s="14">
        <f t="shared" si="42"/>
        <v>1002.738733909202</v>
      </c>
      <c r="P327" s="13">
        <f t="shared" si="43"/>
        <v>1.9645795821552688E-2</v>
      </c>
      <c r="Q327" s="15">
        <f t="shared" si="44"/>
        <v>0.73676615276208679</v>
      </c>
      <c r="R327" s="13">
        <f t="shared" si="45"/>
        <v>1.9645795821552653E-2</v>
      </c>
      <c r="S327" s="15">
        <f t="shared" si="46"/>
        <v>35.267973231772061</v>
      </c>
      <c r="T327" s="15">
        <f t="shared" si="47"/>
        <v>37.355643255775092</v>
      </c>
    </row>
    <row r="328" spans="1:20" x14ac:dyDescent="0.3">
      <c r="A328" s="5">
        <v>41964.083333333336</v>
      </c>
      <c r="B328" s="14">
        <v>53973.922240020001</v>
      </c>
      <c r="C328" s="14">
        <v>47192.498284101901</v>
      </c>
      <c r="D328" s="6">
        <v>1281</v>
      </c>
      <c r="E328" s="1">
        <v>2014</v>
      </c>
      <c r="F328" s="1">
        <v>11</v>
      </c>
      <c r="G328" s="1" t="s">
        <v>39</v>
      </c>
      <c r="H328" s="12">
        <v>41944</v>
      </c>
      <c r="I328" s="1">
        <v>21</v>
      </c>
      <c r="J328" s="1">
        <v>6</v>
      </c>
      <c r="K328" s="1" t="s">
        <v>27</v>
      </c>
      <c r="L328" s="1" t="s">
        <v>22</v>
      </c>
      <c r="M328" s="15">
        <f t="shared" si="40"/>
        <v>42.134209398922721</v>
      </c>
      <c r="N328" s="15">
        <f t="shared" si="41"/>
        <v>36.840357754958546</v>
      </c>
      <c r="O328" s="14">
        <f t="shared" si="42"/>
        <v>6781.4239559181005</v>
      </c>
      <c r="P328" s="13">
        <f t="shared" si="43"/>
        <v>0.12564260062037669</v>
      </c>
      <c r="Q328" s="15">
        <f t="shared" si="44"/>
        <v>5.2938516439641745</v>
      </c>
      <c r="R328" s="13">
        <f t="shared" si="45"/>
        <v>0.12564260062037683</v>
      </c>
      <c r="S328" s="15">
        <f t="shared" si="46"/>
        <v>35.267973231772061</v>
      </c>
      <c r="T328" s="15">
        <f t="shared" si="47"/>
        <v>37.537414210859232</v>
      </c>
    </row>
    <row r="329" spans="1:20" x14ac:dyDescent="0.3">
      <c r="A329" s="5">
        <v>41965.083333333336</v>
      </c>
      <c r="B329" s="14">
        <v>47497.982533509901</v>
      </c>
      <c r="C329" s="14">
        <v>41179.088245459199</v>
      </c>
      <c r="D329" s="6">
        <v>1122</v>
      </c>
      <c r="E329" s="1">
        <v>2014</v>
      </c>
      <c r="F329" s="1">
        <v>11</v>
      </c>
      <c r="G329" s="1" t="s">
        <v>39</v>
      </c>
      <c r="H329" s="12">
        <v>41944</v>
      </c>
      <c r="I329" s="1">
        <v>22</v>
      </c>
      <c r="J329" s="1">
        <v>7</v>
      </c>
      <c r="K329" s="1" t="s">
        <v>28</v>
      </c>
      <c r="L329" s="1" t="s">
        <v>22</v>
      </c>
      <c r="M329" s="15">
        <f t="shared" si="40"/>
        <v>42.333317766051607</v>
      </c>
      <c r="N329" s="15">
        <f t="shared" si="41"/>
        <v>36.701504675097326</v>
      </c>
      <c r="O329" s="14">
        <f t="shared" si="42"/>
        <v>6318.894288050702</v>
      </c>
      <c r="P329" s="13">
        <f t="shared" si="43"/>
        <v>0.13303500382553538</v>
      </c>
      <c r="Q329" s="15">
        <f t="shared" si="44"/>
        <v>5.6318130909542816</v>
      </c>
      <c r="R329" s="13">
        <f t="shared" si="45"/>
        <v>0.1330350038255354</v>
      </c>
      <c r="S329" s="15">
        <f t="shared" si="46"/>
        <v>35.267973231772061</v>
      </c>
      <c r="T329" s="15">
        <f t="shared" si="47"/>
        <v>37.722872285525789</v>
      </c>
    </row>
    <row r="330" spans="1:20" x14ac:dyDescent="0.3">
      <c r="A330" s="5">
        <v>41966.083333333336</v>
      </c>
      <c r="B330" s="14">
        <v>31219.951528719899</v>
      </c>
      <c r="C330" s="14">
        <v>26893.304677300999</v>
      </c>
      <c r="D330" s="6">
        <v>737</v>
      </c>
      <c r="E330" s="1">
        <v>2014</v>
      </c>
      <c r="F330" s="1">
        <v>11</v>
      </c>
      <c r="G330" s="1" t="s">
        <v>39</v>
      </c>
      <c r="H330" s="12">
        <v>41944</v>
      </c>
      <c r="I330" s="1">
        <v>23</v>
      </c>
      <c r="J330" s="1">
        <v>1</v>
      </c>
      <c r="K330" s="1" t="s">
        <v>29</v>
      </c>
      <c r="L330" s="1" t="s">
        <v>22</v>
      </c>
      <c r="M330" s="15">
        <f t="shared" si="40"/>
        <v>42.360856891071776</v>
      </c>
      <c r="N330" s="15">
        <f t="shared" si="41"/>
        <v>36.490237011263225</v>
      </c>
      <c r="O330" s="14">
        <f t="shared" si="42"/>
        <v>4326.6468514189</v>
      </c>
      <c r="P330" s="13">
        <f t="shared" si="43"/>
        <v>0.13858595672189705</v>
      </c>
      <c r="Q330" s="15">
        <f t="shared" si="44"/>
        <v>5.8706198798085509</v>
      </c>
      <c r="R330" s="13">
        <f t="shared" si="45"/>
        <v>0.13858595672189714</v>
      </c>
      <c r="S330" s="15">
        <f t="shared" si="46"/>
        <v>35.267973231772061</v>
      </c>
      <c r="T330" s="15">
        <f t="shared" si="47"/>
        <v>37.911017189402124</v>
      </c>
    </row>
    <row r="331" spans="1:20" x14ac:dyDescent="0.3">
      <c r="A331" s="5">
        <v>41967.083333333336</v>
      </c>
      <c r="B331" s="14">
        <v>26870.323873469999</v>
      </c>
      <c r="C331" s="14">
        <v>23516.041718095501</v>
      </c>
      <c r="D331" s="6">
        <v>641</v>
      </c>
      <c r="E331" s="1">
        <v>2014</v>
      </c>
      <c r="F331" s="1">
        <v>11</v>
      </c>
      <c r="G331" s="1" t="s">
        <v>39</v>
      </c>
      <c r="H331" s="12">
        <v>41944</v>
      </c>
      <c r="I331" s="1">
        <v>24</v>
      </c>
      <c r="J331" s="1">
        <v>2</v>
      </c>
      <c r="K331" s="1" t="s">
        <v>21</v>
      </c>
      <c r="L331" s="1" t="s">
        <v>22</v>
      </c>
      <c r="M331" s="15">
        <f t="shared" si="40"/>
        <v>41.919382017893916</v>
      </c>
      <c r="N331" s="15">
        <f t="shared" si="41"/>
        <v>36.686492539930576</v>
      </c>
      <c r="O331" s="14">
        <f t="shared" si="42"/>
        <v>3354.282155374498</v>
      </c>
      <c r="P331" s="13">
        <f t="shared" si="43"/>
        <v>0.12483221903723672</v>
      </c>
      <c r="Q331" s="15">
        <f t="shared" si="44"/>
        <v>5.2328894779633401</v>
      </c>
      <c r="R331" s="13">
        <f t="shared" si="45"/>
        <v>0.12483221903723683</v>
      </c>
      <c r="S331" s="15">
        <f t="shared" si="46"/>
        <v>35.267973231772061</v>
      </c>
      <c r="T331" s="15">
        <f t="shared" si="47"/>
        <v>38.085063736317728</v>
      </c>
    </row>
    <row r="332" spans="1:20" x14ac:dyDescent="0.3">
      <c r="A332" s="5">
        <v>41968.083333333336</v>
      </c>
      <c r="B332" s="14">
        <v>40530.642292680001</v>
      </c>
      <c r="C332" s="14">
        <v>35674.190763166298</v>
      </c>
      <c r="D332" s="6">
        <v>968</v>
      </c>
      <c r="E332" s="1">
        <v>2014</v>
      </c>
      <c r="F332" s="1">
        <v>11</v>
      </c>
      <c r="G332" s="1" t="s">
        <v>39</v>
      </c>
      <c r="H332" s="12">
        <v>41944</v>
      </c>
      <c r="I332" s="1">
        <v>25</v>
      </c>
      <c r="J332" s="1">
        <v>3</v>
      </c>
      <c r="K332" s="1" t="s">
        <v>23</v>
      </c>
      <c r="L332" s="1" t="s">
        <v>22</v>
      </c>
      <c r="M332" s="15">
        <f t="shared" si="40"/>
        <v>41.870498236239669</v>
      </c>
      <c r="N332" s="15">
        <f t="shared" si="41"/>
        <v>36.853502854510637</v>
      </c>
      <c r="O332" s="14">
        <f t="shared" si="42"/>
        <v>4856.4515295137026</v>
      </c>
      <c r="P332" s="13">
        <f t="shared" si="43"/>
        <v>0.11982172634828434</v>
      </c>
      <c r="Q332" s="15">
        <f t="shared" si="44"/>
        <v>5.016995381729032</v>
      </c>
      <c r="R332" s="13">
        <f t="shared" si="45"/>
        <v>0.11982172634828435</v>
      </c>
      <c r="S332" s="15">
        <f t="shared" si="46"/>
        <v>35.267973231772061</v>
      </c>
      <c r="T332" s="15">
        <f t="shared" si="47"/>
        <v>38.25743911247762</v>
      </c>
    </row>
    <row r="333" spans="1:20" x14ac:dyDescent="0.3">
      <c r="A333" s="5">
        <v>41969.083333333336</v>
      </c>
      <c r="B333" s="14">
        <v>30371.4313350499</v>
      </c>
      <c r="C333" s="14">
        <v>26054.849168281398</v>
      </c>
      <c r="D333" s="6">
        <v>709</v>
      </c>
      <c r="E333" s="1">
        <v>2014</v>
      </c>
      <c r="F333" s="1">
        <v>11</v>
      </c>
      <c r="G333" s="1" t="s">
        <v>39</v>
      </c>
      <c r="H333" s="12">
        <v>41944</v>
      </c>
      <c r="I333" s="1">
        <v>26</v>
      </c>
      <c r="J333" s="1">
        <v>4</v>
      </c>
      <c r="K333" s="1" t="s">
        <v>25</v>
      </c>
      <c r="L333" s="1" t="s">
        <v>22</v>
      </c>
      <c r="M333" s="15">
        <f t="shared" si="40"/>
        <v>42.836997651692386</v>
      </c>
      <c r="N333" s="15">
        <f t="shared" si="41"/>
        <v>36.748729433401124</v>
      </c>
      <c r="O333" s="14">
        <f t="shared" si="42"/>
        <v>4316.5821667685013</v>
      </c>
      <c r="P333" s="13">
        <f t="shared" si="43"/>
        <v>0.14212639895529011</v>
      </c>
      <c r="Q333" s="15">
        <f t="shared" si="44"/>
        <v>6.0882682182912617</v>
      </c>
      <c r="R333" s="13">
        <f t="shared" si="45"/>
        <v>0.1421263989552902</v>
      </c>
      <c r="S333" s="15">
        <f t="shared" si="46"/>
        <v>35.267973231772061</v>
      </c>
      <c r="T333" s="15">
        <f t="shared" si="47"/>
        <v>38.4598366425734</v>
      </c>
    </row>
    <row r="334" spans="1:20" x14ac:dyDescent="0.3">
      <c r="A334" s="5">
        <v>41970.083333333336</v>
      </c>
      <c r="B334" s="14">
        <v>37776.658766749897</v>
      </c>
      <c r="C334" s="14">
        <v>32719.689636421601</v>
      </c>
      <c r="D334" s="6">
        <v>880</v>
      </c>
      <c r="E334" s="1">
        <v>2014</v>
      </c>
      <c r="F334" s="1">
        <v>11</v>
      </c>
      <c r="G334" s="1" t="s">
        <v>39</v>
      </c>
      <c r="H334" s="12">
        <v>41944</v>
      </c>
      <c r="I334" s="1">
        <v>27</v>
      </c>
      <c r="J334" s="1">
        <v>5</v>
      </c>
      <c r="K334" s="1" t="s">
        <v>26</v>
      </c>
      <c r="L334" s="1" t="s">
        <v>22</v>
      </c>
      <c r="M334" s="15">
        <f t="shared" si="40"/>
        <v>42.928021325852157</v>
      </c>
      <c r="N334" s="15">
        <f t="shared" si="41"/>
        <v>37.181465495933637</v>
      </c>
      <c r="O334" s="14">
        <f t="shared" si="42"/>
        <v>5056.9691303282962</v>
      </c>
      <c r="P334" s="13">
        <f t="shared" si="43"/>
        <v>0.13386491276405096</v>
      </c>
      <c r="Q334" s="15">
        <f t="shared" si="44"/>
        <v>5.7465558299185204</v>
      </c>
      <c r="R334" s="13">
        <f t="shared" si="45"/>
        <v>0.13386491276405102</v>
      </c>
      <c r="S334" s="15">
        <f t="shared" si="46"/>
        <v>35.267973231772061</v>
      </c>
      <c r="T334" s="15">
        <f t="shared" si="47"/>
        <v>38.665205229795696</v>
      </c>
    </row>
    <row r="335" spans="1:20" x14ac:dyDescent="0.3">
      <c r="A335" s="5">
        <v>41971.083333333336</v>
      </c>
      <c r="B335" s="14">
        <v>46818.205322610003</v>
      </c>
      <c r="C335" s="14">
        <v>40652.576408851397</v>
      </c>
      <c r="D335" s="6">
        <v>1096</v>
      </c>
      <c r="E335" s="1">
        <v>2014</v>
      </c>
      <c r="F335" s="1">
        <v>11</v>
      </c>
      <c r="G335" s="1" t="s">
        <v>39</v>
      </c>
      <c r="H335" s="12">
        <v>41944</v>
      </c>
      <c r="I335" s="1">
        <v>28</v>
      </c>
      <c r="J335" s="1">
        <v>6</v>
      </c>
      <c r="K335" s="1" t="s">
        <v>27</v>
      </c>
      <c r="L335" s="1" t="s">
        <v>22</v>
      </c>
      <c r="M335" s="15">
        <f t="shared" si="40"/>
        <v>42.717340622819343</v>
      </c>
      <c r="N335" s="15">
        <f t="shared" si="41"/>
        <v>37.091766796397259</v>
      </c>
      <c r="O335" s="14">
        <f t="shared" si="42"/>
        <v>6165.6289137586064</v>
      </c>
      <c r="P335" s="13">
        <f t="shared" si="43"/>
        <v>0.13169297864523286</v>
      </c>
      <c r="Q335" s="15">
        <f t="shared" si="44"/>
        <v>5.6255738264220838</v>
      </c>
      <c r="R335" s="13">
        <f t="shared" si="45"/>
        <v>0.1316929786452328</v>
      </c>
      <c r="S335" s="15">
        <f t="shared" si="46"/>
        <v>35.267973231772061</v>
      </c>
      <c r="T335" s="15">
        <f t="shared" si="47"/>
        <v>38.864626099400262</v>
      </c>
    </row>
    <row r="336" spans="1:20" x14ac:dyDescent="0.3">
      <c r="A336" s="5">
        <v>41972.083333333336</v>
      </c>
      <c r="B336" s="14">
        <v>88321.625549760705</v>
      </c>
      <c r="C336" s="14">
        <v>79880.243682936503</v>
      </c>
      <c r="D336" s="6">
        <v>2068</v>
      </c>
      <c r="E336" s="1">
        <v>2014</v>
      </c>
      <c r="F336" s="1">
        <v>11</v>
      </c>
      <c r="G336" s="1" t="s">
        <v>39</v>
      </c>
      <c r="H336" s="12">
        <v>41944</v>
      </c>
      <c r="I336" s="1">
        <v>29</v>
      </c>
      <c r="J336" s="1">
        <v>7</v>
      </c>
      <c r="K336" s="1" t="s">
        <v>28</v>
      </c>
      <c r="L336" s="1" t="s">
        <v>22</v>
      </c>
      <c r="M336" s="15">
        <f t="shared" si="40"/>
        <v>42.708716416712143</v>
      </c>
      <c r="N336" s="15">
        <f t="shared" si="41"/>
        <v>38.626810291555373</v>
      </c>
      <c r="O336" s="14">
        <f t="shared" si="42"/>
        <v>8441.381866824202</v>
      </c>
      <c r="P336" s="13">
        <f t="shared" si="43"/>
        <v>9.55754812513986E-2</v>
      </c>
      <c r="Q336" s="15">
        <f t="shared" si="44"/>
        <v>4.0819061251567703</v>
      </c>
      <c r="R336" s="13">
        <f t="shared" si="45"/>
        <v>9.5575481251398586E-2</v>
      </c>
      <c r="S336" s="15">
        <f t="shared" si="46"/>
        <v>35.267973231772061</v>
      </c>
      <c r="T336" s="15">
        <f t="shared" si="47"/>
        <v>39.064075566318579</v>
      </c>
    </row>
    <row r="337" spans="1:20" x14ac:dyDescent="0.3">
      <c r="A337" s="5">
        <v>41973.083333333336</v>
      </c>
      <c r="B337" s="14">
        <v>101037.827829792</v>
      </c>
      <c r="C337" s="14">
        <v>93177.884704390293</v>
      </c>
      <c r="D337" s="6">
        <v>2375</v>
      </c>
      <c r="E337" s="1">
        <v>2014</v>
      </c>
      <c r="F337" s="1">
        <v>11</v>
      </c>
      <c r="G337" s="1" t="s">
        <v>39</v>
      </c>
      <c r="H337" s="12">
        <v>41944</v>
      </c>
      <c r="I337" s="1">
        <v>30</v>
      </c>
      <c r="J337" s="1">
        <v>1</v>
      </c>
      <c r="K337" s="1" t="s">
        <v>29</v>
      </c>
      <c r="L337" s="1" t="s">
        <v>22</v>
      </c>
      <c r="M337" s="15">
        <f t="shared" si="40"/>
        <v>42.542243296754528</v>
      </c>
      <c r="N337" s="15">
        <f t="shared" si="41"/>
        <v>39.232793559743278</v>
      </c>
      <c r="O337" s="14">
        <f t="shared" si="42"/>
        <v>7859.9431254017109</v>
      </c>
      <c r="P337" s="13">
        <f t="shared" si="43"/>
        <v>7.7792083363495759E-2</v>
      </c>
      <c r="Q337" s="15">
        <f t="shared" si="44"/>
        <v>3.3094497370112492</v>
      </c>
      <c r="R337" s="13">
        <f t="shared" si="45"/>
        <v>7.7792083363495815E-2</v>
      </c>
      <c r="S337" s="15">
        <f t="shared" si="46"/>
        <v>35.267973231772061</v>
      </c>
      <c r="T337" s="15">
        <f t="shared" si="47"/>
        <v>39.257755406287366</v>
      </c>
    </row>
    <row r="338" spans="1:20" x14ac:dyDescent="0.3">
      <c r="A338" s="5">
        <v>41974.083333333336</v>
      </c>
      <c r="B338" s="14">
        <v>105100.66764851099</v>
      </c>
      <c r="C338" s="14">
        <v>97257.3946657294</v>
      </c>
      <c r="D338" s="6">
        <v>2492</v>
      </c>
      <c r="E338" s="1">
        <v>2014</v>
      </c>
      <c r="F338" s="1">
        <v>12</v>
      </c>
      <c r="G338" s="1" t="s">
        <v>20</v>
      </c>
      <c r="H338" s="12">
        <v>41974</v>
      </c>
      <c r="I338" s="1">
        <v>1</v>
      </c>
      <c r="J338" s="1">
        <v>2</v>
      </c>
      <c r="K338" s="1" t="s">
        <v>21</v>
      </c>
      <c r="L338" s="1" t="s">
        <v>22</v>
      </c>
      <c r="M338" s="15">
        <f t="shared" si="40"/>
        <v>42.175227788327042</v>
      </c>
      <c r="N338" s="15">
        <f t="shared" si="41"/>
        <v>39.027846976616935</v>
      </c>
      <c r="O338" s="14">
        <f t="shared" si="42"/>
        <v>7843.2729827815929</v>
      </c>
      <c r="P338" s="13">
        <f t="shared" si="43"/>
        <v>7.46262907578467E-2</v>
      </c>
      <c r="Q338" s="15">
        <f t="shared" si="44"/>
        <v>3.1473808117101072</v>
      </c>
      <c r="R338" s="13">
        <f t="shared" si="45"/>
        <v>7.4626290757846644E-2</v>
      </c>
      <c r="S338" s="15">
        <f t="shared" si="46"/>
        <v>35.267973231772061</v>
      </c>
      <c r="T338" s="15">
        <f t="shared" si="47"/>
        <v>39.437974231597877</v>
      </c>
    </row>
    <row r="339" spans="1:20" x14ac:dyDescent="0.3">
      <c r="A339" s="5">
        <v>41975.083333333336</v>
      </c>
      <c r="B339" s="14">
        <v>88219.525488129904</v>
      </c>
      <c r="C339" s="14">
        <v>85533.428923318497</v>
      </c>
      <c r="D339" s="6">
        <v>2170</v>
      </c>
      <c r="E339" s="1">
        <v>2014</v>
      </c>
      <c r="F339" s="1">
        <v>12</v>
      </c>
      <c r="G339" s="1" t="s">
        <v>20</v>
      </c>
      <c r="H339" s="12">
        <v>41974</v>
      </c>
      <c r="I339" s="1">
        <v>2</v>
      </c>
      <c r="J339" s="1">
        <v>3</v>
      </c>
      <c r="K339" s="1" t="s">
        <v>23</v>
      </c>
      <c r="L339" s="1" t="s">
        <v>22</v>
      </c>
      <c r="M339" s="15">
        <f t="shared" si="40"/>
        <v>40.654159211119769</v>
      </c>
      <c r="N339" s="15">
        <f t="shared" si="41"/>
        <v>39.416326692773502</v>
      </c>
      <c r="O339" s="14">
        <f t="shared" si="42"/>
        <v>2686.096564811407</v>
      </c>
      <c r="P339" s="13">
        <f t="shared" si="43"/>
        <v>3.0447869107761479E-2</v>
      </c>
      <c r="Q339" s="15">
        <f t="shared" si="44"/>
        <v>1.2378325183462664</v>
      </c>
      <c r="R339" s="13">
        <f t="shared" si="45"/>
        <v>3.0447869107761382E-2</v>
      </c>
      <c r="S339" s="15">
        <f t="shared" si="46"/>
        <v>35.267973231772061</v>
      </c>
      <c r="T339" s="15">
        <f t="shared" si="47"/>
        <v>39.567455110624834</v>
      </c>
    </row>
    <row r="340" spans="1:20" x14ac:dyDescent="0.3">
      <c r="A340" s="5">
        <v>41976.083333333336</v>
      </c>
      <c r="B340" s="14">
        <v>71590.369289220398</v>
      </c>
      <c r="C340" s="14">
        <v>69654.930305903996</v>
      </c>
      <c r="D340" s="6">
        <v>1784</v>
      </c>
      <c r="E340" s="1">
        <v>2014</v>
      </c>
      <c r="F340" s="1">
        <v>12</v>
      </c>
      <c r="G340" s="1" t="s">
        <v>20</v>
      </c>
      <c r="H340" s="12">
        <v>41974</v>
      </c>
      <c r="I340" s="1">
        <v>3</v>
      </c>
      <c r="J340" s="1">
        <v>4</v>
      </c>
      <c r="K340" s="1" t="s">
        <v>25</v>
      </c>
      <c r="L340" s="1" t="s">
        <v>22</v>
      </c>
      <c r="M340" s="15">
        <f t="shared" si="40"/>
        <v>40.129130767500222</v>
      </c>
      <c r="N340" s="15">
        <f t="shared" si="41"/>
        <v>39.04424344501345</v>
      </c>
      <c r="O340" s="14">
        <f t="shared" si="42"/>
        <v>1935.4389833164023</v>
      </c>
      <c r="P340" s="13">
        <f t="shared" si="43"/>
        <v>2.7034907104576535E-2</v>
      </c>
      <c r="Q340" s="15">
        <f t="shared" si="44"/>
        <v>1.0848873224867717</v>
      </c>
      <c r="R340" s="13">
        <f t="shared" si="45"/>
        <v>2.7034907104576511E-2</v>
      </c>
      <c r="S340" s="15">
        <f t="shared" si="46"/>
        <v>35.267973231772061</v>
      </c>
      <c r="T340" s="15">
        <f t="shared" si="47"/>
        <v>39.678497075499827</v>
      </c>
    </row>
    <row r="341" spans="1:20" x14ac:dyDescent="0.3">
      <c r="A341" s="5">
        <v>41977.083333333336</v>
      </c>
      <c r="B341" s="14">
        <v>54996.621692620203</v>
      </c>
      <c r="C341" s="14">
        <v>54503.028547504597</v>
      </c>
      <c r="D341" s="6">
        <v>1368</v>
      </c>
      <c r="E341" s="1">
        <v>2014</v>
      </c>
      <c r="F341" s="1">
        <v>12</v>
      </c>
      <c r="G341" s="1" t="s">
        <v>20</v>
      </c>
      <c r="H341" s="12">
        <v>41974</v>
      </c>
      <c r="I341" s="1">
        <v>4</v>
      </c>
      <c r="J341" s="1">
        <v>5</v>
      </c>
      <c r="K341" s="1" t="s">
        <v>26</v>
      </c>
      <c r="L341" s="1" t="s">
        <v>22</v>
      </c>
      <c r="M341" s="15">
        <f t="shared" si="40"/>
        <v>40.20220883963465</v>
      </c>
      <c r="N341" s="15">
        <f t="shared" si="41"/>
        <v>39.841395137064765</v>
      </c>
      <c r="O341" s="14">
        <f t="shared" si="42"/>
        <v>493.5931451156066</v>
      </c>
      <c r="P341" s="13">
        <f t="shared" si="43"/>
        <v>8.9749720969104566E-3</v>
      </c>
      <c r="Q341" s="15">
        <f t="shared" si="44"/>
        <v>0.36081370256988521</v>
      </c>
      <c r="R341" s="13">
        <f t="shared" si="45"/>
        <v>8.9749720969103906E-3</v>
      </c>
      <c r="S341" s="15">
        <f t="shared" si="46"/>
        <v>35.267973231772061</v>
      </c>
      <c r="T341" s="15">
        <f t="shared" si="47"/>
        <v>39.705289218162129</v>
      </c>
    </row>
    <row r="342" spans="1:20" x14ac:dyDescent="0.3">
      <c r="A342" s="5">
        <v>41978.083333333336</v>
      </c>
      <c r="B342" s="14">
        <v>77884.181609825493</v>
      </c>
      <c r="C342" s="14">
        <v>77619.294889390396</v>
      </c>
      <c r="D342" s="6">
        <v>1914</v>
      </c>
      <c r="E342" s="1">
        <v>2014</v>
      </c>
      <c r="F342" s="1">
        <v>12</v>
      </c>
      <c r="G342" s="1" t="s">
        <v>20</v>
      </c>
      <c r="H342" s="12">
        <v>41974</v>
      </c>
      <c r="I342" s="1">
        <v>5</v>
      </c>
      <c r="J342" s="1">
        <v>6</v>
      </c>
      <c r="K342" s="1" t="s">
        <v>27</v>
      </c>
      <c r="L342" s="1" t="s">
        <v>22</v>
      </c>
      <c r="M342" s="15">
        <f t="shared" si="40"/>
        <v>40.691839921538921</v>
      </c>
      <c r="N342" s="15">
        <f t="shared" si="41"/>
        <v>40.553445605742105</v>
      </c>
      <c r="O342" s="14">
        <f t="shared" si="42"/>
        <v>264.88672043509723</v>
      </c>
      <c r="P342" s="13">
        <f t="shared" si="43"/>
        <v>3.4010336240302792E-3</v>
      </c>
      <c r="Q342" s="15">
        <f t="shared" si="44"/>
        <v>0.13839431579681616</v>
      </c>
      <c r="R342" s="13">
        <f t="shared" si="45"/>
        <v>3.4010336240303933E-3</v>
      </c>
      <c r="S342" s="15">
        <f t="shared" si="46"/>
        <v>35.267973231772061</v>
      </c>
      <c r="T342" s="15">
        <f t="shared" si="47"/>
        <v>39.748620119353475</v>
      </c>
    </row>
    <row r="343" spans="1:20" x14ac:dyDescent="0.3">
      <c r="A343" s="5">
        <v>41979.083333333336</v>
      </c>
      <c r="B343" s="14">
        <v>150370.11672367601</v>
      </c>
      <c r="C343" s="14">
        <v>154998.83458187699</v>
      </c>
      <c r="D343" s="6">
        <v>3765</v>
      </c>
      <c r="E343" s="1">
        <v>2014</v>
      </c>
      <c r="F343" s="1">
        <v>12</v>
      </c>
      <c r="G343" s="1" t="s">
        <v>20</v>
      </c>
      <c r="H343" s="12">
        <v>41974</v>
      </c>
      <c r="I343" s="1">
        <v>6</v>
      </c>
      <c r="J343" s="1">
        <v>7</v>
      </c>
      <c r="K343" s="1" t="s">
        <v>28</v>
      </c>
      <c r="L343" s="1" t="s">
        <v>22</v>
      </c>
      <c r="M343" s="15">
        <f t="shared" si="40"/>
        <v>39.938942024880745</v>
      </c>
      <c r="N343" s="15">
        <f t="shared" si="41"/>
        <v>41.168349158533061</v>
      </c>
      <c r="O343" s="14">
        <f t="shared" si="42"/>
        <v>-4628.7178582009801</v>
      </c>
      <c r="P343" s="13">
        <f t="shared" si="43"/>
        <v>-3.0782165759083841E-2</v>
      </c>
      <c r="Q343" s="15">
        <f t="shared" si="44"/>
        <v>-1.229407133652316</v>
      </c>
      <c r="R343" s="13">
        <f t="shared" si="45"/>
        <v>-3.0782165759083772E-2</v>
      </c>
      <c r="S343" s="15">
        <f t="shared" si="46"/>
        <v>35.267973231772061</v>
      </c>
      <c r="T343" s="15">
        <f t="shared" si="47"/>
        <v>39.825876638118515</v>
      </c>
    </row>
    <row r="344" spans="1:20" x14ac:dyDescent="0.3">
      <c r="A344" s="5">
        <v>41980.083333333336</v>
      </c>
      <c r="B344" s="14">
        <v>104675.376115349</v>
      </c>
      <c r="C344" s="14">
        <v>111903.737902479</v>
      </c>
      <c r="D344" s="6">
        <v>2712</v>
      </c>
      <c r="E344" s="1">
        <v>2014</v>
      </c>
      <c r="F344" s="1">
        <v>12</v>
      </c>
      <c r="G344" s="1" t="s">
        <v>20</v>
      </c>
      <c r="H344" s="12">
        <v>41974</v>
      </c>
      <c r="I344" s="1">
        <v>7</v>
      </c>
      <c r="J344" s="1">
        <v>1</v>
      </c>
      <c r="K344" s="1" t="s">
        <v>29</v>
      </c>
      <c r="L344" s="1" t="s">
        <v>22</v>
      </c>
      <c r="M344" s="15">
        <f t="shared" si="40"/>
        <v>38.597115086780605</v>
      </c>
      <c r="N344" s="15">
        <f t="shared" si="41"/>
        <v>41.262440229527655</v>
      </c>
      <c r="O344" s="14">
        <f t="shared" si="42"/>
        <v>-7228.3617871299939</v>
      </c>
      <c r="P344" s="13">
        <f t="shared" si="43"/>
        <v>-6.9055035246919624E-2</v>
      </c>
      <c r="Q344" s="15">
        <f t="shared" si="44"/>
        <v>-2.6653251427470508</v>
      </c>
      <c r="R344" s="13">
        <f t="shared" si="45"/>
        <v>-6.9055035246919708E-2</v>
      </c>
      <c r="S344" s="15">
        <f t="shared" si="46"/>
        <v>35.267973231772061</v>
      </c>
      <c r="T344" s="15">
        <f t="shared" si="47"/>
        <v>39.857138132752162</v>
      </c>
    </row>
    <row r="345" spans="1:20" x14ac:dyDescent="0.3">
      <c r="A345" s="5">
        <v>41981.083333333336</v>
      </c>
      <c r="B345" s="14">
        <v>90121.530475064807</v>
      </c>
      <c r="C345" s="14">
        <v>91081.668194086204</v>
      </c>
      <c r="D345" s="6">
        <v>2222</v>
      </c>
      <c r="E345" s="1">
        <v>2014</v>
      </c>
      <c r="F345" s="1">
        <v>12</v>
      </c>
      <c r="G345" s="1" t="s">
        <v>20</v>
      </c>
      <c r="H345" s="12">
        <v>41974</v>
      </c>
      <c r="I345" s="1">
        <v>8</v>
      </c>
      <c r="J345" s="1">
        <v>2</v>
      </c>
      <c r="K345" s="1" t="s">
        <v>21</v>
      </c>
      <c r="L345" s="1" t="s">
        <v>22</v>
      </c>
      <c r="M345" s="15">
        <f t="shared" si="40"/>
        <v>40.558744588237985</v>
      </c>
      <c r="N345" s="15">
        <f t="shared" si="41"/>
        <v>40.990849772316025</v>
      </c>
      <c r="O345" s="14">
        <f t="shared" si="42"/>
        <v>-960.13771902139706</v>
      </c>
      <c r="P345" s="13">
        <f t="shared" si="43"/>
        <v>-1.0653810626163876E-2</v>
      </c>
      <c r="Q345" s="15">
        <f t="shared" si="44"/>
        <v>-0.43210518407803988</v>
      </c>
      <c r="R345" s="13">
        <f t="shared" si="45"/>
        <v>-1.0653810626163961E-2</v>
      </c>
      <c r="S345" s="15">
        <f t="shared" si="46"/>
        <v>35.267973231772061</v>
      </c>
      <c r="T345" s="15">
        <f t="shared" si="47"/>
        <v>39.95380651075606</v>
      </c>
    </row>
    <row r="346" spans="1:20" x14ac:dyDescent="0.3">
      <c r="A346" s="5">
        <v>41982.083333333336</v>
      </c>
      <c r="B346" s="14">
        <v>75425.443698290503</v>
      </c>
      <c r="C346" s="14">
        <v>77014.2559603056</v>
      </c>
      <c r="D346" s="6">
        <v>1861</v>
      </c>
      <c r="E346" s="1">
        <v>2014</v>
      </c>
      <c r="F346" s="1">
        <v>12</v>
      </c>
      <c r="G346" s="1" t="s">
        <v>20</v>
      </c>
      <c r="H346" s="12">
        <v>41974</v>
      </c>
      <c r="I346" s="1">
        <v>9</v>
      </c>
      <c r="J346" s="1">
        <v>3</v>
      </c>
      <c r="K346" s="1" t="s">
        <v>23</v>
      </c>
      <c r="L346" s="1" t="s">
        <v>22</v>
      </c>
      <c r="M346" s="15">
        <f t="shared" si="40"/>
        <v>40.529523749753089</v>
      </c>
      <c r="N346" s="15">
        <f t="shared" si="41"/>
        <v>41.383264890008384</v>
      </c>
      <c r="O346" s="14">
        <f t="shared" si="42"/>
        <v>-1588.8122620150971</v>
      </c>
      <c r="P346" s="13">
        <f t="shared" si="43"/>
        <v>-2.1064672398488086E-2</v>
      </c>
      <c r="Q346" s="15">
        <f t="shared" si="44"/>
        <v>-0.85374114025529479</v>
      </c>
      <c r="R346" s="13">
        <f t="shared" si="45"/>
        <v>-2.1064672398488173E-2</v>
      </c>
      <c r="S346" s="15">
        <f t="shared" si="46"/>
        <v>35.267973231772061</v>
      </c>
      <c r="T346" s="15">
        <f t="shared" si="47"/>
        <v>40.049444619886621</v>
      </c>
    </row>
    <row r="347" spans="1:20" x14ac:dyDescent="0.3">
      <c r="A347" s="5">
        <v>41983.083333333336</v>
      </c>
      <c r="B347" s="14">
        <v>161844.80943567399</v>
      </c>
      <c r="C347" s="14">
        <v>169348.518584865</v>
      </c>
      <c r="D347" s="6">
        <v>4095</v>
      </c>
      <c r="E347" s="1">
        <v>2014</v>
      </c>
      <c r="F347" s="1">
        <v>12</v>
      </c>
      <c r="G347" s="1" t="s">
        <v>20</v>
      </c>
      <c r="H347" s="12">
        <v>41974</v>
      </c>
      <c r="I347" s="1">
        <v>10</v>
      </c>
      <c r="J347" s="1">
        <v>4</v>
      </c>
      <c r="K347" s="1" t="s">
        <v>25</v>
      </c>
      <c r="L347" s="1" t="s">
        <v>22</v>
      </c>
      <c r="M347" s="15">
        <f t="shared" si="40"/>
        <v>39.522541986733572</v>
      </c>
      <c r="N347" s="15">
        <f t="shared" si="41"/>
        <v>41.354949593373625</v>
      </c>
      <c r="O347" s="14">
        <f t="shared" si="42"/>
        <v>-7503.7091491910105</v>
      </c>
      <c r="P347" s="13">
        <f t="shared" si="43"/>
        <v>-4.6363607058855949E-2</v>
      </c>
      <c r="Q347" s="15">
        <f t="shared" si="44"/>
        <v>-1.8324076066400536</v>
      </c>
      <c r="R347" s="13">
        <f t="shared" si="45"/>
        <v>-4.6363607058856011E-2</v>
      </c>
      <c r="S347" s="15">
        <f t="shared" si="46"/>
        <v>35.267973231772061</v>
      </c>
      <c r="T347" s="15">
        <f t="shared" si="47"/>
        <v>40.10854106712074</v>
      </c>
    </row>
    <row r="348" spans="1:20" x14ac:dyDescent="0.3">
      <c r="A348" s="5">
        <v>41984.083333333336</v>
      </c>
      <c r="B348" s="14">
        <v>158603.35696800399</v>
      </c>
      <c r="C348" s="14">
        <v>171692.99360653301</v>
      </c>
      <c r="D348" s="6">
        <v>4157</v>
      </c>
      <c r="E348" s="1">
        <v>2014</v>
      </c>
      <c r="F348" s="1">
        <v>12</v>
      </c>
      <c r="G348" s="1" t="s">
        <v>20</v>
      </c>
      <c r="H348" s="12">
        <v>41974</v>
      </c>
      <c r="I348" s="1">
        <v>11</v>
      </c>
      <c r="J348" s="1">
        <v>5</v>
      </c>
      <c r="K348" s="1" t="s">
        <v>26</v>
      </c>
      <c r="L348" s="1" t="s">
        <v>22</v>
      </c>
      <c r="M348" s="15">
        <f t="shared" si="40"/>
        <v>38.153321377917727</v>
      </c>
      <c r="N348" s="15">
        <f t="shared" si="41"/>
        <v>41.302139429043301</v>
      </c>
      <c r="O348" s="14">
        <f t="shared" si="42"/>
        <v>-13089.636638529017</v>
      </c>
      <c r="P348" s="13">
        <f t="shared" si="43"/>
        <v>-8.253064051582254E-2</v>
      </c>
      <c r="Q348" s="15">
        <f t="shared" si="44"/>
        <v>-3.1488180511255734</v>
      </c>
      <c r="R348" s="13">
        <f t="shared" si="45"/>
        <v>-8.2530640515822498E-2</v>
      </c>
      <c r="S348" s="15">
        <f t="shared" si="46"/>
        <v>35.267973231772061</v>
      </c>
      <c r="T348" s="15">
        <f t="shared" si="47"/>
        <v>40.12662513588409</v>
      </c>
    </row>
    <row r="349" spans="1:20" x14ac:dyDescent="0.3">
      <c r="A349" s="5">
        <v>41985.083333333336</v>
      </c>
      <c r="B349" s="14">
        <v>279092.09595644998</v>
      </c>
      <c r="C349" s="14">
        <v>301236.10987981001</v>
      </c>
      <c r="D349" s="6">
        <v>7259</v>
      </c>
      <c r="E349" s="1">
        <v>2014</v>
      </c>
      <c r="F349" s="1">
        <v>12</v>
      </c>
      <c r="G349" s="1" t="s">
        <v>20</v>
      </c>
      <c r="H349" s="12">
        <v>41974</v>
      </c>
      <c r="I349" s="1">
        <v>12</v>
      </c>
      <c r="J349" s="1">
        <v>6</v>
      </c>
      <c r="K349" s="1" t="s">
        <v>27</v>
      </c>
      <c r="L349" s="1" t="s">
        <v>22</v>
      </c>
      <c r="M349" s="15">
        <f t="shared" si="40"/>
        <v>38.447733290597874</v>
      </c>
      <c r="N349" s="15">
        <f t="shared" si="41"/>
        <v>41.498293136769533</v>
      </c>
      <c r="O349" s="14">
        <f t="shared" si="42"/>
        <v>-22144.013923360035</v>
      </c>
      <c r="P349" s="13">
        <f t="shared" si="43"/>
        <v>-7.9343034948633678E-2</v>
      </c>
      <c r="Q349" s="15">
        <f t="shared" si="44"/>
        <v>-3.0505598461716588</v>
      </c>
      <c r="R349" s="13">
        <f t="shared" si="45"/>
        <v>-7.9343034948633817E-2</v>
      </c>
      <c r="S349" s="15">
        <f t="shared" si="46"/>
        <v>35.267973231772061</v>
      </c>
      <c r="T349" s="15">
        <f t="shared" si="47"/>
        <v>40.154111327647797</v>
      </c>
    </row>
    <row r="350" spans="1:20" x14ac:dyDescent="0.3">
      <c r="A350" s="5">
        <v>41986.083333333336</v>
      </c>
      <c r="B350" s="14">
        <v>369350.98948089802</v>
      </c>
      <c r="C350" s="14">
        <v>402564.678627585</v>
      </c>
      <c r="D350" s="6">
        <v>9654</v>
      </c>
      <c r="E350" s="1">
        <v>2014</v>
      </c>
      <c r="F350" s="1">
        <v>12</v>
      </c>
      <c r="G350" s="1" t="s">
        <v>20</v>
      </c>
      <c r="H350" s="12">
        <v>41974</v>
      </c>
      <c r="I350" s="1">
        <v>13</v>
      </c>
      <c r="J350" s="1">
        <v>7</v>
      </c>
      <c r="K350" s="1" t="s">
        <v>28</v>
      </c>
      <c r="L350" s="1" t="s">
        <v>22</v>
      </c>
      <c r="M350" s="15">
        <f t="shared" si="40"/>
        <v>38.258855342956082</v>
      </c>
      <c r="N350" s="15">
        <f t="shared" si="41"/>
        <v>41.699262339712554</v>
      </c>
      <c r="O350" s="14">
        <f t="shared" si="42"/>
        <v>-33213.689146686986</v>
      </c>
      <c r="P350" s="13">
        <f t="shared" si="43"/>
        <v>-8.9924462347771031E-2</v>
      </c>
      <c r="Q350" s="15">
        <f t="shared" si="44"/>
        <v>-3.4404069967564723</v>
      </c>
      <c r="R350" s="13">
        <f t="shared" si="45"/>
        <v>-8.9924462347771017E-2</v>
      </c>
      <c r="S350" s="15">
        <f t="shared" si="46"/>
        <v>35.267973231772061</v>
      </c>
      <c r="T350" s="15">
        <f t="shared" si="47"/>
        <v>40.178084941308406</v>
      </c>
    </row>
    <row r="351" spans="1:20" x14ac:dyDescent="0.3">
      <c r="A351" s="5">
        <v>41987.083333333336</v>
      </c>
      <c r="B351" s="14">
        <v>177500.10772560901</v>
      </c>
      <c r="C351" s="14">
        <v>192327.320656122</v>
      </c>
      <c r="D351" s="6">
        <v>4632</v>
      </c>
      <c r="E351" s="1">
        <v>2014</v>
      </c>
      <c r="F351" s="1">
        <v>12</v>
      </c>
      <c r="G351" s="1" t="s">
        <v>20</v>
      </c>
      <c r="H351" s="12">
        <v>41974</v>
      </c>
      <c r="I351" s="1">
        <v>14</v>
      </c>
      <c r="J351" s="1">
        <v>1</v>
      </c>
      <c r="K351" s="1" t="s">
        <v>29</v>
      </c>
      <c r="L351" s="1" t="s">
        <v>22</v>
      </c>
      <c r="M351" s="15">
        <f t="shared" si="40"/>
        <v>38.32040322228174</v>
      </c>
      <c r="N351" s="15">
        <f t="shared" si="41"/>
        <v>41.521442283273316</v>
      </c>
      <c r="O351" s="14">
        <f t="shared" si="42"/>
        <v>-14827.212930512993</v>
      </c>
      <c r="P351" s="13">
        <f t="shared" si="43"/>
        <v>-8.3533543277809416E-2</v>
      </c>
      <c r="Q351" s="15">
        <f t="shared" si="44"/>
        <v>-3.201039060991576</v>
      </c>
      <c r="R351" s="13">
        <f t="shared" si="45"/>
        <v>-8.3533543277809333E-2</v>
      </c>
      <c r="S351" s="15">
        <f t="shared" si="46"/>
        <v>35.267973231772061</v>
      </c>
      <c r="T351" s="15">
        <f t="shared" si="47"/>
        <v>40.202016672339575</v>
      </c>
    </row>
    <row r="352" spans="1:20" x14ac:dyDescent="0.3">
      <c r="A352" s="5">
        <v>41988.083333333336</v>
      </c>
      <c r="B352" s="14">
        <v>282246.62867828802</v>
      </c>
      <c r="C352" s="14">
        <v>304489.638251931</v>
      </c>
      <c r="D352" s="6">
        <v>7341</v>
      </c>
      <c r="E352" s="1">
        <v>2014</v>
      </c>
      <c r="F352" s="1">
        <v>12</v>
      </c>
      <c r="G352" s="1" t="s">
        <v>20</v>
      </c>
      <c r="H352" s="12">
        <v>41974</v>
      </c>
      <c r="I352" s="1">
        <v>15</v>
      </c>
      <c r="J352" s="1">
        <v>2</v>
      </c>
      <c r="K352" s="1" t="s">
        <v>21</v>
      </c>
      <c r="L352" s="1" t="s">
        <v>22</v>
      </c>
      <c r="M352" s="15">
        <f t="shared" si="40"/>
        <v>38.447981021425967</v>
      </c>
      <c r="N352" s="15">
        <f t="shared" si="41"/>
        <v>41.477950994677975</v>
      </c>
      <c r="O352" s="14">
        <f t="shared" si="42"/>
        <v>-22243.009573642979</v>
      </c>
      <c r="P352" s="13">
        <f t="shared" si="43"/>
        <v>-7.8806998254693533E-2</v>
      </c>
      <c r="Q352" s="15">
        <f t="shared" si="44"/>
        <v>-3.0299699732520082</v>
      </c>
      <c r="R352" s="13">
        <f t="shared" si="45"/>
        <v>-7.8806998254693589E-2</v>
      </c>
      <c r="S352" s="15">
        <f t="shared" si="46"/>
        <v>35.267973231772061</v>
      </c>
      <c r="T352" s="15">
        <f t="shared" si="47"/>
        <v>40.229378147662189</v>
      </c>
    </row>
    <row r="353" spans="1:20" x14ac:dyDescent="0.3">
      <c r="A353" s="5">
        <v>41989.083333333336</v>
      </c>
      <c r="B353" s="14">
        <v>166037.92572951401</v>
      </c>
      <c r="C353" s="14">
        <v>179571.12907994099</v>
      </c>
      <c r="D353" s="6">
        <v>4308</v>
      </c>
      <c r="E353" s="1">
        <v>2014</v>
      </c>
      <c r="F353" s="1">
        <v>12</v>
      </c>
      <c r="G353" s="1" t="s">
        <v>20</v>
      </c>
      <c r="H353" s="12">
        <v>41974</v>
      </c>
      <c r="I353" s="1">
        <v>16</v>
      </c>
      <c r="J353" s="1">
        <v>3</v>
      </c>
      <c r="K353" s="1" t="s">
        <v>23</v>
      </c>
      <c r="L353" s="1" t="s">
        <v>22</v>
      </c>
      <c r="M353" s="15">
        <f t="shared" si="40"/>
        <v>38.541765489673637</v>
      </c>
      <c r="N353" s="15">
        <f t="shared" si="41"/>
        <v>41.683177595158078</v>
      </c>
      <c r="O353" s="14">
        <f t="shared" si="42"/>
        <v>-13533.203350426978</v>
      </c>
      <c r="P353" s="13">
        <f t="shared" si="43"/>
        <v>-8.1506699695064841E-2</v>
      </c>
      <c r="Q353" s="15">
        <f t="shared" si="44"/>
        <v>-3.1414121054844415</v>
      </c>
      <c r="R353" s="13">
        <f t="shared" si="45"/>
        <v>-8.1506699695064813E-2</v>
      </c>
      <c r="S353" s="15">
        <f t="shared" si="46"/>
        <v>35.267973231772061</v>
      </c>
      <c r="T353" s="15">
        <f t="shared" si="47"/>
        <v>40.260237579614788</v>
      </c>
    </row>
    <row r="354" spans="1:20" x14ac:dyDescent="0.3">
      <c r="A354" s="5">
        <v>41990.083333333336</v>
      </c>
      <c r="B354" s="14">
        <v>148910.99836015899</v>
      </c>
      <c r="C354" s="14">
        <v>161137.52200304801</v>
      </c>
      <c r="D354" s="6">
        <v>3865</v>
      </c>
      <c r="E354" s="1">
        <v>2014</v>
      </c>
      <c r="F354" s="1">
        <v>12</v>
      </c>
      <c r="G354" s="1" t="s">
        <v>20</v>
      </c>
      <c r="H354" s="12">
        <v>41974</v>
      </c>
      <c r="I354" s="1">
        <v>17</v>
      </c>
      <c r="J354" s="1">
        <v>4</v>
      </c>
      <c r="K354" s="1" t="s">
        <v>25</v>
      </c>
      <c r="L354" s="1" t="s">
        <v>22</v>
      </c>
      <c r="M354" s="15">
        <f t="shared" si="40"/>
        <v>38.528072020739714</v>
      </c>
      <c r="N354" s="15">
        <f t="shared" si="41"/>
        <v>41.691467529895995</v>
      </c>
      <c r="O354" s="14">
        <f t="shared" si="42"/>
        <v>-12226.52364288902</v>
      </c>
      <c r="P354" s="13">
        <f t="shared" si="43"/>
        <v>-8.2106249891077329E-2</v>
      </c>
      <c r="Q354" s="15">
        <f t="shared" si="44"/>
        <v>-3.1633955091562811</v>
      </c>
      <c r="R354" s="13">
        <f t="shared" si="45"/>
        <v>-8.2106249891077371E-2</v>
      </c>
      <c r="S354" s="15">
        <f t="shared" si="46"/>
        <v>35.267973231772061</v>
      </c>
      <c r="T354" s="15">
        <f t="shared" si="47"/>
        <v>40.291954998689938</v>
      </c>
    </row>
    <row r="355" spans="1:20" x14ac:dyDescent="0.3">
      <c r="A355" s="5">
        <v>41991.083333333336</v>
      </c>
      <c r="B355" s="14">
        <v>202359.14289987099</v>
      </c>
      <c r="C355" s="14">
        <v>221435.76864963601</v>
      </c>
      <c r="D355" s="6">
        <v>5288</v>
      </c>
      <c r="E355" s="1">
        <v>2014</v>
      </c>
      <c r="F355" s="1">
        <v>12</v>
      </c>
      <c r="G355" s="1" t="s">
        <v>20</v>
      </c>
      <c r="H355" s="12">
        <v>41974</v>
      </c>
      <c r="I355" s="1">
        <v>18</v>
      </c>
      <c r="J355" s="1">
        <v>5</v>
      </c>
      <c r="K355" s="1" t="s">
        <v>26</v>
      </c>
      <c r="L355" s="1" t="s">
        <v>22</v>
      </c>
      <c r="M355" s="15">
        <f t="shared" si="40"/>
        <v>38.267614012834905</v>
      </c>
      <c r="N355" s="15">
        <f t="shared" si="41"/>
        <v>41.875145357344181</v>
      </c>
      <c r="O355" s="14">
        <f t="shared" si="42"/>
        <v>-19076.625749765022</v>
      </c>
      <c r="P355" s="13">
        <f t="shared" si="43"/>
        <v>-9.4271133374014618E-2</v>
      </c>
      <c r="Q355" s="15">
        <f t="shared" si="44"/>
        <v>-3.607531344509276</v>
      </c>
      <c r="R355" s="13">
        <f t="shared" si="45"/>
        <v>-9.4271133374014771E-2</v>
      </c>
      <c r="S355" s="15">
        <f t="shared" si="46"/>
        <v>35.267973231772061</v>
      </c>
      <c r="T355" s="15">
        <f t="shared" si="47"/>
        <v>40.313652267544782</v>
      </c>
    </row>
    <row r="356" spans="1:20" x14ac:dyDescent="0.3">
      <c r="A356" s="5">
        <v>41992.083333333336</v>
      </c>
      <c r="B356" s="14">
        <v>274343.65434523398</v>
      </c>
      <c r="C356" s="14">
        <v>299516.83776498301</v>
      </c>
      <c r="D356" s="6">
        <v>7141</v>
      </c>
      <c r="E356" s="1">
        <v>2014</v>
      </c>
      <c r="F356" s="1">
        <v>12</v>
      </c>
      <c r="G356" s="1" t="s">
        <v>20</v>
      </c>
      <c r="H356" s="12">
        <v>41974</v>
      </c>
      <c r="I356" s="1">
        <v>19</v>
      </c>
      <c r="J356" s="1">
        <v>6</v>
      </c>
      <c r="K356" s="1" t="s">
        <v>27</v>
      </c>
      <c r="L356" s="1" t="s">
        <v>22</v>
      </c>
      <c r="M356" s="15">
        <f t="shared" si="40"/>
        <v>38.418100314414502</v>
      </c>
      <c r="N356" s="15">
        <f t="shared" si="41"/>
        <v>41.943262535356816</v>
      </c>
      <c r="O356" s="14">
        <f t="shared" si="42"/>
        <v>-25173.183419749024</v>
      </c>
      <c r="P356" s="13">
        <f t="shared" si="43"/>
        <v>-9.1757848308279433E-2</v>
      </c>
      <c r="Q356" s="15">
        <f t="shared" si="44"/>
        <v>-3.5251622209423132</v>
      </c>
      <c r="R356" s="13">
        <f t="shared" si="45"/>
        <v>-9.1757848308279558E-2</v>
      </c>
      <c r="S356" s="15">
        <f t="shared" si="46"/>
        <v>35.267973231772061</v>
      </c>
      <c r="T356" s="15">
        <f t="shared" si="47"/>
        <v>40.341244938486405</v>
      </c>
    </row>
    <row r="357" spans="1:20" x14ac:dyDescent="0.3">
      <c r="A357" s="5">
        <v>41993.083333333336</v>
      </c>
      <c r="B357" s="14">
        <v>316167.07465857302</v>
      </c>
      <c r="C357" s="14">
        <v>346378.30476784799</v>
      </c>
      <c r="D357" s="6">
        <v>8268</v>
      </c>
      <c r="E357" s="1">
        <v>2014</v>
      </c>
      <c r="F357" s="1">
        <v>12</v>
      </c>
      <c r="G357" s="1" t="s">
        <v>20</v>
      </c>
      <c r="H357" s="12">
        <v>41974</v>
      </c>
      <c r="I357" s="1">
        <v>20</v>
      </c>
      <c r="J357" s="1">
        <v>7</v>
      </c>
      <c r="K357" s="1" t="s">
        <v>28</v>
      </c>
      <c r="L357" s="1" t="s">
        <v>22</v>
      </c>
      <c r="M357" s="15">
        <f t="shared" si="40"/>
        <v>38.239849378153487</v>
      </c>
      <c r="N357" s="15">
        <f t="shared" si="41"/>
        <v>41.893844311544264</v>
      </c>
      <c r="O357" s="14">
        <f t="shared" si="42"/>
        <v>-30211.230109274969</v>
      </c>
      <c r="P357" s="13">
        <f t="shared" si="43"/>
        <v>-9.5554637186367045E-2</v>
      </c>
      <c r="Q357" s="15">
        <f t="shared" si="44"/>
        <v>-3.6539949333907771</v>
      </c>
      <c r="R357" s="13">
        <f t="shared" si="45"/>
        <v>-9.5554637186366975E-2</v>
      </c>
      <c r="S357" s="15">
        <f t="shared" si="46"/>
        <v>35.267973231772061</v>
      </c>
      <c r="T357" s="15">
        <f t="shared" si="47"/>
        <v>40.365823768650415</v>
      </c>
    </row>
    <row r="358" spans="1:20" x14ac:dyDescent="0.3">
      <c r="A358" s="5">
        <v>41994.083333333336</v>
      </c>
      <c r="B358" s="14">
        <v>173833.40012841401</v>
      </c>
      <c r="C358" s="14">
        <v>190644.50156869201</v>
      </c>
      <c r="D358" s="6">
        <v>4541</v>
      </c>
      <c r="E358" s="1">
        <v>2014</v>
      </c>
      <c r="F358" s="1">
        <v>12</v>
      </c>
      <c r="G358" s="1" t="s">
        <v>20</v>
      </c>
      <c r="H358" s="12">
        <v>41974</v>
      </c>
      <c r="I358" s="1">
        <v>21</v>
      </c>
      <c r="J358" s="1">
        <v>1</v>
      </c>
      <c r="K358" s="1" t="s">
        <v>29</v>
      </c>
      <c r="L358" s="1" t="s">
        <v>22</v>
      </c>
      <c r="M358" s="15">
        <f t="shared" si="40"/>
        <v>38.280863274259858</v>
      </c>
      <c r="N358" s="15">
        <f t="shared" si="41"/>
        <v>41.982933620059903</v>
      </c>
      <c r="O358" s="14">
        <f t="shared" si="42"/>
        <v>-16811.101440277998</v>
      </c>
      <c r="P358" s="13">
        <f t="shared" si="43"/>
        <v>-9.6708120694062941E-2</v>
      </c>
      <c r="Q358" s="15">
        <f t="shared" si="44"/>
        <v>-3.7020703458000455</v>
      </c>
      <c r="R358" s="13">
        <f t="shared" si="45"/>
        <v>-9.6708120694062982E-2</v>
      </c>
      <c r="S358" s="15">
        <f t="shared" si="46"/>
        <v>35.267973231772061</v>
      </c>
      <c r="T358" s="15">
        <f t="shared" si="47"/>
        <v>40.237378897828314</v>
      </c>
    </row>
    <row r="359" spans="1:20" x14ac:dyDescent="0.3">
      <c r="A359" s="5">
        <v>41995.083333333336</v>
      </c>
      <c r="B359" s="14">
        <v>204565.08183541201</v>
      </c>
      <c r="C359" s="14">
        <v>210188.90941044799</v>
      </c>
      <c r="D359" s="6">
        <v>5014</v>
      </c>
      <c r="E359" s="1">
        <v>2014</v>
      </c>
      <c r="F359" s="1">
        <v>12</v>
      </c>
      <c r="G359" s="1" t="s">
        <v>20</v>
      </c>
      <c r="H359" s="12">
        <v>41974</v>
      </c>
      <c r="I359" s="1">
        <v>22</v>
      </c>
      <c r="J359" s="1">
        <v>2</v>
      </c>
      <c r="K359" s="1" t="s">
        <v>21</v>
      </c>
      <c r="L359" s="1" t="s">
        <v>22</v>
      </c>
      <c r="M359" s="15">
        <f t="shared" si="40"/>
        <v>40.798779783688076</v>
      </c>
      <c r="N359" s="15">
        <f t="shared" si="41"/>
        <v>41.920404748792976</v>
      </c>
      <c r="O359" s="14">
        <f t="shared" si="42"/>
        <v>-5623.8275750359753</v>
      </c>
      <c r="P359" s="13">
        <f t="shared" si="43"/>
        <v>-2.7491630167658661E-2</v>
      </c>
      <c r="Q359" s="15">
        <f t="shared" si="44"/>
        <v>-1.1216249651048997</v>
      </c>
      <c r="R359" s="13">
        <f t="shared" si="45"/>
        <v>-2.7491630167658619E-2</v>
      </c>
      <c r="S359" s="15">
        <f t="shared" si="46"/>
        <v>35.267973231772061</v>
      </c>
      <c r="T359" s="15">
        <f t="shared" si="47"/>
        <v>40.186227631749531</v>
      </c>
    </row>
    <row r="360" spans="1:20" x14ac:dyDescent="0.3">
      <c r="A360" s="5">
        <v>41996.083333333336</v>
      </c>
      <c r="B360" s="14">
        <v>316394.73085730901</v>
      </c>
      <c r="C360" s="14">
        <v>326627.13841637602</v>
      </c>
      <c r="D360" s="6">
        <v>7778</v>
      </c>
      <c r="E360" s="1">
        <v>2014</v>
      </c>
      <c r="F360" s="1">
        <v>12</v>
      </c>
      <c r="G360" s="1" t="s">
        <v>20</v>
      </c>
      <c r="H360" s="12">
        <v>41974</v>
      </c>
      <c r="I360" s="1">
        <v>23</v>
      </c>
      <c r="J360" s="1">
        <v>3</v>
      </c>
      <c r="K360" s="1" t="s">
        <v>23</v>
      </c>
      <c r="L360" s="1" t="s">
        <v>22</v>
      </c>
      <c r="M360" s="15">
        <f t="shared" si="40"/>
        <v>40.678160305645285</v>
      </c>
      <c r="N360" s="15">
        <f t="shared" si="41"/>
        <v>41.993717975877608</v>
      </c>
      <c r="O360" s="14">
        <f t="shared" si="42"/>
        <v>-10232.407559067011</v>
      </c>
      <c r="P360" s="13">
        <f t="shared" si="43"/>
        <v>-3.234063832650149E-2</v>
      </c>
      <c r="Q360" s="15">
        <f t="shared" si="44"/>
        <v>-1.3155576702323231</v>
      </c>
      <c r="R360" s="13">
        <f t="shared" si="45"/>
        <v>-3.2340638326501477E-2</v>
      </c>
      <c r="S360" s="15">
        <f t="shared" si="46"/>
        <v>35.267973231772061</v>
      </c>
      <c r="T360" s="15">
        <f t="shared" si="47"/>
        <v>40.130137745568646</v>
      </c>
    </row>
    <row r="361" spans="1:20" x14ac:dyDescent="0.3">
      <c r="A361" s="5">
        <v>41997.083333333336</v>
      </c>
      <c r="B361" s="14">
        <v>486230.32019362802</v>
      </c>
      <c r="C361" s="14">
        <v>495909.089563396</v>
      </c>
      <c r="D361" s="6">
        <v>11809</v>
      </c>
      <c r="E361" s="1">
        <v>2014</v>
      </c>
      <c r="F361" s="1">
        <v>12</v>
      </c>
      <c r="G361" s="1" t="s">
        <v>20</v>
      </c>
      <c r="H361" s="12">
        <v>41974</v>
      </c>
      <c r="I361" s="1">
        <v>24</v>
      </c>
      <c r="J361" s="1">
        <v>4</v>
      </c>
      <c r="K361" s="1" t="s">
        <v>25</v>
      </c>
      <c r="L361" s="1" t="s">
        <v>22</v>
      </c>
      <c r="M361" s="15">
        <f t="shared" si="40"/>
        <v>41.174555016820058</v>
      </c>
      <c r="N361" s="15">
        <f t="shared" si="41"/>
        <v>41.994164583232788</v>
      </c>
      <c r="O361" s="14">
        <f t="shared" si="42"/>
        <v>-9678.7693697679788</v>
      </c>
      <c r="P361" s="13">
        <f t="shared" si="43"/>
        <v>-1.9905729790593213E-2</v>
      </c>
      <c r="Q361" s="15">
        <f t="shared" si="44"/>
        <v>-0.81960956641272986</v>
      </c>
      <c r="R361" s="13">
        <f t="shared" si="45"/>
        <v>-1.9905729790593105E-2</v>
      </c>
      <c r="S361" s="15">
        <f t="shared" si="46"/>
        <v>35.267973231772061</v>
      </c>
      <c r="T361" s="15">
        <f t="shared" si="47"/>
        <v>40.105310178866183</v>
      </c>
    </row>
    <row r="362" spans="1:20" x14ac:dyDescent="0.3">
      <c r="A362" s="5">
        <v>41998.083333333336</v>
      </c>
      <c r="B362" s="14">
        <v>137686.53210060601</v>
      </c>
      <c r="C362" s="14">
        <v>140525.78674110299</v>
      </c>
      <c r="D362" s="6">
        <v>3344</v>
      </c>
      <c r="E362" s="1">
        <v>2014</v>
      </c>
      <c r="F362" s="1">
        <v>12</v>
      </c>
      <c r="G362" s="1" t="s">
        <v>20</v>
      </c>
      <c r="H362" s="12">
        <v>41974</v>
      </c>
      <c r="I362" s="1">
        <v>25</v>
      </c>
      <c r="J362" s="1">
        <v>5</v>
      </c>
      <c r="K362" s="1" t="s">
        <v>26</v>
      </c>
      <c r="L362" s="1" t="s">
        <v>22</v>
      </c>
      <c r="M362" s="15">
        <f t="shared" si="40"/>
        <v>41.174202183195575</v>
      </c>
      <c r="N362" s="15">
        <f t="shared" si="41"/>
        <v>42.023261585258069</v>
      </c>
      <c r="O362" s="14">
        <f t="shared" si="42"/>
        <v>-2839.2546404969762</v>
      </c>
      <c r="P362" s="13">
        <f t="shared" si="43"/>
        <v>-2.0621150065878373E-2</v>
      </c>
      <c r="Q362" s="15">
        <f t="shared" si="44"/>
        <v>-0.84905940206249397</v>
      </c>
      <c r="R362" s="13">
        <f t="shared" si="45"/>
        <v>-2.0621150065878398E-2</v>
      </c>
      <c r="S362" s="15">
        <f t="shared" si="46"/>
        <v>35.267973231772061</v>
      </c>
      <c r="T362" s="15">
        <f t="shared" si="47"/>
        <v>40.082100310431386</v>
      </c>
    </row>
    <row r="363" spans="1:20" x14ac:dyDescent="0.3">
      <c r="A363" s="5">
        <v>41999.083333333336</v>
      </c>
      <c r="B363" s="14">
        <v>48102.962409030202</v>
      </c>
      <c r="C363" s="14">
        <v>49028.365072183798</v>
      </c>
      <c r="D363" s="6">
        <v>1169</v>
      </c>
      <c r="E363" s="1">
        <v>2014</v>
      </c>
      <c r="F363" s="1">
        <v>12</v>
      </c>
      <c r="G363" s="1" t="s">
        <v>20</v>
      </c>
      <c r="H363" s="12">
        <v>41974</v>
      </c>
      <c r="I363" s="1">
        <v>26</v>
      </c>
      <c r="J363" s="1">
        <v>6</v>
      </c>
      <c r="K363" s="1" t="s">
        <v>27</v>
      </c>
      <c r="L363" s="1" t="s">
        <v>22</v>
      </c>
      <c r="M363" s="15">
        <f t="shared" si="40"/>
        <v>41.148813010291022</v>
      </c>
      <c r="N363" s="15">
        <f t="shared" si="41"/>
        <v>41.940432054904875</v>
      </c>
      <c r="O363" s="14">
        <f t="shared" si="42"/>
        <v>-925.40266315359622</v>
      </c>
      <c r="P363" s="13">
        <f t="shared" si="43"/>
        <v>-1.9237955768393041E-2</v>
      </c>
      <c r="Q363" s="15">
        <f t="shared" si="44"/>
        <v>-0.79161904461385291</v>
      </c>
      <c r="R363" s="13">
        <f t="shared" si="45"/>
        <v>-1.9237955768392996E-2</v>
      </c>
      <c r="S363" s="15">
        <f t="shared" si="46"/>
        <v>35.267973231772061</v>
      </c>
      <c r="T363" s="15">
        <f t="shared" si="47"/>
        <v>40.025827489051338</v>
      </c>
    </row>
    <row r="364" spans="1:20" x14ac:dyDescent="0.3">
      <c r="A364" s="5">
        <v>42000.083333333336</v>
      </c>
      <c r="B364" s="14">
        <v>110162.131982548</v>
      </c>
      <c r="C364" s="14">
        <v>112383.559247306</v>
      </c>
      <c r="D364" s="6">
        <v>2676</v>
      </c>
      <c r="E364" s="1">
        <v>2014</v>
      </c>
      <c r="F364" s="1">
        <v>12</v>
      </c>
      <c r="G364" s="1" t="s">
        <v>20</v>
      </c>
      <c r="H364" s="12">
        <v>41974</v>
      </c>
      <c r="I364" s="1">
        <v>27</v>
      </c>
      <c r="J364" s="1">
        <v>7</v>
      </c>
      <c r="K364" s="1" t="s">
        <v>28</v>
      </c>
      <c r="L364" s="1" t="s">
        <v>22</v>
      </c>
      <c r="M364" s="15">
        <f t="shared" si="40"/>
        <v>41.166715987499252</v>
      </c>
      <c r="N364" s="15">
        <f t="shared" si="41"/>
        <v>41.99684575758819</v>
      </c>
      <c r="O364" s="14">
        <f t="shared" si="42"/>
        <v>-2221.4272647579928</v>
      </c>
      <c r="P364" s="13">
        <f t="shared" si="43"/>
        <v>-2.0165071470384339E-2</v>
      </c>
      <c r="Q364" s="15">
        <f t="shared" si="44"/>
        <v>-0.83012977008893785</v>
      </c>
      <c r="R364" s="13">
        <f t="shared" si="45"/>
        <v>-2.0165071470384384E-2</v>
      </c>
      <c r="S364" s="15">
        <f t="shared" si="46"/>
        <v>35.267973231772061</v>
      </c>
      <c r="T364" s="15">
        <f t="shared" si="47"/>
        <v>39.967117311106229</v>
      </c>
    </row>
    <row r="365" spans="1:20" x14ac:dyDescent="0.3">
      <c r="A365" s="5">
        <v>42001.083333333336</v>
      </c>
      <c r="B365" s="14">
        <v>69051.337093420399</v>
      </c>
      <c r="C365" s="14">
        <v>70482.717802969099</v>
      </c>
      <c r="D365" s="6">
        <v>1677</v>
      </c>
      <c r="E365" s="1">
        <v>2014</v>
      </c>
      <c r="F365" s="1">
        <v>12</v>
      </c>
      <c r="G365" s="1" t="s">
        <v>20</v>
      </c>
      <c r="H365" s="12">
        <v>41974</v>
      </c>
      <c r="I365" s="1">
        <v>28</v>
      </c>
      <c r="J365" s="1">
        <v>1</v>
      </c>
      <c r="K365" s="1" t="s">
        <v>29</v>
      </c>
      <c r="L365" s="1" t="s">
        <v>22</v>
      </c>
      <c r="M365" s="15">
        <f t="shared" si="40"/>
        <v>41.175514068825521</v>
      </c>
      <c r="N365" s="15">
        <f t="shared" si="41"/>
        <v>42.029050568258256</v>
      </c>
      <c r="O365" s="14">
        <f t="shared" si="42"/>
        <v>-1431.3807095486991</v>
      </c>
      <c r="P365" s="13">
        <f t="shared" si="43"/>
        <v>-2.0729225092515829E-2</v>
      </c>
      <c r="Q365" s="15">
        <f t="shared" si="44"/>
        <v>-0.85353649943273524</v>
      </c>
      <c r="R365" s="13">
        <f t="shared" si="45"/>
        <v>-2.0729225092515798E-2</v>
      </c>
      <c r="S365" s="15">
        <f t="shared" si="46"/>
        <v>35.267973231772061</v>
      </c>
      <c r="T365" s="15">
        <f t="shared" si="47"/>
        <v>39.915723092639787</v>
      </c>
    </row>
    <row r="366" spans="1:20" x14ac:dyDescent="0.3">
      <c r="A366" s="5">
        <v>42002.083333333336</v>
      </c>
      <c r="B366" s="14">
        <v>133307.36896282801</v>
      </c>
      <c r="C366" s="14">
        <v>136003.48252575201</v>
      </c>
      <c r="D366" s="6">
        <v>3237</v>
      </c>
      <c r="E366" s="1">
        <v>2014</v>
      </c>
      <c r="F366" s="1">
        <v>12</v>
      </c>
      <c r="G366" s="1" t="s">
        <v>20</v>
      </c>
      <c r="H366" s="12">
        <v>41974</v>
      </c>
      <c r="I366" s="1">
        <v>29</v>
      </c>
      <c r="J366" s="1">
        <v>2</v>
      </c>
      <c r="K366" s="1" t="s">
        <v>21</v>
      </c>
      <c r="L366" s="1" t="s">
        <v>22</v>
      </c>
      <c r="M366" s="15">
        <f t="shared" si="40"/>
        <v>41.18238151462095</v>
      </c>
      <c r="N366" s="15">
        <f t="shared" si="41"/>
        <v>42.015286538693857</v>
      </c>
      <c r="O366" s="14">
        <f t="shared" si="42"/>
        <v>-2696.1135629240016</v>
      </c>
      <c r="P366" s="13">
        <f t="shared" si="43"/>
        <v>-2.022479015151666E-2</v>
      </c>
      <c r="Q366" s="15">
        <f t="shared" si="44"/>
        <v>-0.83290502407290745</v>
      </c>
      <c r="R366" s="13">
        <f t="shared" si="45"/>
        <v>-2.0224790151516656E-2</v>
      </c>
      <c r="S366" s="15">
        <f t="shared" si="46"/>
        <v>35.267973231772061</v>
      </c>
      <c r="T366" s="15">
        <f t="shared" si="47"/>
        <v>39.864845262570071</v>
      </c>
    </row>
    <row r="367" spans="1:20" x14ac:dyDescent="0.3">
      <c r="A367" s="5">
        <v>42003.083333333336</v>
      </c>
      <c r="B367" s="14">
        <v>216389.504268855</v>
      </c>
      <c r="C367" s="14">
        <v>235723.76475390801</v>
      </c>
      <c r="D367" s="6">
        <v>5607</v>
      </c>
      <c r="E367" s="1">
        <v>2014</v>
      </c>
      <c r="F367" s="1">
        <v>12</v>
      </c>
      <c r="G367" s="1" t="s">
        <v>20</v>
      </c>
      <c r="H367" s="12">
        <v>41974</v>
      </c>
      <c r="I367" s="1">
        <v>30</v>
      </c>
      <c r="J367" s="1">
        <v>3</v>
      </c>
      <c r="K367" s="1" t="s">
        <v>23</v>
      </c>
      <c r="L367" s="1" t="s">
        <v>22</v>
      </c>
      <c r="M367" s="15">
        <f t="shared" si="40"/>
        <v>38.592741977680575</v>
      </c>
      <c r="N367" s="15">
        <f t="shared" si="41"/>
        <v>42.040978197593724</v>
      </c>
      <c r="O367" s="14">
        <f t="shared" si="42"/>
        <v>-19334.260485053004</v>
      </c>
      <c r="P367" s="13">
        <f t="shared" si="43"/>
        <v>-8.9349345063571034E-2</v>
      </c>
      <c r="Q367" s="15">
        <f t="shared" si="44"/>
        <v>-3.4482362199131487</v>
      </c>
      <c r="R367" s="13">
        <f t="shared" si="45"/>
        <v>-8.9349345063571145E-2</v>
      </c>
      <c r="S367" s="15">
        <f t="shared" si="46"/>
        <v>35.267973231772061</v>
      </c>
      <c r="T367" s="15">
        <f t="shared" si="47"/>
        <v>39.733195218600947</v>
      </c>
    </row>
    <row r="368" spans="1:20" x14ac:dyDescent="0.3">
      <c r="A368" s="5">
        <v>42004.083333333336</v>
      </c>
      <c r="B368" s="14">
        <v>365055.31201272202</v>
      </c>
      <c r="C368" s="14">
        <v>398013.34833037201</v>
      </c>
      <c r="D368" s="6">
        <v>9464</v>
      </c>
      <c r="E368" s="1">
        <v>2014</v>
      </c>
      <c r="F368" s="1">
        <v>12</v>
      </c>
      <c r="G368" s="1" t="s">
        <v>20</v>
      </c>
      <c r="H368" s="12">
        <v>41974</v>
      </c>
      <c r="I368" s="1">
        <v>31</v>
      </c>
      <c r="J368" s="1">
        <v>4</v>
      </c>
      <c r="K368" s="1" t="s">
        <v>25</v>
      </c>
      <c r="L368" s="1" t="s">
        <v>22</v>
      </c>
      <c r="M368" s="15">
        <f t="shared" si="40"/>
        <v>38.573046493313825</v>
      </c>
      <c r="N368" s="15">
        <f t="shared" si="41"/>
        <v>42.055510178610739</v>
      </c>
      <c r="O368" s="14">
        <f t="shared" si="42"/>
        <v>-32958.036317649996</v>
      </c>
      <c r="P368" s="13">
        <f t="shared" si="43"/>
        <v>-9.0282308551920001E-2</v>
      </c>
      <c r="Q368" s="15">
        <f t="shared" si="44"/>
        <v>-3.4824636852969135</v>
      </c>
      <c r="R368" s="13">
        <f t="shared" si="45"/>
        <v>-9.0282308551919974E-2</v>
      </c>
      <c r="S368" s="15">
        <f t="shared" si="46"/>
        <v>35.267973231772061</v>
      </c>
      <c r="T368" s="15">
        <f t="shared" si="47"/>
        <v>39.613122508767177</v>
      </c>
    </row>
    <row r="369" spans="1:20" x14ac:dyDescent="0.3">
      <c r="A369" s="5">
        <v>42005.083333333336</v>
      </c>
      <c r="B369" s="14">
        <v>112161.419616753</v>
      </c>
      <c r="C369" s="14">
        <v>122170.431684628</v>
      </c>
      <c r="D369" s="6">
        <v>2905</v>
      </c>
      <c r="E369" s="1">
        <v>2015</v>
      </c>
      <c r="F369" s="1">
        <v>1</v>
      </c>
      <c r="G369" s="1" t="s">
        <v>24</v>
      </c>
      <c r="H369" s="12">
        <v>42005</v>
      </c>
      <c r="I369" s="1">
        <v>1</v>
      </c>
      <c r="J369" s="1">
        <v>5</v>
      </c>
      <c r="K369" s="1" t="s">
        <v>26</v>
      </c>
      <c r="L369" s="1" t="s">
        <v>22</v>
      </c>
      <c r="M369" s="15">
        <f t="shared" si="40"/>
        <v>38.609783000603443</v>
      </c>
      <c r="N369" s="15">
        <f t="shared" si="41"/>
        <v>42.055226053228225</v>
      </c>
      <c r="O369" s="14">
        <f t="shared" si="42"/>
        <v>-10009.012067874995</v>
      </c>
      <c r="P369" s="13">
        <f t="shared" si="43"/>
        <v>-8.9237565841044308E-2</v>
      </c>
      <c r="Q369" s="15">
        <f t="shared" si="44"/>
        <v>-3.4454430526247819</v>
      </c>
      <c r="R369" s="13">
        <f t="shared" si="45"/>
        <v>-8.9237565841044281E-2</v>
      </c>
      <c r="S369" s="15">
        <f t="shared" si="46"/>
        <v>35.267973231772061</v>
      </c>
      <c r="T369" s="15">
        <f t="shared" si="47"/>
        <v>39.544976635083295</v>
      </c>
    </row>
    <row r="370" spans="1:20" x14ac:dyDescent="0.3">
      <c r="A370" s="5">
        <v>42006.083333333336</v>
      </c>
      <c r="B370" s="14">
        <v>271101.46167031297</v>
      </c>
      <c r="C370" s="14">
        <v>295019.46942958998</v>
      </c>
      <c r="D370" s="6">
        <v>7023</v>
      </c>
      <c r="E370" s="1">
        <v>2015</v>
      </c>
      <c r="F370" s="1">
        <v>1</v>
      </c>
      <c r="G370" s="1" t="s">
        <v>24</v>
      </c>
      <c r="H370" s="12">
        <v>42005</v>
      </c>
      <c r="I370" s="1">
        <v>2</v>
      </c>
      <c r="J370" s="1">
        <v>6</v>
      </c>
      <c r="K370" s="1" t="s">
        <v>27</v>
      </c>
      <c r="L370" s="1" t="s">
        <v>22</v>
      </c>
      <c r="M370" s="15">
        <f t="shared" si="40"/>
        <v>38.601945275567843</v>
      </c>
      <c r="N370" s="15">
        <f t="shared" si="41"/>
        <v>42.007613474240351</v>
      </c>
      <c r="O370" s="14">
        <f t="shared" si="42"/>
        <v>-23918.00775927701</v>
      </c>
      <c r="P370" s="13">
        <f t="shared" si="43"/>
        <v>-8.8225299900314622E-2</v>
      </c>
      <c r="Q370" s="15">
        <f t="shared" si="44"/>
        <v>-3.4056681986725081</v>
      </c>
      <c r="R370" s="13">
        <f t="shared" si="45"/>
        <v>-8.8225299900314677E-2</v>
      </c>
      <c r="S370" s="15">
        <f t="shared" si="46"/>
        <v>35.267973231772061</v>
      </c>
      <c r="T370" s="15">
        <f t="shared" si="47"/>
        <v>39.494070452018882</v>
      </c>
    </row>
    <row r="371" spans="1:20" x14ac:dyDescent="0.3">
      <c r="A371" s="5">
        <v>42007.083333333336</v>
      </c>
      <c r="B371" s="14">
        <v>245813.288312124</v>
      </c>
      <c r="C371" s="14">
        <v>267734.72525537101</v>
      </c>
      <c r="D371" s="6">
        <v>6371</v>
      </c>
      <c r="E371" s="1">
        <v>2015</v>
      </c>
      <c r="F371" s="1">
        <v>1</v>
      </c>
      <c r="G371" s="1" t="s">
        <v>24</v>
      </c>
      <c r="H371" s="12">
        <v>42005</v>
      </c>
      <c r="I371" s="1">
        <v>3</v>
      </c>
      <c r="J371" s="1">
        <v>7</v>
      </c>
      <c r="K371" s="1" t="s">
        <v>28</v>
      </c>
      <c r="L371" s="1" t="s">
        <v>22</v>
      </c>
      <c r="M371" s="15">
        <f t="shared" si="40"/>
        <v>38.583156225415792</v>
      </c>
      <c r="N371" s="15">
        <f t="shared" si="41"/>
        <v>42.023971944023074</v>
      </c>
      <c r="O371" s="14">
        <f t="shared" si="42"/>
        <v>-21921.436943247012</v>
      </c>
      <c r="P371" s="13">
        <f t="shared" si="43"/>
        <v>-8.9179218478262406E-2</v>
      </c>
      <c r="Q371" s="15">
        <f t="shared" si="44"/>
        <v>-3.4408157186072827</v>
      </c>
      <c r="R371" s="13">
        <f t="shared" si="45"/>
        <v>-8.9179218478262337E-2</v>
      </c>
      <c r="S371" s="15">
        <f t="shared" si="46"/>
        <v>35.267973231772061</v>
      </c>
      <c r="T371" s="15">
        <f t="shared" si="47"/>
        <v>39.440102031544924</v>
      </c>
    </row>
    <row r="372" spans="1:20" x14ac:dyDescent="0.3">
      <c r="A372" s="5">
        <v>42008.083333333336</v>
      </c>
      <c r="B372" s="14">
        <v>178394.811997549</v>
      </c>
      <c r="C372" s="14">
        <v>194427.44797350201</v>
      </c>
      <c r="D372" s="6">
        <v>4624</v>
      </c>
      <c r="E372" s="1">
        <v>2015</v>
      </c>
      <c r="F372" s="1">
        <v>1</v>
      </c>
      <c r="G372" s="1" t="s">
        <v>24</v>
      </c>
      <c r="H372" s="12">
        <v>42005</v>
      </c>
      <c r="I372" s="1">
        <v>4</v>
      </c>
      <c r="J372" s="1">
        <v>1</v>
      </c>
      <c r="K372" s="1" t="s">
        <v>29</v>
      </c>
      <c r="L372" s="1" t="s">
        <v>22</v>
      </c>
      <c r="M372" s="15">
        <f t="shared" si="40"/>
        <v>38.580192906044331</v>
      </c>
      <c r="N372" s="15">
        <f t="shared" si="41"/>
        <v>42.047458471778114</v>
      </c>
      <c r="O372" s="14">
        <f t="shared" si="42"/>
        <v>-16032.635975953017</v>
      </c>
      <c r="P372" s="13">
        <f t="shared" si="43"/>
        <v>-8.9871649272924445E-2</v>
      </c>
      <c r="Q372" s="15">
        <f t="shared" si="44"/>
        <v>-3.4672655657337828</v>
      </c>
      <c r="R372" s="13">
        <f t="shared" si="45"/>
        <v>-8.9871649272924417E-2</v>
      </c>
      <c r="S372" s="15">
        <f t="shared" si="46"/>
        <v>35.267973231772061</v>
      </c>
      <c r="T372" s="15">
        <f t="shared" si="47"/>
        <v>39.369713797695113</v>
      </c>
    </row>
    <row r="373" spans="1:20" x14ac:dyDescent="0.3">
      <c r="A373" s="5">
        <v>42009.083333333336</v>
      </c>
      <c r="B373" s="14">
        <v>220443.631484265</v>
      </c>
      <c r="C373" s="14">
        <v>239988.02746038701</v>
      </c>
      <c r="D373" s="6">
        <v>5717</v>
      </c>
      <c r="E373" s="1">
        <v>2015</v>
      </c>
      <c r="F373" s="1">
        <v>1</v>
      </c>
      <c r="G373" s="1" t="s">
        <v>24</v>
      </c>
      <c r="H373" s="12">
        <v>42005</v>
      </c>
      <c r="I373" s="1">
        <v>5</v>
      </c>
      <c r="J373" s="1">
        <v>2</v>
      </c>
      <c r="K373" s="1" t="s">
        <v>21</v>
      </c>
      <c r="L373" s="1" t="s">
        <v>22</v>
      </c>
      <c r="M373" s="15">
        <f t="shared" si="40"/>
        <v>38.559319832825786</v>
      </c>
      <c r="N373" s="15">
        <f t="shared" si="41"/>
        <v>41.977965272063493</v>
      </c>
      <c r="O373" s="14">
        <f t="shared" si="42"/>
        <v>-19544.395976122003</v>
      </c>
      <c r="P373" s="13">
        <f t="shared" si="43"/>
        <v>-8.8659381287306813E-2</v>
      </c>
      <c r="Q373" s="15">
        <f t="shared" si="44"/>
        <v>-3.4186454392377073</v>
      </c>
      <c r="R373" s="13">
        <f t="shared" si="45"/>
        <v>-8.865938128730666E-2</v>
      </c>
      <c r="S373" s="15">
        <f t="shared" si="46"/>
        <v>35.267973231772061</v>
      </c>
      <c r="T373" s="15">
        <f t="shared" si="47"/>
        <v>39.323726391293278</v>
      </c>
    </row>
    <row r="374" spans="1:20" x14ac:dyDescent="0.3">
      <c r="A374" s="5">
        <v>42010.083333333336</v>
      </c>
      <c r="B374" s="14">
        <v>181534.18867267901</v>
      </c>
      <c r="C374" s="14">
        <v>197328.94391081101</v>
      </c>
      <c r="D374" s="6">
        <v>4705</v>
      </c>
      <c r="E374" s="1">
        <v>2015</v>
      </c>
      <c r="F374" s="1">
        <v>1</v>
      </c>
      <c r="G374" s="1" t="s">
        <v>24</v>
      </c>
      <c r="H374" s="12">
        <v>42005</v>
      </c>
      <c r="I374" s="1">
        <v>6</v>
      </c>
      <c r="J374" s="1">
        <v>3</v>
      </c>
      <c r="K374" s="1" t="s">
        <v>23</v>
      </c>
      <c r="L374" s="1" t="s">
        <v>22</v>
      </c>
      <c r="M374" s="15">
        <f t="shared" si="40"/>
        <v>38.583249452216577</v>
      </c>
      <c r="N374" s="15">
        <f t="shared" si="41"/>
        <v>41.940264380618707</v>
      </c>
      <c r="O374" s="14">
        <f t="shared" si="42"/>
        <v>-15794.755238131998</v>
      </c>
      <c r="P374" s="13">
        <f t="shared" si="43"/>
        <v>-8.7007055550352749E-2</v>
      </c>
      <c r="Q374" s="15">
        <f t="shared" si="44"/>
        <v>-3.3570149284021298</v>
      </c>
      <c r="R374" s="13">
        <f t="shared" si="45"/>
        <v>-8.7007055550352874E-2</v>
      </c>
      <c r="S374" s="15">
        <f t="shared" si="46"/>
        <v>35.267973231772061</v>
      </c>
      <c r="T374" s="15">
        <f t="shared" si="47"/>
        <v>39.323264203474466</v>
      </c>
    </row>
    <row r="375" spans="1:20" x14ac:dyDescent="0.3">
      <c r="A375" s="5">
        <v>42011.083333333336</v>
      </c>
      <c r="B375" s="14">
        <v>83176.481393400201</v>
      </c>
      <c r="C375" s="14">
        <v>84728.831196631101</v>
      </c>
      <c r="D375" s="6">
        <v>2020</v>
      </c>
      <c r="E375" s="1">
        <v>2015</v>
      </c>
      <c r="F375" s="1">
        <v>1</v>
      </c>
      <c r="G375" s="1" t="s">
        <v>24</v>
      </c>
      <c r="H375" s="12">
        <v>42005</v>
      </c>
      <c r="I375" s="1">
        <v>7</v>
      </c>
      <c r="J375" s="1">
        <v>4</v>
      </c>
      <c r="K375" s="1" t="s">
        <v>25</v>
      </c>
      <c r="L375" s="1" t="s">
        <v>22</v>
      </c>
      <c r="M375" s="15">
        <f t="shared" si="40"/>
        <v>41.176475937326835</v>
      </c>
      <c r="N375" s="15">
        <f t="shared" si="41"/>
        <v>41.944965938926288</v>
      </c>
      <c r="O375" s="14">
        <f t="shared" si="42"/>
        <v>-1552.3498032308999</v>
      </c>
      <c r="P375" s="13">
        <f t="shared" si="43"/>
        <v>-1.866332618578494E-2</v>
      </c>
      <c r="Q375" s="15">
        <f t="shared" si="44"/>
        <v>-0.76849000159945291</v>
      </c>
      <c r="R375" s="13">
        <f t="shared" si="45"/>
        <v>-1.8663326185784878E-2</v>
      </c>
      <c r="S375" s="15">
        <f t="shared" si="46"/>
        <v>35.267973231772061</v>
      </c>
      <c r="T375" s="15">
        <f t="shared" si="47"/>
        <v>39.3438552484441</v>
      </c>
    </row>
    <row r="376" spans="1:20" x14ac:dyDescent="0.3">
      <c r="A376" s="5">
        <v>42012.083333333336</v>
      </c>
      <c r="B376" s="14">
        <v>76894.7793487054</v>
      </c>
      <c r="C376" s="14">
        <v>78468.095499687493</v>
      </c>
      <c r="D376" s="6">
        <v>1868</v>
      </c>
      <c r="E376" s="1">
        <v>2015</v>
      </c>
      <c r="F376" s="1">
        <v>1</v>
      </c>
      <c r="G376" s="1" t="s">
        <v>24</v>
      </c>
      <c r="H376" s="12">
        <v>42005</v>
      </c>
      <c r="I376" s="1">
        <v>8</v>
      </c>
      <c r="J376" s="1">
        <v>5</v>
      </c>
      <c r="K376" s="1" t="s">
        <v>26</v>
      </c>
      <c r="L376" s="1" t="s">
        <v>22</v>
      </c>
      <c r="M376" s="15">
        <f t="shared" si="40"/>
        <v>41.164228773396893</v>
      </c>
      <c r="N376" s="15">
        <f t="shared" si="41"/>
        <v>42.006475106899089</v>
      </c>
      <c r="O376" s="14">
        <f t="shared" si="42"/>
        <v>-1573.3161509820929</v>
      </c>
      <c r="P376" s="13">
        <f t="shared" si="43"/>
        <v>-2.0460636785851982E-2</v>
      </c>
      <c r="Q376" s="15">
        <f t="shared" si="44"/>
        <v>-0.84224633350219591</v>
      </c>
      <c r="R376" s="13">
        <f t="shared" si="45"/>
        <v>-2.0460636785852099E-2</v>
      </c>
      <c r="S376" s="15">
        <f t="shared" si="46"/>
        <v>35.267973231772061</v>
      </c>
      <c r="T376" s="15">
        <f t="shared" si="47"/>
        <v>39.365012082565549</v>
      </c>
    </row>
    <row r="377" spans="1:20" x14ac:dyDescent="0.3">
      <c r="A377" s="5">
        <v>42013.083333333336</v>
      </c>
      <c r="B377" s="14">
        <v>123859.38795673801</v>
      </c>
      <c r="C377" s="14">
        <v>126444.14251828101</v>
      </c>
      <c r="D377" s="6">
        <v>3008</v>
      </c>
      <c r="E377" s="1">
        <v>2015</v>
      </c>
      <c r="F377" s="1">
        <v>1</v>
      </c>
      <c r="G377" s="1" t="s">
        <v>24</v>
      </c>
      <c r="H377" s="12">
        <v>42005</v>
      </c>
      <c r="I377" s="1">
        <v>9</v>
      </c>
      <c r="J377" s="1">
        <v>6</v>
      </c>
      <c r="K377" s="1" t="s">
        <v>27</v>
      </c>
      <c r="L377" s="1" t="s">
        <v>22</v>
      </c>
      <c r="M377" s="15">
        <f t="shared" si="40"/>
        <v>41.176658230298543</v>
      </c>
      <c r="N377" s="15">
        <f t="shared" si="41"/>
        <v>42.035951635066823</v>
      </c>
      <c r="O377" s="14">
        <f t="shared" si="42"/>
        <v>-2584.754561542999</v>
      </c>
      <c r="P377" s="13">
        <f t="shared" si="43"/>
        <v>-2.0868459017784023E-2</v>
      </c>
      <c r="Q377" s="15">
        <f t="shared" si="44"/>
        <v>-0.85929340476828031</v>
      </c>
      <c r="R377" s="13">
        <f t="shared" si="45"/>
        <v>-2.0868459017783926E-2</v>
      </c>
      <c r="S377" s="15">
        <f t="shared" si="46"/>
        <v>35.267973231772061</v>
      </c>
      <c r="T377" s="15">
        <f t="shared" si="47"/>
        <v>39.420149290684392</v>
      </c>
    </row>
    <row r="378" spans="1:20" x14ac:dyDescent="0.3">
      <c r="A378" s="5">
        <v>42014.083333333336</v>
      </c>
      <c r="B378" s="14">
        <v>120807.574158327</v>
      </c>
      <c r="C378" s="14">
        <v>123392.80406778101</v>
      </c>
      <c r="D378" s="6">
        <v>2934</v>
      </c>
      <c r="E378" s="1">
        <v>2015</v>
      </c>
      <c r="F378" s="1">
        <v>1</v>
      </c>
      <c r="G378" s="1" t="s">
        <v>24</v>
      </c>
      <c r="H378" s="12">
        <v>42005</v>
      </c>
      <c r="I378" s="1">
        <v>10</v>
      </c>
      <c r="J378" s="1">
        <v>7</v>
      </c>
      <c r="K378" s="1" t="s">
        <v>28</v>
      </c>
      <c r="L378" s="1" t="s">
        <v>22</v>
      </c>
      <c r="M378" s="15">
        <f t="shared" si="40"/>
        <v>41.175042317084866</v>
      </c>
      <c r="N378" s="15">
        <f t="shared" si="41"/>
        <v>42.056170438916496</v>
      </c>
      <c r="O378" s="14">
        <f t="shared" si="42"/>
        <v>-2585.2299094540067</v>
      </c>
      <c r="P378" s="13">
        <f t="shared" si="43"/>
        <v>-2.1399568093850452E-2</v>
      </c>
      <c r="Q378" s="15">
        <f t="shared" si="44"/>
        <v>-0.88112812183162958</v>
      </c>
      <c r="R378" s="13">
        <f t="shared" si="45"/>
        <v>-2.1399568093850407E-2</v>
      </c>
      <c r="S378" s="15">
        <f t="shared" si="46"/>
        <v>35.267973231772061</v>
      </c>
      <c r="T378" s="15">
        <f t="shared" si="47"/>
        <v>39.52087332198996</v>
      </c>
    </row>
    <row r="379" spans="1:20" x14ac:dyDescent="0.3">
      <c r="A379" s="5">
        <v>42015.083333333336</v>
      </c>
      <c r="B379" s="14">
        <v>69597.367349330394</v>
      </c>
      <c r="C379" s="14">
        <v>71051.3635029328</v>
      </c>
      <c r="D379" s="6">
        <v>1690</v>
      </c>
      <c r="E379" s="1">
        <v>2015</v>
      </c>
      <c r="F379" s="1">
        <v>1</v>
      </c>
      <c r="G379" s="1" t="s">
        <v>24</v>
      </c>
      <c r="H379" s="12">
        <v>42005</v>
      </c>
      <c r="I379" s="1">
        <v>11</v>
      </c>
      <c r="J379" s="1">
        <v>1</v>
      </c>
      <c r="K379" s="1" t="s">
        <v>29</v>
      </c>
      <c r="L379" s="1" t="s">
        <v>22</v>
      </c>
      <c r="M379" s="15">
        <f t="shared" si="40"/>
        <v>41.181874171201414</v>
      </c>
      <c r="N379" s="15">
        <f t="shared" si="41"/>
        <v>42.042226924812304</v>
      </c>
      <c r="O379" s="14">
        <f t="shared" si="42"/>
        <v>-1453.9961536024057</v>
      </c>
      <c r="P379" s="13">
        <f t="shared" si="43"/>
        <v>-2.0891539565057914E-2</v>
      </c>
      <c r="Q379" s="15">
        <f t="shared" si="44"/>
        <v>-0.86035275361088992</v>
      </c>
      <c r="R379" s="13">
        <f t="shared" si="45"/>
        <v>-2.089153956505789E-2</v>
      </c>
      <c r="S379" s="15">
        <f t="shared" si="46"/>
        <v>35.267973231772061</v>
      </c>
      <c r="T379" s="15">
        <f t="shared" si="47"/>
        <v>39.612011351343412</v>
      </c>
    </row>
    <row r="380" spans="1:20" x14ac:dyDescent="0.3">
      <c r="A380" s="5">
        <v>42016.083333333336</v>
      </c>
      <c r="B380" s="14">
        <v>84738.294411260096</v>
      </c>
      <c r="C380" s="14">
        <v>86467.537750281699</v>
      </c>
      <c r="D380" s="6">
        <v>2058</v>
      </c>
      <c r="E380" s="1">
        <v>2015</v>
      </c>
      <c r="F380" s="1">
        <v>1</v>
      </c>
      <c r="G380" s="1" t="s">
        <v>24</v>
      </c>
      <c r="H380" s="12">
        <v>42005</v>
      </c>
      <c r="I380" s="1">
        <v>12</v>
      </c>
      <c r="J380" s="1">
        <v>2</v>
      </c>
      <c r="K380" s="1" t="s">
        <v>21</v>
      </c>
      <c r="L380" s="1" t="s">
        <v>22</v>
      </c>
      <c r="M380" s="15">
        <f t="shared" si="40"/>
        <v>41.175070170680321</v>
      </c>
      <c r="N380" s="15">
        <f t="shared" si="41"/>
        <v>42.015324465637363</v>
      </c>
      <c r="O380" s="14">
        <f t="shared" si="42"/>
        <v>-1729.2433390216029</v>
      </c>
      <c r="P380" s="13">
        <f t="shared" si="43"/>
        <v>-2.040686977518183E-2</v>
      </c>
      <c r="Q380" s="15">
        <f t="shared" si="44"/>
        <v>-0.84025429495704174</v>
      </c>
      <c r="R380" s="13">
        <f t="shared" si="45"/>
        <v>-2.0406869775181698E-2</v>
      </c>
      <c r="S380" s="15">
        <f t="shared" si="46"/>
        <v>35.267973231772061</v>
      </c>
      <c r="T380" s="15">
        <f t="shared" si="47"/>
        <v>39.709218512267547</v>
      </c>
    </row>
    <row r="381" spans="1:20" x14ac:dyDescent="0.3">
      <c r="A381" s="5">
        <v>42017.083333333336</v>
      </c>
      <c r="B381" s="14">
        <v>64653.972138140402</v>
      </c>
      <c r="C381" s="14">
        <v>65980.4220898598</v>
      </c>
      <c r="D381" s="6">
        <v>1570</v>
      </c>
      <c r="E381" s="1">
        <v>2015</v>
      </c>
      <c r="F381" s="1">
        <v>1</v>
      </c>
      <c r="G381" s="1" t="s">
        <v>24</v>
      </c>
      <c r="H381" s="12">
        <v>42005</v>
      </c>
      <c r="I381" s="1">
        <v>13</v>
      </c>
      <c r="J381" s="1">
        <v>3</v>
      </c>
      <c r="K381" s="1" t="s">
        <v>23</v>
      </c>
      <c r="L381" s="1" t="s">
        <v>22</v>
      </c>
      <c r="M381" s="15">
        <f t="shared" si="40"/>
        <v>41.180873973337839</v>
      </c>
      <c r="N381" s="15">
        <f t="shared" si="41"/>
        <v>42.025746554050826</v>
      </c>
      <c r="O381" s="14">
        <f t="shared" si="42"/>
        <v>-1326.4499517193981</v>
      </c>
      <c r="P381" s="13">
        <f t="shared" si="43"/>
        <v>-2.0516140120289753E-2</v>
      </c>
      <c r="Q381" s="15">
        <f t="shared" si="44"/>
        <v>-0.84487258071298754</v>
      </c>
      <c r="R381" s="13">
        <f t="shared" si="45"/>
        <v>-2.0516140120289631E-2</v>
      </c>
      <c r="S381" s="15">
        <f t="shared" si="46"/>
        <v>35.267973231772061</v>
      </c>
      <c r="T381" s="15">
        <f t="shared" si="47"/>
        <v>39.804567537302752</v>
      </c>
    </row>
    <row r="382" spans="1:20" x14ac:dyDescent="0.3">
      <c r="A382" s="5">
        <v>42018.083333333336</v>
      </c>
      <c r="B382" s="14">
        <v>59553.386031020302</v>
      </c>
      <c r="C382" s="14">
        <v>60703.356028777598</v>
      </c>
      <c r="D382" s="6">
        <v>1446</v>
      </c>
      <c r="E382" s="1">
        <v>2015</v>
      </c>
      <c r="F382" s="1">
        <v>1</v>
      </c>
      <c r="G382" s="1" t="s">
        <v>24</v>
      </c>
      <c r="H382" s="12">
        <v>42005</v>
      </c>
      <c r="I382" s="1">
        <v>14</v>
      </c>
      <c r="J382" s="1">
        <v>4</v>
      </c>
      <c r="K382" s="1" t="s">
        <v>25</v>
      </c>
      <c r="L382" s="1" t="s">
        <v>22</v>
      </c>
      <c r="M382" s="15">
        <f t="shared" si="40"/>
        <v>41.184914267648892</v>
      </c>
      <c r="N382" s="15">
        <f t="shared" si="41"/>
        <v>41.980190891270816</v>
      </c>
      <c r="O382" s="14">
        <f t="shared" si="42"/>
        <v>-1149.9699977572964</v>
      </c>
      <c r="P382" s="13">
        <f t="shared" si="43"/>
        <v>-1.9309901155885534E-2</v>
      </c>
      <c r="Q382" s="15">
        <f t="shared" si="44"/>
        <v>-0.79527662362192331</v>
      </c>
      <c r="R382" s="13">
        <f t="shared" si="45"/>
        <v>-1.9309901155885614E-2</v>
      </c>
      <c r="S382" s="15">
        <f t="shared" si="46"/>
        <v>35.267973231772061</v>
      </c>
      <c r="T382" s="15">
        <f t="shared" si="47"/>
        <v>39.89579864551019</v>
      </c>
    </row>
    <row r="383" spans="1:20" x14ac:dyDescent="0.3">
      <c r="A383" s="5">
        <v>42019.083333333336</v>
      </c>
      <c r="B383" s="14">
        <v>79080.756957730395</v>
      </c>
      <c r="C383" s="14">
        <v>80337.748312174503</v>
      </c>
      <c r="D383" s="6">
        <v>1921</v>
      </c>
      <c r="E383" s="1">
        <v>2015</v>
      </c>
      <c r="F383" s="1">
        <v>1</v>
      </c>
      <c r="G383" s="1" t="s">
        <v>24</v>
      </c>
      <c r="H383" s="12">
        <v>42005</v>
      </c>
      <c r="I383" s="1">
        <v>15</v>
      </c>
      <c r="J383" s="1">
        <v>5</v>
      </c>
      <c r="K383" s="1" t="s">
        <v>26</v>
      </c>
      <c r="L383" s="1" t="s">
        <v>22</v>
      </c>
      <c r="M383" s="15">
        <f t="shared" si="40"/>
        <v>41.166453387678501</v>
      </c>
      <c r="N383" s="15">
        <f t="shared" si="41"/>
        <v>41.820795581558826</v>
      </c>
      <c r="O383" s="14">
        <f t="shared" si="42"/>
        <v>-1256.9913544441079</v>
      </c>
      <c r="P383" s="13">
        <f t="shared" si="43"/>
        <v>-1.5895034428109796E-2</v>
      </c>
      <c r="Q383" s="15">
        <f t="shared" si="44"/>
        <v>-0.65434219388032488</v>
      </c>
      <c r="R383" s="13">
        <f t="shared" si="45"/>
        <v>-1.5895034428109748E-2</v>
      </c>
      <c r="S383" s="15">
        <f t="shared" si="46"/>
        <v>35.267973231772061</v>
      </c>
      <c r="T383" s="15">
        <f t="shared" si="47"/>
        <v>39.983288242110348</v>
      </c>
    </row>
    <row r="384" spans="1:20" x14ac:dyDescent="0.3">
      <c r="A384" s="5">
        <v>42020.083333333336</v>
      </c>
      <c r="B384" s="14">
        <v>149444.056787454</v>
      </c>
      <c r="C384" s="14">
        <v>152030.98648053501</v>
      </c>
      <c r="D384" s="6">
        <v>3629</v>
      </c>
      <c r="E384" s="1">
        <v>2015</v>
      </c>
      <c r="F384" s="1">
        <v>1</v>
      </c>
      <c r="G384" s="1" t="s">
        <v>24</v>
      </c>
      <c r="H384" s="12">
        <v>42005</v>
      </c>
      <c r="I384" s="1">
        <v>16</v>
      </c>
      <c r="J384" s="1">
        <v>6</v>
      </c>
      <c r="K384" s="1" t="s">
        <v>27</v>
      </c>
      <c r="L384" s="1" t="s">
        <v>22</v>
      </c>
      <c r="M384" s="15">
        <f t="shared" si="40"/>
        <v>41.180506141486362</v>
      </c>
      <c r="N384" s="15">
        <f t="shared" si="41"/>
        <v>41.893355326683661</v>
      </c>
      <c r="O384" s="14">
        <f t="shared" si="42"/>
        <v>-2586.9296930810087</v>
      </c>
      <c r="P384" s="13">
        <f t="shared" si="43"/>
        <v>-1.7310355116766239E-2</v>
      </c>
      <c r="Q384" s="15">
        <f t="shared" si="44"/>
        <v>-0.71284918519729956</v>
      </c>
      <c r="R384" s="13">
        <f t="shared" si="45"/>
        <v>-1.731035511676618E-2</v>
      </c>
      <c r="S384" s="15">
        <f t="shared" si="46"/>
        <v>35.267973231772061</v>
      </c>
      <c r="T384" s="15">
        <f t="shared" si="47"/>
        <v>40.071702712801901</v>
      </c>
    </row>
    <row r="385" spans="1:20" x14ac:dyDescent="0.3">
      <c r="A385" s="5">
        <v>42021.083333333336</v>
      </c>
      <c r="B385" s="14">
        <v>170624.07993589199</v>
      </c>
      <c r="C385" s="14">
        <v>173547.02711004199</v>
      </c>
      <c r="D385" s="6">
        <v>4144</v>
      </c>
      <c r="E385" s="1">
        <v>2015</v>
      </c>
      <c r="F385" s="1">
        <v>1</v>
      </c>
      <c r="G385" s="1" t="s">
        <v>24</v>
      </c>
      <c r="H385" s="12">
        <v>42005</v>
      </c>
      <c r="I385" s="1">
        <v>17</v>
      </c>
      <c r="J385" s="1">
        <v>7</v>
      </c>
      <c r="K385" s="1" t="s">
        <v>28</v>
      </c>
      <c r="L385" s="1" t="s">
        <v>22</v>
      </c>
      <c r="M385" s="15">
        <f t="shared" si="40"/>
        <v>41.173764463294397</v>
      </c>
      <c r="N385" s="15">
        <f t="shared" si="41"/>
        <v>41.879108858600866</v>
      </c>
      <c r="O385" s="14">
        <f t="shared" si="42"/>
        <v>-2922.947174150002</v>
      </c>
      <c r="P385" s="13">
        <f t="shared" si="43"/>
        <v>-1.7130918304428255E-2</v>
      </c>
      <c r="Q385" s="15">
        <f t="shared" si="44"/>
        <v>-0.70534439530646864</v>
      </c>
      <c r="R385" s="13">
        <f t="shared" si="45"/>
        <v>-1.713091830442828E-2</v>
      </c>
      <c r="S385" s="15">
        <f t="shared" si="46"/>
        <v>35.267973231772061</v>
      </c>
      <c r="T385" s="15">
        <f t="shared" si="47"/>
        <v>40.168574394483898</v>
      </c>
    </row>
    <row r="386" spans="1:20" x14ac:dyDescent="0.3">
      <c r="A386" s="5">
        <v>42022.083333333336</v>
      </c>
      <c r="B386" s="14">
        <v>74744.283149260504</v>
      </c>
      <c r="C386" s="14">
        <v>76003.928254213795</v>
      </c>
      <c r="D386" s="6">
        <v>1815</v>
      </c>
      <c r="E386" s="1">
        <v>2015</v>
      </c>
      <c r="F386" s="1">
        <v>1</v>
      </c>
      <c r="G386" s="1" t="s">
        <v>24</v>
      </c>
      <c r="H386" s="12">
        <v>42005</v>
      </c>
      <c r="I386" s="1">
        <v>18</v>
      </c>
      <c r="J386" s="1">
        <v>1</v>
      </c>
      <c r="K386" s="1" t="s">
        <v>29</v>
      </c>
      <c r="L386" s="1" t="s">
        <v>22</v>
      </c>
      <c r="M386" s="15">
        <f t="shared" si="40"/>
        <v>41.181423222733059</v>
      </c>
      <c r="N386" s="15">
        <f t="shared" si="41"/>
        <v>41.875442564305125</v>
      </c>
      <c r="O386" s="14">
        <f t="shared" si="42"/>
        <v>-1259.6451049532916</v>
      </c>
      <c r="P386" s="13">
        <f t="shared" si="43"/>
        <v>-1.6852728421220455E-2</v>
      </c>
      <c r="Q386" s="15">
        <f t="shared" si="44"/>
        <v>-0.69401934157206568</v>
      </c>
      <c r="R386" s="13">
        <f t="shared" si="45"/>
        <v>-1.6852728421220556E-2</v>
      </c>
      <c r="S386" s="15">
        <f t="shared" si="46"/>
        <v>35.267973231772061</v>
      </c>
      <c r="T386" s="15">
        <f t="shared" si="47"/>
        <v>40.260685158094503</v>
      </c>
    </row>
    <row r="387" spans="1:20" x14ac:dyDescent="0.3">
      <c r="A387" s="5">
        <v>42023.083333333336</v>
      </c>
      <c r="B387" s="14">
        <v>90144.161401489793</v>
      </c>
      <c r="C387" s="14">
        <v>91110.969347994804</v>
      </c>
      <c r="D387" s="6">
        <v>2189</v>
      </c>
      <c r="E387" s="1">
        <v>2015</v>
      </c>
      <c r="F387" s="1">
        <v>1</v>
      </c>
      <c r="G387" s="1" t="s">
        <v>24</v>
      </c>
      <c r="H387" s="12">
        <v>42005</v>
      </c>
      <c r="I387" s="1">
        <v>19</v>
      </c>
      <c r="J387" s="1">
        <v>2</v>
      </c>
      <c r="K387" s="1" t="s">
        <v>21</v>
      </c>
      <c r="L387" s="1" t="s">
        <v>22</v>
      </c>
      <c r="M387" s="15">
        <f t="shared" ref="M387:M450" si="48">IFERROR(B387/D387,0)</f>
        <v>41.180521425988942</v>
      </c>
      <c r="N387" s="15">
        <f t="shared" ref="N387:N450" si="49">IFERROR(C387/D387,0)</f>
        <v>41.622187915940977</v>
      </c>
      <c r="O387" s="14">
        <f t="shared" ref="O387:O450" si="50">B387-C387</f>
        <v>-966.80794650501048</v>
      </c>
      <c r="P387" s="13">
        <f t="shared" ref="P387:P450" si="51">IFERROR(O387/B387,0)</f>
        <v>-1.0725131073092796E-2</v>
      </c>
      <c r="Q387" s="15">
        <f t="shared" ref="Q387:Q450" si="52">M387-N387</f>
        <v>-0.44166648995203417</v>
      </c>
      <c r="R387" s="13">
        <f t="shared" ref="R387:R450" si="53">IFERROR(Q387/M387,0)</f>
        <v>-1.0725131073092711E-2</v>
      </c>
      <c r="S387" s="15">
        <f t="shared" ref="S387:S450" si="54">IFERROR(SUM($B$2:$B$1001)/SUM($D$2:$D$1001),0)</f>
        <v>35.267973231772061</v>
      </c>
      <c r="T387" s="15">
        <f t="shared" ref="T387:T450" si="55">AVERAGEIFS($M$2:$M$1001,$A$2:$A$1001,"&gt;="&amp;A387-29,$A$2:$A$1001,"&lt;="&amp;A387)</f>
        <v>40.358707559689016</v>
      </c>
    </row>
    <row r="388" spans="1:20" x14ac:dyDescent="0.3">
      <c r="A388" s="5">
        <v>42024.083333333336</v>
      </c>
      <c r="B388" s="14">
        <v>97826.808800978994</v>
      </c>
      <c r="C388" s="14">
        <v>99134.306988593496</v>
      </c>
      <c r="D388" s="6">
        <v>2376</v>
      </c>
      <c r="E388" s="1">
        <v>2015</v>
      </c>
      <c r="F388" s="1">
        <v>1</v>
      </c>
      <c r="G388" s="1" t="s">
        <v>24</v>
      </c>
      <c r="H388" s="12">
        <v>42005</v>
      </c>
      <c r="I388" s="1">
        <v>20</v>
      </c>
      <c r="J388" s="1">
        <v>3</v>
      </c>
      <c r="K388" s="1" t="s">
        <v>23</v>
      </c>
      <c r="L388" s="1" t="s">
        <v>22</v>
      </c>
      <c r="M388" s="15">
        <f t="shared" si="48"/>
        <v>41.172899327011358</v>
      </c>
      <c r="N388" s="15">
        <f t="shared" si="49"/>
        <v>41.723193177017464</v>
      </c>
      <c r="O388" s="14">
        <f t="shared" si="50"/>
        <v>-1307.498187614503</v>
      </c>
      <c r="P388" s="13">
        <f t="shared" si="51"/>
        <v>-1.3365438407323559E-2</v>
      </c>
      <c r="Q388" s="15">
        <f t="shared" si="52"/>
        <v>-0.55029385000610631</v>
      </c>
      <c r="R388" s="13">
        <f t="shared" si="53"/>
        <v>-1.3365438407323618E-2</v>
      </c>
      <c r="S388" s="15">
        <f t="shared" si="54"/>
        <v>35.267973231772061</v>
      </c>
      <c r="T388" s="15">
        <f t="shared" si="55"/>
        <v>40.455108761447406</v>
      </c>
    </row>
    <row r="389" spans="1:20" x14ac:dyDescent="0.3">
      <c r="A389" s="5">
        <v>42025.083333333336</v>
      </c>
      <c r="B389" s="14">
        <v>62795.979145920399</v>
      </c>
      <c r="C389" s="14">
        <v>64144.0888752459</v>
      </c>
      <c r="D389" s="6">
        <v>1525</v>
      </c>
      <c r="E389" s="1">
        <v>2015</v>
      </c>
      <c r="F389" s="1">
        <v>1</v>
      </c>
      <c r="G389" s="1" t="s">
        <v>24</v>
      </c>
      <c r="H389" s="12">
        <v>42005</v>
      </c>
      <c r="I389" s="1">
        <v>21</v>
      </c>
      <c r="J389" s="1">
        <v>4</v>
      </c>
      <c r="K389" s="1" t="s">
        <v>25</v>
      </c>
      <c r="L389" s="1" t="s">
        <v>22</v>
      </c>
      <c r="M389" s="15">
        <f t="shared" si="48"/>
        <v>41.177691243226491</v>
      </c>
      <c r="N389" s="15">
        <f t="shared" si="49"/>
        <v>42.061697623112067</v>
      </c>
      <c r="O389" s="14">
        <f t="shared" si="50"/>
        <v>-1348.1097293255007</v>
      </c>
      <c r="P389" s="13">
        <f t="shared" si="51"/>
        <v>-2.1468089958321512E-2</v>
      </c>
      <c r="Q389" s="15">
        <f t="shared" si="52"/>
        <v>-0.88400637988557662</v>
      </c>
      <c r="R389" s="13">
        <f t="shared" si="53"/>
        <v>-2.1468089958321567E-2</v>
      </c>
      <c r="S389" s="15">
        <f t="shared" si="54"/>
        <v>35.267973231772061</v>
      </c>
      <c r="T389" s="15">
        <f t="shared" si="55"/>
        <v>40.46773914343202</v>
      </c>
    </row>
    <row r="390" spans="1:20" x14ac:dyDescent="0.3">
      <c r="A390" s="5">
        <v>42026.083333333336</v>
      </c>
      <c r="B390" s="14">
        <v>66550.989827080397</v>
      </c>
      <c r="C390" s="14">
        <v>67952.150554841501</v>
      </c>
      <c r="D390" s="6">
        <v>1616</v>
      </c>
      <c r="E390" s="1">
        <v>2015</v>
      </c>
      <c r="F390" s="1">
        <v>1</v>
      </c>
      <c r="G390" s="1" t="s">
        <v>24</v>
      </c>
      <c r="H390" s="12">
        <v>42005</v>
      </c>
      <c r="I390" s="1">
        <v>22</v>
      </c>
      <c r="J390" s="1">
        <v>5</v>
      </c>
      <c r="K390" s="1" t="s">
        <v>26</v>
      </c>
      <c r="L390" s="1" t="s">
        <v>22</v>
      </c>
      <c r="M390" s="15">
        <f t="shared" si="48"/>
        <v>41.182543209826981</v>
      </c>
      <c r="N390" s="15">
        <f t="shared" si="49"/>
        <v>42.049598115619737</v>
      </c>
      <c r="O390" s="14">
        <f t="shared" si="50"/>
        <v>-1401.1607277611038</v>
      </c>
      <c r="P390" s="13">
        <f t="shared" si="51"/>
        <v>-2.1053942719736297E-2</v>
      </c>
      <c r="Q390" s="15">
        <f t="shared" si="52"/>
        <v>-0.8670549057927559</v>
      </c>
      <c r="R390" s="13">
        <f t="shared" si="53"/>
        <v>-2.1053942719736141E-2</v>
      </c>
      <c r="S390" s="15">
        <f t="shared" si="54"/>
        <v>35.267973231772061</v>
      </c>
      <c r="T390" s="15">
        <f t="shared" si="55"/>
        <v>40.484551906904741</v>
      </c>
    </row>
    <row r="391" spans="1:20" x14ac:dyDescent="0.3">
      <c r="A391" s="5">
        <v>42027.083333333336</v>
      </c>
      <c r="B391" s="14">
        <v>154670.89070075401</v>
      </c>
      <c r="C391" s="14">
        <v>158031.79104317201</v>
      </c>
      <c r="D391" s="6">
        <v>3757</v>
      </c>
      <c r="E391" s="1">
        <v>2015</v>
      </c>
      <c r="F391" s="1">
        <v>1</v>
      </c>
      <c r="G391" s="1" t="s">
        <v>24</v>
      </c>
      <c r="H391" s="12">
        <v>42005</v>
      </c>
      <c r="I391" s="1">
        <v>23</v>
      </c>
      <c r="J391" s="1">
        <v>6</v>
      </c>
      <c r="K391" s="1" t="s">
        <v>27</v>
      </c>
      <c r="L391" s="1" t="s">
        <v>22</v>
      </c>
      <c r="M391" s="15">
        <f t="shared" si="48"/>
        <v>41.168722571401119</v>
      </c>
      <c r="N391" s="15">
        <f t="shared" si="49"/>
        <v>42.063292798289062</v>
      </c>
      <c r="O391" s="14">
        <f t="shared" si="50"/>
        <v>-3360.9003424179973</v>
      </c>
      <c r="P391" s="13">
        <f t="shared" si="51"/>
        <v>-2.1729365669202895E-2</v>
      </c>
      <c r="Q391" s="15">
        <f t="shared" si="52"/>
        <v>-0.89457022688794297</v>
      </c>
      <c r="R391" s="13">
        <f t="shared" si="53"/>
        <v>-2.1729365669202923E-2</v>
      </c>
      <c r="S391" s="15">
        <f t="shared" si="54"/>
        <v>35.267973231772061</v>
      </c>
      <c r="T391" s="15">
        <f t="shared" si="55"/>
        <v>40.484357492057448</v>
      </c>
    </row>
    <row r="392" spans="1:20" x14ac:dyDescent="0.3">
      <c r="A392" s="5">
        <v>42028.083333333336</v>
      </c>
      <c r="B392" s="14">
        <v>158722.105625364</v>
      </c>
      <c r="C392" s="14">
        <v>162082.418438514</v>
      </c>
      <c r="D392" s="6">
        <v>3855</v>
      </c>
      <c r="E392" s="1">
        <v>2015</v>
      </c>
      <c r="F392" s="1">
        <v>1</v>
      </c>
      <c r="G392" s="1" t="s">
        <v>24</v>
      </c>
      <c r="H392" s="12">
        <v>42005</v>
      </c>
      <c r="I392" s="1">
        <v>24</v>
      </c>
      <c r="J392" s="1">
        <v>7</v>
      </c>
      <c r="K392" s="1" t="s">
        <v>28</v>
      </c>
      <c r="L392" s="1" t="s">
        <v>22</v>
      </c>
      <c r="M392" s="15">
        <f t="shared" si="48"/>
        <v>41.173049448862258</v>
      </c>
      <c r="N392" s="15">
        <f t="shared" si="49"/>
        <v>42.044725924387549</v>
      </c>
      <c r="O392" s="14">
        <f t="shared" si="50"/>
        <v>-3360.312813149998</v>
      </c>
      <c r="P392" s="13">
        <f t="shared" si="51"/>
        <v>-2.1171044826493377E-2</v>
      </c>
      <c r="Q392" s="15">
        <f t="shared" si="52"/>
        <v>-0.87167647552529104</v>
      </c>
      <c r="R392" s="13">
        <f t="shared" si="53"/>
        <v>-2.117104482649337E-2</v>
      </c>
      <c r="S392" s="15">
        <f t="shared" si="54"/>
        <v>35.267973231772061</v>
      </c>
      <c r="T392" s="15">
        <f t="shared" si="55"/>
        <v>40.484319067579669</v>
      </c>
    </row>
    <row r="393" spans="1:20" x14ac:dyDescent="0.3">
      <c r="A393" s="5">
        <v>42029.083333333336</v>
      </c>
      <c r="B393" s="14">
        <v>78092.276922030505</v>
      </c>
      <c r="C393" s="14">
        <v>79795.0431031607</v>
      </c>
      <c r="D393" s="6">
        <v>1897</v>
      </c>
      <c r="E393" s="1">
        <v>2015</v>
      </c>
      <c r="F393" s="1">
        <v>1</v>
      </c>
      <c r="G393" s="1" t="s">
        <v>24</v>
      </c>
      <c r="H393" s="12">
        <v>42005</v>
      </c>
      <c r="I393" s="1">
        <v>25</v>
      </c>
      <c r="J393" s="1">
        <v>1</v>
      </c>
      <c r="K393" s="1" t="s">
        <v>29</v>
      </c>
      <c r="L393" s="1" t="s">
        <v>22</v>
      </c>
      <c r="M393" s="15">
        <f t="shared" si="48"/>
        <v>41.166197639446764</v>
      </c>
      <c r="N393" s="15">
        <f t="shared" si="49"/>
        <v>42.063807645314021</v>
      </c>
      <c r="O393" s="14">
        <f t="shared" si="50"/>
        <v>-1702.766181130195</v>
      </c>
      <c r="P393" s="13">
        <f t="shared" si="51"/>
        <v>-2.1804540067774998E-2</v>
      </c>
      <c r="Q393" s="15">
        <f t="shared" si="52"/>
        <v>-0.89761000586725714</v>
      </c>
      <c r="R393" s="13">
        <f t="shared" si="53"/>
        <v>-2.1804540067774891E-2</v>
      </c>
      <c r="S393" s="15">
        <f t="shared" si="54"/>
        <v>35.267973231772061</v>
      </c>
      <c r="T393" s="15">
        <f t="shared" si="55"/>
        <v>40.484898555218187</v>
      </c>
    </row>
    <row r="394" spans="1:20" x14ac:dyDescent="0.3">
      <c r="A394" s="5">
        <v>42030.083333333336</v>
      </c>
      <c r="B394" s="14">
        <v>91830.402043779904</v>
      </c>
      <c r="C394" s="14">
        <v>93808.086746872403</v>
      </c>
      <c r="D394" s="6">
        <v>2230</v>
      </c>
      <c r="E394" s="1">
        <v>2015</v>
      </c>
      <c r="F394" s="1">
        <v>1</v>
      </c>
      <c r="G394" s="1" t="s">
        <v>24</v>
      </c>
      <c r="H394" s="12">
        <v>42005</v>
      </c>
      <c r="I394" s="1">
        <v>26</v>
      </c>
      <c r="J394" s="1">
        <v>2</v>
      </c>
      <c r="K394" s="1" t="s">
        <v>21</v>
      </c>
      <c r="L394" s="1" t="s">
        <v>22</v>
      </c>
      <c r="M394" s="15">
        <f t="shared" si="48"/>
        <v>41.179552485999956</v>
      </c>
      <c r="N394" s="15">
        <f t="shared" si="49"/>
        <v>42.066406612947269</v>
      </c>
      <c r="O394" s="14">
        <f t="shared" si="50"/>
        <v>-1977.6847030924982</v>
      </c>
      <c r="P394" s="13">
        <f t="shared" si="51"/>
        <v>-2.1536274034275077E-2</v>
      </c>
      <c r="Q394" s="15">
        <f t="shared" si="52"/>
        <v>-0.88685412694731269</v>
      </c>
      <c r="R394" s="13">
        <f t="shared" si="53"/>
        <v>-2.1536274034275178E-2</v>
      </c>
      <c r="S394" s="15">
        <f t="shared" si="54"/>
        <v>35.267973231772061</v>
      </c>
      <c r="T394" s="15">
        <f t="shared" si="55"/>
        <v>40.485326438501552</v>
      </c>
    </row>
    <row r="395" spans="1:20" x14ac:dyDescent="0.3">
      <c r="A395" s="5">
        <v>42031.083333333336</v>
      </c>
      <c r="B395" s="14">
        <v>76992.935683210497</v>
      </c>
      <c r="C395" s="14">
        <v>78614.457753375798</v>
      </c>
      <c r="D395" s="6">
        <v>1870</v>
      </c>
      <c r="E395" s="1">
        <v>2015</v>
      </c>
      <c r="F395" s="1">
        <v>1</v>
      </c>
      <c r="G395" s="1" t="s">
        <v>24</v>
      </c>
      <c r="H395" s="12">
        <v>42005</v>
      </c>
      <c r="I395" s="1">
        <v>27</v>
      </c>
      <c r="J395" s="1">
        <v>3</v>
      </c>
      <c r="K395" s="1" t="s">
        <v>23</v>
      </c>
      <c r="L395" s="1" t="s">
        <v>22</v>
      </c>
      <c r="M395" s="15">
        <f t="shared" si="48"/>
        <v>41.172692878722188</v>
      </c>
      <c r="N395" s="15">
        <f t="shared" si="49"/>
        <v>42.039816980414862</v>
      </c>
      <c r="O395" s="14">
        <f t="shared" si="50"/>
        <v>-1621.5220701653016</v>
      </c>
      <c r="P395" s="13">
        <f t="shared" si="51"/>
        <v>-2.106066038106532E-2</v>
      </c>
      <c r="Q395" s="15">
        <f t="shared" si="52"/>
        <v>-0.86712410169267429</v>
      </c>
      <c r="R395" s="13">
        <f t="shared" si="53"/>
        <v>-2.1060660381065313E-2</v>
      </c>
      <c r="S395" s="15">
        <f t="shared" si="54"/>
        <v>35.267973231772061</v>
      </c>
      <c r="T395" s="15">
        <f t="shared" si="55"/>
        <v>40.48523239883145</v>
      </c>
    </row>
    <row r="396" spans="1:20" x14ac:dyDescent="0.3">
      <c r="A396" s="5">
        <v>42032.083333333336</v>
      </c>
      <c r="B396" s="14">
        <v>59897.715879940399</v>
      </c>
      <c r="C396" s="14">
        <v>61194.180255889602</v>
      </c>
      <c r="D396" s="6">
        <v>1455</v>
      </c>
      <c r="E396" s="1">
        <v>2015</v>
      </c>
      <c r="F396" s="1">
        <v>1</v>
      </c>
      <c r="G396" s="1" t="s">
        <v>24</v>
      </c>
      <c r="H396" s="12">
        <v>42005</v>
      </c>
      <c r="I396" s="1">
        <v>28</v>
      </c>
      <c r="J396" s="1">
        <v>4</v>
      </c>
      <c r="K396" s="1" t="s">
        <v>25</v>
      </c>
      <c r="L396" s="1" t="s">
        <v>22</v>
      </c>
      <c r="M396" s="15">
        <f t="shared" si="48"/>
        <v>41.166815037759726</v>
      </c>
      <c r="N396" s="15">
        <f t="shared" si="49"/>
        <v>42.057855845972234</v>
      </c>
      <c r="O396" s="14">
        <f t="shared" si="50"/>
        <v>-1296.4643759492028</v>
      </c>
      <c r="P396" s="13">
        <f t="shared" si="51"/>
        <v>-2.164463797831372E-2</v>
      </c>
      <c r="Q396" s="15">
        <f t="shared" si="52"/>
        <v>-0.89104080821250875</v>
      </c>
      <c r="R396" s="13">
        <f t="shared" si="53"/>
        <v>-2.1644637978313678E-2</v>
      </c>
      <c r="S396" s="15">
        <f t="shared" si="54"/>
        <v>35.267973231772061</v>
      </c>
      <c r="T396" s="15">
        <f t="shared" si="55"/>
        <v>40.484713516269402</v>
      </c>
    </row>
    <row r="397" spans="1:20" x14ac:dyDescent="0.3">
      <c r="A397" s="5">
        <v>42033.083333333336</v>
      </c>
      <c r="B397" s="14">
        <v>57310.1940423204</v>
      </c>
      <c r="C397" s="14">
        <v>58531.4109851865</v>
      </c>
      <c r="D397" s="6">
        <v>1392</v>
      </c>
      <c r="E397" s="1">
        <v>2015</v>
      </c>
      <c r="F397" s="1">
        <v>1</v>
      </c>
      <c r="G397" s="1" t="s">
        <v>24</v>
      </c>
      <c r="H397" s="12">
        <v>42005</v>
      </c>
      <c r="I397" s="1">
        <v>29</v>
      </c>
      <c r="J397" s="1">
        <v>5</v>
      </c>
      <c r="K397" s="1" t="s">
        <v>26</v>
      </c>
      <c r="L397" s="1" t="s">
        <v>22</v>
      </c>
      <c r="M397" s="15">
        <f t="shared" si="48"/>
        <v>41.17111640971293</v>
      </c>
      <c r="N397" s="15">
        <f t="shared" si="49"/>
        <v>42.04842743188685</v>
      </c>
      <c r="O397" s="14">
        <f t="shared" si="50"/>
        <v>-1221.2169428661</v>
      </c>
      <c r="P397" s="13">
        <f t="shared" si="51"/>
        <v>-2.1308895620983224E-2</v>
      </c>
      <c r="Q397" s="15">
        <f t="shared" si="52"/>
        <v>-0.87731102217392021</v>
      </c>
      <c r="R397" s="13">
        <f t="shared" si="53"/>
        <v>-2.1308895620983169E-2</v>
      </c>
      <c r="S397" s="15">
        <f t="shared" si="54"/>
        <v>35.267973231772061</v>
      </c>
      <c r="T397" s="15">
        <f t="shared" si="55"/>
        <v>40.570659330670487</v>
      </c>
    </row>
    <row r="398" spans="1:20" x14ac:dyDescent="0.3">
      <c r="A398" s="5">
        <v>42034.083333333336</v>
      </c>
      <c r="B398" s="14">
        <v>134540.21446573801</v>
      </c>
      <c r="C398" s="14">
        <v>137221.53747357699</v>
      </c>
      <c r="D398" s="6">
        <v>3268</v>
      </c>
      <c r="E398" s="1">
        <v>2015</v>
      </c>
      <c r="F398" s="1">
        <v>1</v>
      </c>
      <c r="G398" s="1" t="s">
        <v>24</v>
      </c>
      <c r="H398" s="12">
        <v>42005</v>
      </c>
      <c r="I398" s="1">
        <v>30</v>
      </c>
      <c r="J398" s="1">
        <v>6</v>
      </c>
      <c r="K398" s="1" t="s">
        <v>27</v>
      </c>
      <c r="L398" s="1" t="s">
        <v>22</v>
      </c>
      <c r="M398" s="15">
        <f t="shared" si="48"/>
        <v>41.168976274705635</v>
      </c>
      <c r="N398" s="15">
        <f t="shared" si="49"/>
        <v>41.989454551278151</v>
      </c>
      <c r="O398" s="14">
        <f t="shared" si="50"/>
        <v>-2681.3230078389752</v>
      </c>
      <c r="P398" s="13">
        <f t="shared" si="51"/>
        <v>-1.9929528271428468E-2</v>
      </c>
      <c r="Q398" s="15">
        <f t="shared" si="52"/>
        <v>-0.8204782765725156</v>
      </c>
      <c r="R398" s="13">
        <f t="shared" si="53"/>
        <v>-1.992952827142851E-2</v>
      </c>
      <c r="S398" s="15">
        <f t="shared" si="54"/>
        <v>35.267973231772061</v>
      </c>
      <c r="T398" s="15">
        <f t="shared" si="55"/>
        <v>40.657190323383546</v>
      </c>
    </row>
    <row r="399" spans="1:20" x14ac:dyDescent="0.3">
      <c r="A399" s="5">
        <v>42035.083333333336</v>
      </c>
      <c r="B399" s="14">
        <v>200193.61199916</v>
      </c>
      <c r="C399" s="14">
        <v>203814.73638908501</v>
      </c>
      <c r="D399" s="6">
        <v>4862</v>
      </c>
      <c r="E399" s="1">
        <v>2015</v>
      </c>
      <c r="F399" s="1">
        <v>1</v>
      </c>
      <c r="G399" s="1" t="s">
        <v>24</v>
      </c>
      <c r="H399" s="12">
        <v>42005</v>
      </c>
      <c r="I399" s="1">
        <v>31</v>
      </c>
      <c r="J399" s="1">
        <v>7</v>
      </c>
      <c r="K399" s="1" t="s">
        <v>28</v>
      </c>
      <c r="L399" s="1" t="s">
        <v>22</v>
      </c>
      <c r="M399" s="15">
        <f t="shared" si="48"/>
        <v>41.175156725454542</v>
      </c>
      <c r="N399" s="15">
        <f t="shared" si="49"/>
        <v>41.919937554316128</v>
      </c>
      <c r="O399" s="14">
        <f t="shared" si="50"/>
        <v>-3621.1243899250112</v>
      </c>
      <c r="P399" s="13">
        <f t="shared" si="51"/>
        <v>-1.8088111572412236E-2</v>
      </c>
      <c r="Q399" s="15">
        <f t="shared" si="52"/>
        <v>-0.74478082886158603</v>
      </c>
      <c r="R399" s="13">
        <f t="shared" si="53"/>
        <v>-1.8088111572412337E-2</v>
      </c>
      <c r="S399" s="15">
        <f t="shared" si="54"/>
        <v>35.267973231772061</v>
      </c>
      <c r="T399" s="15">
        <f t="shared" si="55"/>
        <v>40.742702780878581</v>
      </c>
    </row>
    <row r="400" spans="1:20" x14ac:dyDescent="0.3">
      <c r="A400" s="5">
        <v>42036.083333333336</v>
      </c>
      <c r="B400" s="14">
        <v>171469.93052966299</v>
      </c>
      <c r="C400" s="14">
        <v>174652.45798996399</v>
      </c>
      <c r="D400" s="6">
        <v>4165</v>
      </c>
      <c r="E400" s="1">
        <v>2015</v>
      </c>
      <c r="F400" s="1">
        <v>2</v>
      </c>
      <c r="G400" s="1" t="s">
        <v>30</v>
      </c>
      <c r="H400" s="12">
        <v>42036</v>
      </c>
      <c r="I400" s="1">
        <v>1</v>
      </c>
      <c r="J400" s="1">
        <v>1</v>
      </c>
      <c r="K400" s="1" t="s">
        <v>29</v>
      </c>
      <c r="L400" s="1" t="s">
        <v>22</v>
      </c>
      <c r="M400" s="15">
        <f t="shared" si="48"/>
        <v>41.16925102753013</v>
      </c>
      <c r="N400" s="15">
        <f t="shared" si="49"/>
        <v>41.93336326289652</v>
      </c>
      <c r="O400" s="14">
        <f t="shared" si="50"/>
        <v>-3182.5274603010039</v>
      </c>
      <c r="P400" s="13">
        <f t="shared" si="51"/>
        <v>-1.8560265642321765E-2</v>
      </c>
      <c r="Q400" s="15">
        <f t="shared" si="52"/>
        <v>-0.76411223536639028</v>
      </c>
      <c r="R400" s="13">
        <f t="shared" si="53"/>
        <v>-1.8560265642321834E-2</v>
      </c>
      <c r="S400" s="15">
        <f t="shared" si="54"/>
        <v>35.267973231772061</v>
      </c>
      <c r="T400" s="15">
        <f t="shared" si="55"/>
        <v>40.828279639277312</v>
      </c>
    </row>
    <row r="401" spans="1:20" x14ac:dyDescent="0.3">
      <c r="A401" s="5">
        <v>42037.083333333336</v>
      </c>
      <c r="B401" s="14">
        <v>151737.21883246501</v>
      </c>
      <c r="C401" s="14">
        <v>154148.59881302199</v>
      </c>
      <c r="D401" s="6">
        <v>3685</v>
      </c>
      <c r="E401" s="1">
        <v>2015</v>
      </c>
      <c r="F401" s="1">
        <v>2</v>
      </c>
      <c r="G401" s="1" t="s">
        <v>30</v>
      </c>
      <c r="H401" s="12">
        <v>42036</v>
      </c>
      <c r="I401" s="1">
        <v>2</v>
      </c>
      <c r="J401" s="1">
        <v>2</v>
      </c>
      <c r="K401" s="1" t="s">
        <v>21</v>
      </c>
      <c r="L401" s="1" t="s">
        <v>22</v>
      </c>
      <c r="M401" s="15">
        <f t="shared" si="48"/>
        <v>41.17699289890502</v>
      </c>
      <c r="N401" s="15">
        <f t="shared" si="49"/>
        <v>41.831370098513432</v>
      </c>
      <c r="O401" s="14">
        <f t="shared" si="50"/>
        <v>-2411.379980556987</v>
      </c>
      <c r="P401" s="13">
        <f t="shared" si="51"/>
        <v>-1.5891816122051258E-2</v>
      </c>
      <c r="Q401" s="15">
        <f t="shared" si="52"/>
        <v>-0.65437719960841179</v>
      </c>
      <c r="R401" s="13">
        <f t="shared" si="53"/>
        <v>-1.5891816122051327E-2</v>
      </c>
      <c r="S401" s="15">
        <f t="shared" si="54"/>
        <v>35.267973231772061</v>
      </c>
      <c r="T401" s="15">
        <f t="shared" si="55"/>
        <v>40.914740861726955</v>
      </c>
    </row>
    <row r="402" spans="1:20" x14ac:dyDescent="0.3">
      <c r="A402" s="5">
        <v>42038.083333333336</v>
      </c>
      <c r="B402" s="14">
        <v>102072.443405579</v>
      </c>
      <c r="C402" s="14">
        <v>103634.964229016</v>
      </c>
      <c r="D402" s="6">
        <v>2479</v>
      </c>
      <c r="E402" s="1">
        <v>2015</v>
      </c>
      <c r="F402" s="1">
        <v>2</v>
      </c>
      <c r="G402" s="1" t="s">
        <v>30</v>
      </c>
      <c r="H402" s="12">
        <v>42036</v>
      </c>
      <c r="I402" s="1">
        <v>3</v>
      </c>
      <c r="J402" s="1">
        <v>3</v>
      </c>
      <c r="K402" s="1" t="s">
        <v>23</v>
      </c>
      <c r="L402" s="1" t="s">
        <v>22</v>
      </c>
      <c r="M402" s="15">
        <f t="shared" si="48"/>
        <v>41.17484606921299</v>
      </c>
      <c r="N402" s="15">
        <f t="shared" si="49"/>
        <v>41.805148942725289</v>
      </c>
      <c r="O402" s="14">
        <f t="shared" si="50"/>
        <v>-1562.5208234369929</v>
      </c>
      <c r="P402" s="13">
        <f t="shared" si="51"/>
        <v>-1.530795943845888E-2</v>
      </c>
      <c r="Q402" s="15">
        <f t="shared" si="52"/>
        <v>-0.6303028735122993</v>
      </c>
      <c r="R402" s="13">
        <f t="shared" si="53"/>
        <v>-1.530795943845885E-2</v>
      </c>
      <c r="S402" s="15">
        <f t="shared" si="54"/>
        <v>35.267973231772061</v>
      </c>
      <c r="T402" s="15">
        <f t="shared" si="55"/>
        <v>41.00122930049924</v>
      </c>
    </row>
    <row r="403" spans="1:20" x14ac:dyDescent="0.3">
      <c r="A403" s="5">
        <v>42039.083333333336</v>
      </c>
      <c r="B403" s="14">
        <v>82514.105120030406</v>
      </c>
      <c r="C403" s="14">
        <v>83232.391367362099</v>
      </c>
      <c r="D403" s="6">
        <v>2005</v>
      </c>
      <c r="E403" s="1">
        <v>2015</v>
      </c>
      <c r="F403" s="1">
        <v>2</v>
      </c>
      <c r="G403" s="1" t="s">
        <v>30</v>
      </c>
      <c r="H403" s="12">
        <v>42036</v>
      </c>
      <c r="I403" s="1">
        <v>4</v>
      </c>
      <c r="J403" s="1">
        <v>4</v>
      </c>
      <c r="K403" s="1" t="s">
        <v>25</v>
      </c>
      <c r="L403" s="1" t="s">
        <v>22</v>
      </c>
      <c r="M403" s="15">
        <f t="shared" si="48"/>
        <v>41.154167142159807</v>
      </c>
      <c r="N403" s="15">
        <f t="shared" si="49"/>
        <v>41.512414647063395</v>
      </c>
      <c r="O403" s="14">
        <f t="shared" si="50"/>
        <v>-718.28624733169272</v>
      </c>
      <c r="P403" s="13">
        <f t="shared" si="51"/>
        <v>-8.7050116617859042E-3</v>
      </c>
      <c r="Q403" s="15">
        <f t="shared" si="52"/>
        <v>-0.35824750490358781</v>
      </c>
      <c r="R403" s="13">
        <f t="shared" si="53"/>
        <v>-8.7050116617859146E-3</v>
      </c>
      <c r="S403" s="15">
        <f t="shared" si="54"/>
        <v>35.267973231772061</v>
      </c>
      <c r="T403" s="15">
        <f t="shared" si="55"/>
        <v>41.087724210810372</v>
      </c>
    </row>
    <row r="404" spans="1:20" x14ac:dyDescent="0.3">
      <c r="A404" s="5">
        <v>42040.083333333336</v>
      </c>
      <c r="B404" s="14">
        <v>46211.332458070203</v>
      </c>
      <c r="C404" s="14">
        <v>46407.299117269002</v>
      </c>
      <c r="D404" s="6">
        <v>1122</v>
      </c>
      <c r="E404" s="1">
        <v>2015</v>
      </c>
      <c r="F404" s="1">
        <v>2</v>
      </c>
      <c r="G404" s="1" t="s">
        <v>30</v>
      </c>
      <c r="H404" s="12">
        <v>42036</v>
      </c>
      <c r="I404" s="1">
        <v>5</v>
      </c>
      <c r="J404" s="1">
        <v>5</v>
      </c>
      <c r="K404" s="1" t="s">
        <v>26</v>
      </c>
      <c r="L404" s="1" t="s">
        <v>22</v>
      </c>
      <c r="M404" s="15">
        <f t="shared" si="48"/>
        <v>41.186570818244391</v>
      </c>
      <c r="N404" s="15">
        <f t="shared" si="49"/>
        <v>41.361229159776293</v>
      </c>
      <c r="O404" s="14">
        <f t="shared" si="50"/>
        <v>-195.96665919879888</v>
      </c>
      <c r="P404" s="13">
        <f t="shared" si="51"/>
        <v>-4.2406623824709881E-3</v>
      </c>
      <c r="Q404" s="15">
        <f t="shared" si="52"/>
        <v>-0.17465834153190229</v>
      </c>
      <c r="R404" s="13">
        <f t="shared" si="53"/>
        <v>-4.2406623824708901E-3</v>
      </c>
      <c r="S404" s="15">
        <f t="shared" si="54"/>
        <v>35.267973231772061</v>
      </c>
      <c r="T404" s="15">
        <f t="shared" si="55"/>
        <v>41.174501589677973</v>
      </c>
    </row>
    <row r="405" spans="1:20" x14ac:dyDescent="0.3">
      <c r="A405" s="5">
        <v>42041.083333333336</v>
      </c>
      <c r="B405" s="14">
        <v>85730.414810460104</v>
      </c>
      <c r="C405" s="14">
        <v>85765.709336061598</v>
      </c>
      <c r="D405" s="6">
        <v>2082</v>
      </c>
      <c r="E405" s="1">
        <v>2015</v>
      </c>
      <c r="F405" s="1">
        <v>2</v>
      </c>
      <c r="G405" s="1" t="s">
        <v>30</v>
      </c>
      <c r="H405" s="12">
        <v>42036</v>
      </c>
      <c r="I405" s="1">
        <v>6</v>
      </c>
      <c r="J405" s="1">
        <v>6</v>
      </c>
      <c r="K405" s="1" t="s">
        <v>27</v>
      </c>
      <c r="L405" s="1" t="s">
        <v>22</v>
      </c>
      <c r="M405" s="15">
        <f t="shared" si="48"/>
        <v>41.176952358530308</v>
      </c>
      <c r="N405" s="15">
        <f t="shared" si="49"/>
        <v>41.193904580240918</v>
      </c>
      <c r="O405" s="14">
        <f t="shared" si="50"/>
        <v>-35.29452560149366</v>
      </c>
      <c r="P405" s="13">
        <f t="shared" si="51"/>
        <v>-4.1169199611976355E-4</v>
      </c>
      <c r="Q405" s="15">
        <f t="shared" si="52"/>
        <v>-1.6952221710610615E-2</v>
      </c>
      <c r="R405" s="13">
        <f t="shared" si="53"/>
        <v>-4.1169199611973607E-4</v>
      </c>
      <c r="S405" s="15">
        <f t="shared" si="54"/>
        <v>35.267973231772061</v>
      </c>
      <c r="T405" s="15">
        <f t="shared" si="55"/>
        <v>41.174517470384757</v>
      </c>
    </row>
    <row r="406" spans="1:20" x14ac:dyDescent="0.3">
      <c r="A406" s="5">
        <v>42042.083333333336</v>
      </c>
      <c r="B406" s="14">
        <v>105918.293290608</v>
      </c>
      <c r="C406" s="14">
        <v>105662.5562409</v>
      </c>
      <c r="D406" s="6">
        <v>2573</v>
      </c>
      <c r="E406" s="1">
        <v>2015</v>
      </c>
      <c r="F406" s="1">
        <v>2</v>
      </c>
      <c r="G406" s="1" t="s">
        <v>30</v>
      </c>
      <c r="H406" s="12">
        <v>42036</v>
      </c>
      <c r="I406" s="1">
        <v>7</v>
      </c>
      <c r="J406" s="1">
        <v>7</v>
      </c>
      <c r="K406" s="1" t="s">
        <v>28</v>
      </c>
      <c r="L406" s="1" t="s">
        <v>22</v>
      </c>
      <c r="M406" s="15">
        <f t="shared" si="48"/>
        <v>41.165290824177227</v>
      </c>
      <c r="N406" s="15">
        <f t="shared" si="49"/>
        <v>41.065898266964631</v>
      </c>
      <c r="O406" s="14">
        <f t="shared" si="50"/>
        <v>255.73704970799736</v>
      </c>
      <c r="P406" s="13">
        <f t="shared" si="51"/>
        <v>2.4144747971564426E-3</v>
      </c>
      <c r="Q406" s="15">
        <f t="shared" si="52"/>
        <v>9.9392557212595989E-2</v>
      </c>
      <c r="R406" s="13">
        <f t="shared" si="53"/>
        <v>2.4144747971565571E-3</v>
      </c>
      <c r="S406" s="15">
        <f t="shared" si="54"/>
        <v>35.267973231772061</v>
      </c>
      <c r="T406" s="15">
        <f t="shared" si="55"/>
        <v>41.174552872077427</v>
      </c>
    </row>
    <row r="407" spans="1:20" x14ac:dyDescent="0.3">
      <c r="A407" s="5">
        <v>42043.083333333336</v>
      </c>
      <c r="B407" s="14">
        <v>73041.660871220505</v>
      </c>
      <c r="C407" s="14">
        <v>73046.233899676794</v>
      </c>
      <c r="D407" s="6">
        <v>1774</v>
      </c>
      <c r="E407" s="1">
        <v>2015</v>
      </c>
      <c r="F407" s="1">
        <v>2</v>
      </c>
      <c r="G407" s="1" t="s">
        <v>30</v>
      </c>
      <c r="H407" s="12">
        <v>42036</v>
      </c>
      <c r="I407" s="1">
        <v>8</v>
      </c>
      <c r="J407" s="1">
        <v>1</v>
      </c>
      <c r="K407" s="1" t="s">
        <v>29</v>
      </c>
      <c r="L407" s="1" t="s">
        <v>22</v>
      </c>
      <c r="M407" s="15">
        <f t="shared" si="48"/>
        <v>41.17342777408146</v>
      </c>
      <c r="N407" s="15">
        <f t="shared" si="49"/>
        <v>41.176005580426605</v>
      </c>
      <c r="O407" s="14">
        <f t="shared" si="50"/>
        <v>-4.5730284562887391</v>
      </c>
      <c r="P407" s="13">
        <f t="shared" si="51"/>
        <v>-6.2608494956753921E-5</v>
      </c>
      <c r="Q407" s="15">
        <f t="shared" si="52"/>
        <v>-2.5778063451440403E-3</v>
      </c>
      <c r="R407" s="13">
        <f t="shared" si="53"/>
        <v>-6.2608494956709943E-5</v>
      </c>
      <c r="S407" s="15">
        <f t="shared" si="54"/>
        <v>35.267973231772061</v>
      </c>
      <c r="T407" s="15">
        <f t="shared" si="55"/>
        <v>41.174445190203521</v>
      </c>
    </row>
    <row r="408" spans="1:20" x14ac:dyDescent="0.3">
      <c r="A408" s="5">
        <v>42044.083333333336</v>
      </c>
      <c r="B408" s="14">
        <v>97908.5470960987</v>
      </c>
      <c r="C408" s="14">
        <v>97097.936590193101</v>
      </c>
      <c r="D408" s="6">
        <v>2378</v>
      </c>
      <c r="E408" s="1">
        <v>2015</v>
      </c>
      <c r="F408" s="1">
        <v>2</v>
      </c>
      <c r="G408" s="1" t="s">
        <v>30</v>
      </c>
      <c r="H408" s="12">
        <v>42036</v>
      </c>
      <c r="I408" s="1">
        <v>9</v>
      </c>
      <c r="J408" s="1">
        <v>2</v>
      </c>
      <c r="K408" s="1" t="s">
        <v>21</v>
      </c>
      <c r="L408" s="1" t="s">
        <v>22</v>
      </c>
      <c r="M408" s="15">
        <f t="shared" si="48"/>
        <v>41.172643858746298</v>
      </c>
      <c r="N408" s="15">
        <f t="shared" si="49"/>
        <v>40.831764756178764</v>
      </c>
      <c r="O408" s="14">
        <f t="shared" si="50"/>
        <v>810.61050590559898</v>
      </c>
      <c r="P408" s="13">
        <f t="shared" si="51"/>
        <v>8.279261922965445E-3</v>
      </c>
      <c r="Q408" s="15">
        <f t="shared" si="52"/>
        <v>0.34087910256753418</v>
      </c>
      <c r="R408" s="13">
        <f t="shared" si="53"/>
        <v>8.2792619229654172E-3</v>
      </c>
      <c r="S408" s="15">
        <f t="shared" si="54"/>
        <v>35.267973231772061</v>
      </c>
      <c r="T408" s="15">
        <f t="shared" si="55"/>
        <v>41.174365241592241</v>
      </c>
    </row>
    <row r="409" spans="1:20" x14ac:dyDescent="0.3">
      <c r="A409" s="5">
        <v>42045.083333333336</v>
      </c>
      <c r="B409" s="14">
        <v>138667.41591113599</v>
      </c>
      <c r="C409" s="14">
        <v>148522.84902041999</v>
      </c>
      <c r="D409" s="6">
        <v>3677</v>
      </c>
      <c r="E409" s="1">
        <v>2015</v>
      </c>
      <c r="F409" s="1">
        <v>2</v>
      </c>
      <c r="G409" s="1" t="s">
        <v>30</v>
      </c>
      <c r="H409" s="12">
        <v>42036</v>
      </c>
      <c r="I409" s="1">
        <v>10</v>
      </c>
      <c r="J409" s="1">
        <v>3</v>
      </c>
      <c r="K409" s="1" t="s">
        <v>23</v>
      </c>
      <c r="L409" s="1" t="s">
        <v>22</v>
      </c>
      <c r="M409" s="15">
        <f t="shared" si="48"/>
        <v>37.712106584480821</v>
      </c>
      <c r="N409" s="15">
        <f t="shared" si="49"/>
        <v>40.392398428180577</v>
      </c>
      <c r="O409" s="14">
        <f t="shared" si="50"/>
        <v>-9855.4331092840002</v>
      </c>
      <c r="P409" s="13">
        <f t="shared" si="51"/>
        <v>-7.1072450903677212E-2</v>
      </c>
      <c r="Q409" s="15">
        <f t="shared" si="52"/>
        <v>-2.6802918436997558</v>
      </c>
      <c r="R409" s="13">
        <f t="shared" si="53"/>
        <v>-7.1072450903677226E-2</v>
      </c>
      <c r="S409" s="15">
        <f t="shared" si="54"/>
        <v>35.267973231772061</v>
      </c>
      <c r="T409" s="15">
        <f t="shared" si="55"/>
        <v>41.058706322034894</v>
      </c>
    </row>
    <row r="410" spans="1:20" x14ac:dyDescent="0.3">
      <c r="A410" s="5">
        <v>42046.083333333336</v>
      </c>
      <c r="B410" s="14">
        <v>162162.103518324</v>
      </c>
      <c r="C410" s="14">
        <v>173661.82783508601</v>
      </c>
      <c r="D410" s="6">
        <v>4299</v>
      </c>
      <c r="E410" s="1">
        <v>2015</v>
      </c>
      <c r="F410" s="1">
        <v>2</v>
      </c>
      <c r="G410" s="1" t="s">
        <v>30</v>
      </c>
      <c r="H410" s="12">
        <v>42036</v>
      </c>
      <c r="I410" s="1">
        <v>11</v>
      </c>
      <c r="J410" s="1">
        <v>4</v>
      </c>
      <c r="K410" s="1" t="s">
        <v>25</v>
      </c>
      <c r="L410" s="1" t="s">
        <v>22</v>
      </c>
      <c r="M410" s="15">
        <f t="shared" si="48"/>
        <v>37.720889397144454</v>
      </c>
      <c r="N410" s="15">
        <f t="shared" si="49"/>
        <v>40.395865976991395</v>
      </c>
      <c r="O410" s="14">
        <f t="shared" si="50"/>
        <v>-11499.724316762004</v>
      </c>
      <c r="P410" s="13">
        <f t="shared" si="51"/>
        <v>-7.0914992265517549E-2</v>
      </c>
      <c r="Q410" s="15">
        <f t="shared" si="52"/>
        <v>-2.6749765798469411</v>
      </c>
      <c r="R410" s="13">
        <f t="shared" si="53"/>
        <v>-7.0914992265517535E-2</v>
      </c>
      <c r="S410" s="15">
        <f t="shared" si="54"/>
        <v>35.267973231772061</v>
      </c>
      <c r="T410" s="15">
        <f t="shared" si="55"/>
        <v>40.943566962917039</v>
      </c>
    </row>
    <row r="411" spans="1:20" x14ac:dyDescent="0.3">
      <c r="A411" s="5">
        <v>42047.083333333336</v>
      </c>
      <c r="B411" s="14">
        <v>138520.12680392599</v>
      </c>
      <c r="C411" s="14">
        <v>147756.34279381501</v>
      </c>
      <c r="D411" s="6">
        <v>3674</v>
      </c>
      <c r="E411" s="1">
        <v>2015</v>
      </c>
      <c r="F411" s="1">
        <v>2</v>
      </c>
      <c r="G411" s="1" t="s">
        <v>30</v>
      </c>
      <c r="H411" s="12">
        <v>42036</v>
      </c>
      <c r="I411" s="1">
        <v>12</v>
      </c>
      <c r="J411" s="1">
        <v>5</v>
      </c>
      <c r="K411" s="1" t="s">
        <v>26</v>
      </c>
      <c r="L411" s="1" t="s">
        <v>22</v>
      </c>
      <c r="M411" s="15">
        <f t="shared" si="48"/>
        <v>37.702810779511701</v>
      </c>
      <c r="N411" s="15">
        <f t="shared" si="49"/>
        <v>40.216750896520146</v>
      </c>
      <c r="O411" s="14">
        <f t="shared" si="50"/>
        <v>-9236.2159898890241</v>
      </c>
      <c r="P411" s="13">
        <f t="shared" si="51"/>
        <v>-6.6677790462629352E-2</v>
      </c>
      <c r="Q411" s="15">
        <f t="shared" si="52"/>
        <v>-2.5139401170084454</v>
      </c>
      <c r="R411" s="13">
        <f t="shared" si="53"/>
        <v>-6.667779046262938E-2</v>
      </c>
      <c r="S411" s="15">
        <f t="shared" si="54"/>
        <v>35.267973231772061</v>
      </c>
      <c r="T411" s="15">
        <f t="shared" si="55"/>
        <v>40.827631523122832</v>
      </c>
    </row>
    <row r="412" spans="1:20" x14ac:dyDescent="0.3">
      <c r="A412" s="5">
        <v>42048.083333333336</v>
      </c>
      <c r="B412" s="14">
        <v>358597.42850915802</v>
      </c>
      <c r="C412" s="14">
        <v>382447.08041708497</v>
      </c>
      <c r="D412" s="6">
        <v>9505</v>
      </c>
      <c r="E412" s="1">
        <v>2015</v>
      </c>
      <c r="F412" s="1">
        <v>2</v>
      </c>
      <c r="G412" s="1" t="s">
        <v>30</v>
      </c>
      <c r="H412" s="12">
        <v>42036</v>
      </c>
      <c r="I412" s="1">
        <v>13</v>
      </c>
      <c r="J412" s="1">
        <v>6</v>
      </c>
      <c r="K412" s="1" t="s">
        <v>27</v>
      </c>
      <c r="L412" s="1" t="s">
        <v>22</v>
      </c>
      <c r="M412" s="15">
        <f t="shared" si="48"/>
        <v>37.727241295019255</v>
      </c>
      <c r="N412" s="15">
        <f t="shared" si="49"/>
        <v>40.236410354243553</v>
      </c>
      <c r="O412" s="14">
        <f t="shared" si="50"/>
        <v>-23849.651907926949</v>
      </c>
      <c r="P412" s="13">
        <f t="shared" si="51"/>
        <v>-6.650815095657571E-2</v>
      </c>
      <c r="Q412" s="15">
        <f t="shared" si="52"/>
        <v>-2.5091690592242983</v>
      </c>
      <c r="R412" s="13">
        <f t="shared" si="53"/>
        <v>-6.6508150956575737E-2</v>
      </c>
      <c r="S412" s="15">
        <f t="shared" si="54"/>
        <v>35.267973231772061</v>
      </c>
      <c r="T412" s="15">
        <f t="shared" si="55"/>
        <v>40.712375757368513</v>
      </c>
    </row>
    <row r="413" spans="1:20" x14ac:dyDescent="0.3">
      <c r="A413" s="5">
        <v>42049.083333333336</v>
      </c>
      <c r="B413" s="14">
        <v>424009.88251706102</v>
      </c>
      <c r="C413" s="14">
        <v>451548.027559624</v>
      </c>
      <c r="D413" s="6">
        <v>11237</v>
      </c>
      <c r="E413" s="1">
        <v>2015</v>
      </c>
      <c r="F413" s="1">
        <v>2</v>
      </c>
      <c r="G413" s="1" t="s">
        <v>30</v>
      </c>
      <c r="H413" s="12">
        <v>42036</v>
      </c>
      <c r="I413" s="1">
        <v>14</v>
      </c>
      <c r="J413" s="1">
        <v>7</v>
      </c>
      <c r="K413" s="1" t="s">
        <v>28</v>
      </c>
      <c r="L413" s="1" t="s">
        <v>22</v>
      </c>
      <c r="M413" s="15">
        <f t="shared" si="48"/>
        <v>37.733370340576755</v>
      </c>
      <c r="N413" s="15">
        <f t="shared" si="49"/>
        <v>40.184037337334161</v>
      </c>
      <c r="O413" s="14">
        <f t="shared" si="50"/>
        <v>-27538.145042562974</v>
      </c>
      <c r="P413" s="13">
        <f t="shared" si="51"/>
        <v>-6.4946941517229642E-2</v>
      </c>
      <c r="Q413" s="15">
        <f t="shared" si="52"/>
        <v>-2.4506669967574055</v>
      </c>
      <c r="R413" s="13">
        <f t="shared" si="53"/>
        <v>-6.4946941517229628E-2</v>
      </c>
      <c r="S413" s="15">
        <f t="shared" si="54"/>
        <v>35.267973231772061</v>
      </c>
      <c r="T413" s="15">
        <f t="shared" si="55"/>
        <v>40.597939655798449</v>
      </c>
    </row>
    <row r="414" spans="1:20" x14ac:dyDescent="0.3">
      <c r="A414" s="5">
        <v>42050.083333333336</v>
      </c>
      <c r="B414" s="14">
        <v>203861.47237812501</v>
      </c>
      <c r="C414" s="14">
        <v>217065.615160827</v>
      </c>
      <c r="D414" s="6">
        <v>5406</v>
      </c>
      <c r="E414" s="1">
        <v>2015</v>
      </c>
      <c r="F414" s="1">
        <v>2</v>
      </c>
      <c r="G414" s="1" t="s">
        <v>30</v>
      </c>
      <c r="H414" s="12">
        <v>42036</v>
      </c>
      <c r="I414" s="1">
        <v>15</v>
      </c>
      <c r="J414" s="1">
        <v>1</v>
      </c>
      <c r="K414" s="1" t="s">
        <v>29</v>
      </c>
      <c r="L414" s="1" t="s">
        <v>22</v>
      </c>
      <c r="M414" s="15">
        <f t="shared" si="48"/>
        <v>37.710224265283948</v>
      </c>
      <c r="N414" s="15">
        <f t="shared" si="49"/>
        <v>40.152722005332407</v>
      </c>
      <c r="O414" s="14">
        <f t="shared" si="50"/>
        <v>-13204.142782701994</v>
      </c>
      <c r="P414" s="13">
        <f t="shared" si="51"/>
        <v>-6.4770172748535693E-2</v>
      </c>
      <c r="Q414" s="15">
        <f t="shared" si="52"/>
        <v>-2.4424977400484593</v>
      </c>
      <c r="R414" s="13">
        <f t="shared" si="53"/>
        <v>-6.4770172748535568E-2</v>
      </c>
      <c r="S414" s="15">
        <f t="shared" si="54"/>
        <v>35.267973231772061</v>
      </c>
      <c r="T414" s="15">
        <f t="shared" si="55"/>
        <v>40.482263593258367</v>
      </c>
    </row>
    <row r="415" spans="1:20" x14ac:dyDescent="0.3">
      <c r="A415" s="5">
        <v>42051.083333333336</v>
      </c>
      <c r="B415" s="14">
        <v>220506.20933281499</v>
      </c>
      <c r="C415" s="14">
        <v>234723.220045322</v>
      </c>
      <c r="D415" s="6">
        <v>5846</v>
      </c>
      <c r="E415" s="1">
        <v>2015</v>
      </c>
      <c r="F415" s="1">
        <v>2</v>
      </c>
      <c r="G415" s="1" t="s">
        <v>30</v>
      </c>
      <c r="H415" s="12">
        <v>42036</v>
      </c>
      <c r="I415" s="1">
        <v>16</v>
      </c>
      <c r="J415" s="1">
        <v>2</v>
      </c>
      <c r="K415" s="1" t="s">
        <v>21</v>
      </c>
      <c r="L415" s="1" t="s">
        <v>22</v>
      </c>
      <c r="M415" s="15">
        <f t="shared" si="48"/>
        <v>37.719159995349813</v>
      </c>
      <c r="N415" s="15">
        <f t="shared" si="49"/>
        <v>40.151081088833735</v>
      </c>
      <c r="O415" s="14">
        <f t="shared" si="50"/>
        <v>-14217.010712507006</v>
      </c>
      <c r="P415" s="13">
        <f t="shared" si="51"/>
        <v>-6.4474423443781362E-2</v>
      </c>
      <c r="Q415" s="15">
        <f t="shared" si="52"/>
        <v>-2.4319210934839219</v>
      </c>
      <c r="R415" s="13">
        <f t="shared" si="53"/>
        <v>-6.4474423443781362E-2</v>
      </c>
      <c r="S415" s="15">
        <f t="shared" si="54"/>
        <v>35.267973231772061</v>
      </c>
      <c r="T415" s="15">
        <f t="shared" si="55"/>
        <v>40.367110110993536</v>
      </c>
    </row>
    <row r="416" spans="1:20" x14ac:dyDescent="0.3">
      <c r="A416" s="5">
        <v>42052.083333333336</v>
      </c>
      <c r="B416" s="14">
        <v>139935.93697634499</v>
      </c>
      <c r="C416" s="14">
        <v>148697.54369599</v>
      </c>
      <c r="D416" s="6">
        <v>3713</v>
      </c>
      <c r="E416" s="1">
        <v>2015</v>
      </c>
      <c r="F416" s="1">
        <v>2</v>
      </c>
      <c r="G416" s="1" t="s">
        <v>30</v>
      </c>
      <c r="H416" s="12">
        <v>42036</v>
      </c>
      <c r="I416" s="1">
        <v>17</v>
      </c>
      <c r="J416" s="1">
        <v>3</v>
      </c>
      <c r="K416" s="1" t="s">
        <v>23</v>
      </c>
      <c r="L416" s="1" t="s">
        <v>22</v>
      </c>
      <c r="M416" s="15">
        <f t="shared" si="48"/>
        <v>37.688105837959867</v>
      </c>
      <c r="N416" s="15">
        <f t="shared" si="49"/>
        <v>40.047816777805011</v>
      </c>
      <c r="O416" s="14">
        <f t="shared" si="50"/>
        <v>-8761.6067196450022</v>
      </c>
      <c r="P416" s="13">
        <f t="shared" si="51"/>
        <v>-6.2611555751587097E-2</v>
      </c>
      <c r="Q416" s="15">
        <f t="shared" si="52"/>
        <v>-2.3597109398451437</v>
      </c>
      <c r="R416" s="13">
        <f t="shared" si="53"/>
        <v>-6.2611555751587208E-2</v>
      </c>
      <c r="S416" s="15">
        <f t="shared" si="54"/>
        <v>35.267973231772061</v>
      </c>
      <c r="T416" s="15">
        <f t="shared" si="55"/>
        <v>40.250666198167771</v>
      </c>
    </row>
    <row r="417" spans="1:20" x14ac:dyDescent="0.3">
      <c r="A417" s="5">
        <v>42053.083333333336</v>
      </c>
      <c r="B417" s="14">
        <v>161064.75234488401</v>
      </c>
      <c r="C417" s="14">
        <v>170739.366623168</v>
      </c>
      <c r="D417" s="6">
        <v>4270</v>
      </c>
      <c r="E417" s="1">
        <v>2015</v>
      </c>
      <c r="F417" s="1">
        <v>2</v>
      </c>
      <c r="G417" s="1" t="s">
        <v>30</v>
      </c>
      <c r="H417" s="12">
        <v>42036</v>
      </c>
      <c r="I417" s="1">
        <v>18</v>
      </c>
      <c r="J417" s="1">
        <v>4</v>
      </c>
      <c r="K417" s="1" t="s">
        <v>25</v>
      </c>
      <c r="L417" s="1" t="s">
        <v>22</v>
      </c>
      <c r="M417" s="15">
        <f t="shared" si="48"/>
        <v>37.720082516366276</v>
      </c>
      <c r="N417" s="15">
        <f t="shared" si="49"/>
        <v>39.985800145940985</v>
      </c>
      <c r="O417" s="14">
        <f t="shared" si="50"/>
        <v>-9674.6142782839888</v>
      </c>
      <c r="P417" s="13">
        <f t="shared" si="51"/>
        <v>-6.0066613814846181E-2</v>
      </c>
      <c r="Q417" s="15">
        <f t="shared" si="52"/>
        <v>-2.2657176295747092</v>
      </c>
      <c r="R417" s="13">
        <f t="shared" si="53"/>
        <v>-6.0066613814846306E-2</v>
      </c>
      <c r="S417" s="15">
        <f t="shared" si="54"/>
        <v>35.267973231772061</v>
      </c>
      <c r="T417" s="15">
        <f t="shared" si="55"/>
        <v>40.135318234513676</v>
      </c>
    </row>
    <row r="418" spans="1:20" x14ac:dyDescent="0.3">
      <c r="A418" s="5">
        <v>42054.083333333336</v>
      </c>
      <c r="B418" s="14">
        <v>144328.54518998499</v>
      </c>
      <c r="C418" s="14">
        <v>152824.11489840501</v>
      </c>
      <c r="D418" s="6">
        <v>3827</v>
      </c>
      <c r="E418" s="1">
        <v>2015</v>
      </c>
      <c r="F418" s="1">
        <v>2</v>
      </c>
      <c r="G418" s="1" t="s">
        <v>30</v>
      </c>
      <c r="H418" s="12">
        <v>42036</v>
      </c>
      <c r="I418" s="1">
        <v>19</v>
      </c>
      <c r="J418" s="1">
        <v>5</v>
      </c>
      <c r="K418" s="1" t="s">
        <v>26</v>
      </c>
      <c r="L418" s="1" t="s">
        <v>22</v>
      </c>
      <c r="M418" s="15">
        <f t="shared" si="48"/>
        <v>37.713233652987974</v>
      </c>
      <c r="N418" s="15">
        <f t="shared" si="49"/>
        <v>39.933136895324019</v>
      </c>
      <c r="O418" s="14">
        <f t="shared" si="50"/>
        <v>-8495.5697084200219</v>
      </c>
      <c r="P418" s="13">
        <f t="shared" si="51"/>
        <v>-5.8862712828131054E-2</v>
      </c>
      <c r="Q418" s="15">
        <f t="shared" si="52"/>
        <v>-2.219903242336045</v>
      </c>
      <c r="R418" s="13">
        <f t="shared" si="53"/>
        <v>-5.8862712828131214E-2</v>
      </c>
      <c r="S418" s="15">
        <f t="shared" si="54"/>
        <v>35.267973231772061</v>
      </c>
      <c r="T418" s="15">
        <f t="shared" si="55"/>
        <v>40.019996045379571</v>
      </c>
    </row>
    <row r="419" spans="1:20" x14ac:dyDescent="0.3">
      <c r="A419" s="5">
        <v>42055.083333333336</v>
      </c>
      <c r="B419" s="14">
        <v>293071.75919640303</v>
      </c>
      <c r="C419" s="14">
        <v>310240.37839534099</v>
      </c>
      <c r="D419" s="6">
        <v>7770</v>
      </c>
      <c r="E419" s="1">
        <v>2015</v>
      </c>
      <c r="F419" s="1">
        <v>2</v>
      </c>
      <c r="G419" s="1" t="s">
        <v>30</v>
      </c>
      <c r="H419" s="12">
        <v>42036</v>
      </c>
      <c r="I419" s="1">
        <v>20</v>
      </c>
      <c r="J419" s="1">
        <v>6</v>
      </c>
      <c r="K419" s="1" t="s">
        <v>27</v>
      </c>
      <c r="L419" s="1" t="s">
        <v>22</v>
      </c>
      <c r="M419" s="15">
        <f t="shared" si="48"/>
        <v>37.718373126950198</v>
      </c>
      <c r="N419" s="15">
        <f t="shared" si="49"/>
        <v>39.927976627457014</v>
      </c>
      <c r="O419" s="14">
        <f t="shared" si="50"/>
        <v>-17168.619198937959</v>
      </c>
      <c r="P419" s="13">
        <f t="shared" si="51"/>
        <v>-5.8581622623803717E-2</v>
      </c>
      <c r="Q419" s="15">
        <f t="shared" si="52"/>
        <v>-2.209603500506816</v>
      </c>
      <c r="R419" s="13">
        <f t="shared" si="53"/>
        <v>-5.8581622623803724E-2</v>
      </c>
      <c r="S419" s="15">
        <f t="shared" si="54"/>
        <v>35.267973231772061</v>
      </c>
      <c r="T419" s="15">
        <f t="shared" si="55"/>
        <v>39.904685441503695</v>
      </c>
    </row>
    <row r="420" spans="1:20" x14ac:dyDescent="0.3">
      <c r="A420" s="5">
        <v>42056.083333333336</v>
      </c>
      <c r="B420" s="14">
        <v>267782.15396190801</v>
      </c>
      <c r="C420" s="14">
        <v>283430.33683376299</v>
      </c>
      <c r="D420" s="6">
        <v>7102</v>
      </c>
      <c r="E420" s="1">
        <v>2015</v>
      </c>
      <c r="F420" s="1">
        <v>2</v>
      </c>
      <c r="G420" s="1" t="s">
        <v>30</v>
      </c>
      <c r="H420" s="12">
        <v>42036</v>
      </c>
      <c r="I420" s="1">
        <v>21</v>
      </c>
      <c r="J420" s="1">
        <v>7</v>
      </c>
      <c r="K420" s="1" t="s">
        <v>28</v>
      </c>
      <c r="L420" s="1" t="s">
        <v>22</v>
      </c>
      <c r="M420" s="15">
        <f t="shared" si="48"/>
        <v>37.70517515656266</v>
      </c>
      <c r="N420" s="15">
        <f t="shared" si="49"/>
        <v>39.908523913512106</v>
      </c>
      <c r="O420" s="14">
        <f t="shared" si="50"/>
        <v>-15648.18287185498</v>
      </c>
      <c r="P420" s="13">
        <f t="shared" si="51"/>
        <v>-5.8436242446839579E-2</v>
      </c>
      <c r="Q420" s="15">
        <f t="shared" si="52"/>
        <v>-2.2033487569494454</v>
      </c>
      <c r="R420" s="13">
        <f t="shared" si="53"/>
        <v>-5.8436242446839509E-2</v>
      </c>
      <c r="S420" s="15">
        <f t="shared" si="54"/>
        <v>35.267973231772061</v>
      </c>
      <c r="T420" s="15">
        <f t="shared" si="55"/>
        <v>39.788773173061557</v>
      </c>
    </row>
    <row r="421" spans="1:20" x14ac:dyDescent="0.3">
      <c r="A421" s="5">
        <v>42057.083333333336</v>
      </c>
      <c r="B421" s="14">
        <v>136052.68842362499</v>
      </c>
      <c r="C421" s="14">
        <v>144020.12275974001</v>
      </c>
      <c r="D421" s="6">
        <v>3608</v>
      </c>
      <c r="E421" s="1">
        <v>2015</v>
      </c>
      <c r="F421" s="1">
        <v>2</v>
      </c>
      <c r="G421" s="1" t="s">
        <v>30</v>
      </c>
      <c r="H421" s="12">
        <v>42036</v>
      </c>
      <c r="I421" s="1">
        <v>22</v>
      </c>
      <c r="J421" s="1">
        <v>1</v>
      </c>
      <c r="K421" s="1" t="s">
        <v>29</v>
      </c>
      <c r="L421" s="1" t="s">
        <v>22</v>
      </c>
      <c r="M421" s="15">
        <f t="shared" si="48"/>
        <v>37.708616525394952</v>
      </c>
      <c r="N421" s="15">
        <f t="shared" si="49"/>
        <v>39.916885465559872</v>
      </c>
      <c r="O421" s="14">
        <f t="shared" si="50"/>
        <v>-7967.4343361150241</v>
      </c>
      <c r="P421" s="13">
        <f t="shared" si="51"/>
        <v>-5.8561388447591393E-2</v>
      </c>
      <c r="Q421" s="15">
        <f t="shared" si="52"/>
        <v>-2.2082689401649205</v>
      </c>
      <c r="R421" s="13">
        <f t="shared" si="53"/>
        <v>-5.8561388447591463E-2</v>
      </c>
      <c r="S421" s="15">
        <f t="shared" si="54"/>
        <v>35.267973231772061</v>
      </c>
      <c r="T421" s="15">
        <f t="shared" si="55"/>
        <v>39.673436304861347</v>
      </c>
    </row>
    <row r="422" spans="1:20" x14ac:dyDescent="0.3">
      <c r="A422" s="5">
        <v>42058.083333333336</v>
      </c>
      <c r="B422" s="14">
        <v>86703.314090379194</v>
      </c>
      <c r="C422" s="14">
        <v>85730.966539282701</v>
      </c>
      <c r="D422" s="6">
        <v>2150</v>
      </c>
      <c r="E422" s="1">
        <v>2015</v>
      </c>
      <c r="F422" s="1">
        <v>2</v>
      </c>
      <c r="G422" s="1" t="s">
        <v>30</v>
      </c>
      <c r="H422" s="12">
        <v>42036</v>
      </c>
      <c r="I422" s="1">
        <v>23</v>
      </c>
      <c r="J422" s="1">
        <v>2</v>
      </c>
      <c r="K422" s="1" t="s">
        <v>21</v>
      </c>
      <c r="L422" s="1" t="s">
        <v>22</v>
      </c>
      <c r="M422" s="15">
        <f t="shared" si="48"/>
        <v>40.32712283273451</v>
      </c>
      <c r="N422" s="15">
        <f t="shared" si="49"/>
        <v>39.874868157805906</v>
      </c>
      <c r="O422" s="14">
        <f t="shared" si="50"/>
        <v>972.34755109649268</v>
      </c>
      <c r="P422" s="13">
        <f t="shared" si="51"/>
        <v>1.1214652649642913E-2</v>
      </c>
      <c r="Q422" s="15">
        <f t="shared" si="52"/>
        <v>0.45225467492860361</v>
      </c>
      <c r="R422" s="13">
        <f t="shared" si="53"/>
        <v>1.121465264964297E-2</v>
      </c>
      <c r="S422" s="15">
        <f t="shared" si="54"/>
        <v>35.267973231772061</v>
      </c>
      <c r="T422" s="15">
        <f t="shared" si="55"/>
        <v>39.645238750990409</v>
      </c>
    </row>
    <row r="423" spans="1:20" x14ac:dyDescent="0.3">
      <c r="A423" s="5">
        <v>42059.083333333336</v>
      </c>
      <c r="B423" s="14">
        <v>95474.357369099598</v>
      </c>
      <c r="C423" s="14">
        <v>100867.524060756</v>
      </c>
      <c r="D423" s="6">
        <v>2530</v>
      </c>
      <c r="E423" s="1">
        <v>2015</v>
      </c>
      <c r="F423" s="1">
        <v>2</v>
      </c>
      <c r="G423" s="1" t="s">
        <v>30</v>
      </c>
      <c r="H423" s="12">
        <v>42036</v>
      </c>
      <c r="I423" s="1">
        <v>24</v>
      </c>
      <c r="J423" s="1">
        <v>3</v>
      </c>
      <c r="K423" s="1" t="s">
        <v>23</v>
      </c>
      <c r="L423" s="1" t="s">
        <v>22</v>
      </c>
      <c r="M423" s="15">
        <f t="shared" si="48"/>
        <v>37.736900145889166</v>
      </c>
      <c r="N423" s="15">
        <f t="shared" si="49"/>
        <v>39.868586585279047</v>
      </c>
      <c r="O423" s="14">
        <f t="shared" si="50"/>
        <v>-5393.1666916563991</v>
      </c>
      <c r="P423" s="13">
        <f t="shared" si="51"/>
        <v>-5.6488117231380336E-2</v>
      </c>
      <c r="Q423" s="15">
        <f t="shared" si="52"/>
        <v>-2.1316864393898811</v>
      </c>
      <c r="R423" s="13">
        <f t="shared" si="53"/>
        <v>-5.6488117231380343E-2</v>
      </c>
      <c r="S423" s="15">
        <f t="shared" si="54"/>
        <v>35.267973231772061</v>
      </c>
      <c r="T423" s="15">
        <f t="shared" si="55"/>
        <v>39.530928834538493</v>
      </c>
    </row>
    <row r="424" spans="1:20" x14ac:dyDescent="0.3">
      <c r="A424" s="5">
        <v>42060.083333333336</v>
      </c>
      <c r="B424" s="14">
        <v>198431.627526981</v>
      </c>
      <c r="C424" s="14">
        <v>209499.79410912099</v>
      </c>
      <c r="D424" s="6">
        <v>5253</v>
      </c>
      <c r="E424" s="1">
        <v>2015</v>
      </c>
      <c r="F424" s="1">
        <v>2</v>
      </c>
      <c r="G424" s="1" t="s">
        <v>30</v>
      </c>
      <c r="H424" s="12">
        <v>42036</v>
      </c>
      <c r="I424" s="1">
        <v>25</v>
      </c>
      <c r="J424" s="1">
        <v>4</v>
      </c>
      <c r="K424" s="1" t="s">
        <v>25</v>
      </c>
      <c r="L424" s="1" t="s">
        <v>22</v>
      </c>
      <c r="M424" s="15">
        <f t="shared" si="48"/>
        <v>37.774914815720734</v>
      </c>
      <c r="N424" s="15">
        <f t="shared" si="49"/>
        <v>39.881933011445078</v>
      </c>
      <c r="O424" s="14">
        <f t="shared" si="50"/>
        <v>-11068.166582139995</v>
      </c>
      <c r="P424" s="13">
        <f t="shared" si="51"/>
        <v>-5.5778238177455065E-2</v>
      </c>
      <c r="Q424" s="15">
        <f t="shared" si="52"/>
        <v>-2.1070181957243435</v>
      </c>
      <c r="R424" s="13">
        <f t="shared" si="53"/>
        <v>-5.5778238177454968E-2</v>
      </c>
      <c r="S424" s="15">
        <f t="shared" si="54"/>
        <v>35.267973231772061</v>
      </c>
      <c r="T424" s="15">
        <f t="shared" si="55"/>
        <v>39.41744091219585</v>
      </c>
    </row>
    <row r="425" spans="1:20" x14ac:dyDescent="0.3">
      <c r="A425" s="5">
        <v>42061.083333333336</v>
      </c>
      <c r="B425" s="14">
        <v>157291.73399894501</v>
      </c>
      <c r="C425" s="14">
        <v>166305.03762747001</v>
      </c>
      <c r="D425" s="6">
        <v>4171</v>
      </c>
      <c r="E425" s="1">
        <v>2015</v>
      </c>
      <c r="F425" s="1">
        <v>2</v>
      </c>
      <c r="G425" s="1" t="s">
        <v>30</v>
      </c>
      <c r="H425" s="12">
        <v>42036</v>
      </c>
      <c r="I425" s="1">
        <v>26</v>
      </c>
      <c r="J425" s="1">
        <v>5</v>
      </c>
      <c r="K425" s="1" t="s">
        <v>26</v>
      </c>
      <c r="L425" s="1" t="s">
        <v>22</v>
      </c>
      <c r="M425" s="15">
        <f t="shared" si="48"/>
        <v>37.710796930938628</v>
      </c>
      <c r="N425" s="15">
        <f t="shared" si="49"/>
        <v>39.871742418477588</v>
      </c>
      <c r="O425" s="14">
        <f t="shared" si="50"/>
        <v>-9013.3036285249982</v>
      </c>
      <c r="P425" s="13">
        <f t="shared" si="51"/>
        <v>-5.7303097876621106E-2</v>
      </c>
      <c r="Q425" s="15">
        <f t="shared" si="52"/>
        <v>-2.1609454875389602</v>
      </c>
      <c r="R425" s="13">
        <f t="shared" si="53"/>
        <v>-5.7303097876621141E-2</v>
      </c>
      <c r="S425" s="15">
        <f t="shared" si="54"/>
        <v>35.267973231772061</v>
      </c>
      <c r="T425" s="15">
        <f t="shared" si="55"/>
        <v>39.302044380603057</v>
      </c>
    </row>
    <row r="426" spans="1:20" x14ac:dyDescent="0.3">
      <c r="A426" s="5">
        <v>42062.083333333336</v>
      </c>
      <c r="B426" s="14">
        <v>307540.67515623698</v>
      </c>
      <c r="C426" s="14">
        <v>324997.33647802798</v>
      </c>
      <c r="D426" s="6">
        <v>8156</v>
      </c>
      <c r="E426" s="1">
        <v>2015</v>
      </c>
      <c r="F426" s="1">
        <v>2</v>
      </c>
      <c r="G426" s="1" t="s">
        <v>30</v>
      </c>
      <c r="H426" s="12">
        <v>42036</v>
      </c>
      <c r="I426" s="1">
        <v>27</v>
      </c>
      <c r="J426" s="1">
        <v>6</v>
      </c>
      <c r="K426" s="1" t="s">
        <v>27</v>
      </c>
      <c r="L426" s="1" t="s">
        <v>22</v>
      </c>
      <c r="M426" s="15">
        <f t="shared" si="48"/>
        <v>37.707292196694084</v>
      </c>
      <c r="N426" s="15">
        <f t="shared" si="49"/>
        <v>39.847638116482095</v>
      </c>
      <c r="O426" s="14">
        <f t="shared" si="50"/>
        <v>-17456.661321791005</v>
      </c>
      <c r="P426" s="13">
        <f t="shared" si="51"/>
        <v>-5.6762121995481293E-2</v>
      </c>
      <c r="Q426" s="15">
        <f t="shared" si="52"/>
        <v>-2.140345919788011</v>
      </c>
      <c r="R426" s="13">
        <f t="shared" si="53"/>
        <v>-5.6762121995481335E-2</v>
      </c>
      <c r="S426" s="15">
        <f t="shared" si="54"/>
        <v>35.267973231772061</v>
      </c>
      <c r="T426" s="15">
        <f t="shared" si="55"/>
        <v>39.186726952567533</v>
      </c>
    </row>
    <row r="427" spans="1:20" x14ac:dyDescent="0.3">
      <c r="A427" s="5">
        <v>42063.083333333336</v>
      </c>
      <c r="B427" s="14">
        <v>350898.76351026999</v>
      </c>
      <c r="C427" s="14">
        <v>375030.63545205898</v>
      </c>
      <c r="D427" s="6">
        <v>9296</v>
      </c>
      <c r="E427" s="1">
        <v>2015</v>
      </c>
      <c r="F427" s="1">
        <v>2</v>
      </c>
      <c r="G427" s="1" t="s">
        <v>30</v>
      </c>
      <c r="H427" s="12">
        <v>42036</v>
      </c>
      <c r="I427" s="1">
        <v>28</v>
      </c>
      <c r="J427" s="1">
        <v>7</v>
      </c>
      <c r="K427" s="1" t="s">
        <v>28</v>
      </c>
      <c r="L427" s="1" t="s">
        <v>22</v>
      </c>
      <c r="M427" s="15">
        <f t="shared" si="48"/>
        <v>37.747285231311317</v>
      </c>
      <c r="N427" s="15">
        <f t="shared" si="49"/>
        <v>40.343226705255915</v>
      </c>
      <c r="O427" s="14">
        <f t="shared" si="50"/>
        <v>-24131.871941788995</v>
      </c>
      <c r="P427" s="13">
        <f t="shared" si="51"/>
        <v>-6.8771607230478912E-2</v>
      </c>
      <c r="Q427" s="15">
        <f t="shared" si="52"/>
        <v>-2.595941473944599</v>
      </c>
      <c r="R427" s="13">
        <f t="shared" si="53"/>
        <v>-6.8771607230478912E-2</v>
      </c>
      <c r="S427" s="15">
        <f t="shared" si="54"/>
        <v>35.267973231772061</v>
      </c>
      <c r="T427" s="15">
        <f t="shared" si="55"/>
        <v>39.072599246620818</v>
      </c>
    </row>
    <row r="428" spans="1:20" x14ac:dyDescent="0.3">
      <c r="A428" s="5">
        <v>42064.083333333336</v>
      </c>
      <c r="B428" s="14">
        <v>256701.54273334099</v>
      </c>
      <c r="C428" s="14">
        <v>276569.25039235997</v>
      </c>
      <c r="D428" s="6">
        <v>6803</v>
      </c>
      <c r="E428" s="1">
        <v>2015</v>
      </c>
      <c r="F428" s="1">
        <v>3</v>
      </c>
      <c r="G428" s="1" t="s">
        <v>31</v>
      </c>
      <c r="H428" s="12">
        <v>42064</v>
      </c>
      <c r="I428" s="1">
        <v>1</v>
      </c>
      <c r="J428" s="1">
        <v>1</v>
      </c>
      <c r="K428" s="1" t="s">
        <v>29</v>
      </c>
      <c r="L428" s="1" t="s">
        <v>22</v>
      </c>
      <c r="M428" s="15">
        <f t="shared" si="48"/>
        <v>37.733579705033222</v>
      </c>
      <c r="N428" s="15">
        <f t="shared" si="49"/>
        <v>40.6540129931442</v>
      </c>
      <c r="O428" s="14">
        <f t="shared" si="50"/>
        <v>-19867.707659018983</v>
      </c>
      <c r="P428" s="13">
        <f t="shared" si="51"/>
        <v>-7.7396136569609017E-2</v>
      </c>
      <c r="Q428" s="15">
        <f t="shared" si="52"/>
        <v>-2.9204332881109778</v>
      </c>
      <c r="R428" s="13">
        <f t="shared" si="53"/>
        <v>-7.7396136569609003E-2</v>
      </c>
      <c r="S428" s="15">
        <f t="shared" si="54"/>
        <v>35.267973231772061</v>
      </c>
      <c r="T428" s="15">
        <f t="shared" si="55"/>
        <v>38.958086027631744</v>
      </c>
    </row>
    <row r="429" spans="1:20" x14ac:dyDescent="0.3">
      <c r="A429" s="5">
        <v>42065.083333333336</v>
      </c>
      <c r="B429" s="14">
        <v>234705.592779103</v>
      </c>
      <c r="C429" s="14">
        <v>252709.82306975999</v>
      </c>
      <c r="D429" s="6">
        <v>6221</v>
      </c>
      <c r="E429" s="1">
        <v>2015</v>
      </c>
      <c r="F429" s="1">
        <v>3</v>
      </c>
      <c r="G429" s="1" t="s">
        <v>31</v>
      </c>
      <c r="H429" s="12">
        <v>42064</v>
      </c>
      <c r="I429" s="1">
        <v>2</v>
      </c>
      <c r="J429" s="1">
        <v>2</v>
      </c>
      <c r="K429" s="1" t="s">
        <v>21</v>
      </c>
      <c r="L429" s="1" t="s">
        <v>22</v>
      </c>
      <c r="M429" s="15">
        <f t="shared" si="48"/>
        <v>37.727952544462788</v>
      </c>
      <c r="N429" s="15">
        <f t="shared" si="49"/>
        <v>40.622058040469376</v>
      </c>
      <c r="O429" s="14">
        <f t="shared" si="50"/>
        <v>-18004.230290656997</v>
      </c>
      <c r="P429" s="13">
        <f t="shared" si="51"/>
        <v>-7.6709847760645281E-2</v>
      </c>
      <c r="Q429" s="15">
        <f t="shared" si="52"/>
        <v>-2.8941054960065884</v>
      </c>
      <c r="R429" s="13">
        <f t="shared" si="53"/>
        <v>-7.6709847760645239E-2</v>
      </c>
      <c r="S429" s="15">
        <f t="shared" si="54"/>
        <v>35.267973231772061</v>
      </c>
      <c r="T429" s="15">
        <f t="shared" si="55"/>
        <v>38.843179221598689</v>
      </c>
    </row>
    <row r="430" spans="1:20" x14ac:dyDescent="0.3">
      <c r="A430" s="5">
        <v>42066.083333333336</v>
      </c>
      <c r="B430" s="14">
        <v>249380.56544757899</v>
      </c>
      <c r="C430" s="14">
        <v>268761.83235694398</v>
      </c>
      <c r="D430" s="6">
        <v>6611</v>
      </c>
      <c r="E430" s="1">
        <v>2015</v>
      </c>
      <c r="F430" s="1">
        <v>3</v>
      </c>
      <c r="G430" s="1" t="s">
        <v>31</v>
      </c>
      <c r="H430" s="12">
        <v>42064</v>
      </c>
      <c r="I430" s="1">
        <v>3</v>
      </c>
      <c r="J430" s="1">
        <v>3</v>
      </c>
      <c r="K430" s="1" t="s">
        <v>23</v>
      </c>
      <c r="L430" s="1" t="s">
        <v>22</v>
      </c>
      <c r="M430" s="15">
        <f t="shared" si="48"/>
        <v>37.722064051970804</v>
      </c>
      <c r="N430" s="15">
        <f t="shared" si="49"/>
        <v>40.65373352850461</v>
      </c>
      <c r="O430" s="14">
        <f t="shared" si="50"/>
        <v>-19381.266909364989</v>
      </c>
      <c r="P430" s="13">
        <f t="shared" si="51"/>
        <v>-7.7717631582798805E-2</v>
      </c>
      <c r="Q430" s="15">
        <f t="shared" si="52"/>
        <v>-2.9316694765338056</v>
      </c>
      <c r="R430" s="13">
        <f t="shared" si="53"/>
        <v>-7.7717631582798805E-2</v>
      </c>
      <c r="S430" s="15">
        <f t="shared" si="54"/>
        <v>35.267973231772061</v>
      </c>
      <c r="T430" s="15">
        <f t="shared" si="55"/>
        <v>38.728272989080047</v>
      </c>
    </row>
    <row r="431" spans="1:20" x14ac:dyDescent="0.3">
      <c r="A431" s="5">
        <v>42067.083333333336</v>
      </c>
      <c r="B431" s="14">
        <v>258211.44416769801</v>
      </c>
      <c r="C431" s="14">
        <v>278825.60667853698</v>
      </c>
      <c r="D431" s="6">
        <v>6843</v>
      </c>
      <c r="E431" s="1">
        <v>2015</v>
      </c>
      <c r="F431" s="1">
        <v>3</v>
      </c>
      <c r="G431" s="1" t="s">
        <v>31</v>
      </c>
      <c r="H431" s="12">
        <v>42064</v>
      </c>
      <c r="I431" s="1">
        <v>4</v>
      </c>
      <c r="J431" s="1">
        <v>4</v>
      </c>
      <c r="K431" s="1" t="s">
        <v>25</v>
      </c>
      <c r="L431" s="1" t="s">
        <v>22</v>
      </c>
      <c r="M431" s="15">
        <f t="shared" si="48"/>
        <v>37.733661284187932</v>
      </c>
      <c r="N431" s="15">
        <f t="shared" si="49"/>
        <v>40.746106485245797</v>
      </c>
      <c r="O431" s="14">
        <f t="shared" si="50"/>
        <v>-20614.162510838971</v>
      </c>
      <c r="P431" s="13">
        <f t="shared" si="51"/>
        <v>-7.983442630625967E-2</v>
      </c>
      <c r="Q431" s="15">
        <f t="shared" si="52"/>
        <v>-3.0124452010578651</v>
      </c>
      <c r="R431" s="13">
        <f t="shared" si="53"/>
        <v>-7.983442630625967E-2</v>
      </c>
      <c r="S431" s="15">
        <f t="shared" si="54"/>
        <v>35.267973231772061</v>
      </c>
      <c r="T431" s="15">
        <f t="shared" si="55"/>
        <v>38.613495268589482</v>
      </c>
    </row>
    <row r="432" spans="1:20" x14ac:dyDescent="0.3">
      <c r="A432" s="5">
        <v>42068.083333333336</v>
      </c>
      <c r="B432" s="14">
        <v>145975.833942825</v>
      </c>
      <c r="C432" s="14">
        <v>157578.00586652799</v>
      </c>
      <c r="D432" s="6">
        <v>3858</v>
      </c>
      <c r="E432" s="1">
        <v>2015</v>
      </c>
      <c r="F432" s="1">
        <v>3</v>
      </c>
      <c r="G432" s="1" t="s">
        <v>31</v>
      </c>
      <c r="H432" s="12">
        <v>42064</v>
      </c>
      <c r="I432" s="1">
        <v>5</v>
      </c>
      <c r="J432" s="1">
        <v>5</v>
      </c>
      <c r="K432" s="1" t="s">
        <v>26</v>
      </c>
      <c r="L432" s="1" t="s">
        <v>22</v>
      </c>
      <c r="M432" s="15">
        <f t="shared" si="48"/>
        <v>37.837178315921463</v>
      </c>
      <c r="N432" s="15">
        <f t="shared" si="49"/>
        <v>40.844480525279415</v>
      </c>
      <c r="O432" s="14">
        <f t="shared" si="50"/>
        <v>-11602.17192370299</v>
      </c>
      <c r="P432" s="13">
        <f t="shared" si="51"/>
        <v>-7.9480086602877462E-2</v>
      </c>
      <c r="Q432" s="15">
        <f t="shared" si="52"/>
        <v>-3.0073022093579524</v>
      </c>
      <c r="R432" s="13">
        <f t="shared" si="53"/>
        <v>-7.9480086602877392E-2</v>
      </c>
      <c r="S432" s="15">
        <f t="shared" si="54"/>
        <v>35.267973231772061</v>
      </c>
      <c r="T432" s="15">
        <f t="shared" si="55"/>
        <v>38.50223967681309</v>
      </c>
    </row>
    <row r="433" spans="1:20" x14ac:dyDescent="0.3">
      <c r="A433" s="5">
        <v>42069.083333333336</v>
      </c>
      <c r="B433" s="14">
        <v>269239.85258366802</v>
      </c>
      <c r="C433" s="14">
        <v>291365.01755439898</v>
      </c>
      <c r="D433" s="6">
        <v>7128</v>
      </c>
      <c r="E433" s="1">
        <v>2015</v>
      </c>
      <c r="F433" s="1">
        <v>3</v>
      </c>
      <c r="G433" s="1" t="s">
        <v>31</v>
      </c>
      <c r="H433" s="12">
        <v>42064</v>
      </c>
      <c r="I433" s="1">
        <v>6</v>
      </c>
      <c r="J433" s="1">
        <v>6</v>
      </c>
      <c r="K433" s="1" t="s">
        <v>27</v>
      </c>
      <c r="L433" s="1" t="s">
        <v>22</v>
      </c>
      <c r="M433" s="15">
        <f t="shared" si="48"/>
        <v>37.772145424195848</v>
      </c>
      <c r="N433" s="15">
        <f t="shared" si="49"/>
        <v>40.876124797194024</v>
      </c>
      <c r="O433" s="14">
        <f t="shared" si="50"/>
        <v>-22125.164970730955</v>
      </c>
      <c r="P433" s="13">
        <f t="shared" si="51"/>
        <v>-8.2176411695424681E-2</v>
      </c>
      <c r="Q433" s="15">
        <f t="shared" si="52"/>
        <v>-3.1039793729981753</v>
      </c>
      <c r="R433" s="13">
        <f t="shared" si="53"/>
        <v>-8.2176411695424834E-2</v>
      </c>
      <c r="S433" s="15">
        <f t="shared" si="54"/>
        <v>35.267973231772061</v>
      </c>
      <c r="T433" s="15">
        <f t="shared" si="55"/>
        <v>38.389505619547627</v>
      </c>
    </row>
    <row r="434" spans="1:20" x14ac:dyDescent="0.3">
      <c r="A434" s="5">
        <v>42070.083333333336</v>
      </c>
      <c r="B434" s="14">
        <v>306920.21160129202</v>
      </c>
      <c r="C434" s="14">
        <v>332242.411551486</v>
      </c>
      <c r="D434" s="6">
        <v>8127</v>
      </c>
      <c r="E434" s="1">
        <v>2015</v>
      </c>
      <c r="F434" s="1">
        <v>3</v>
      </c>
      <c r="G434" s="1" t="s">
        <v>31</v>
      </c>
      <c r="H434" s="12">
        <v>42064</v>
      </c>
      <c r="I434" s="1">
        <v>7</v>
      </c>
      <c r="J434" s="1">
        <v>7</v>
      </c>
      <c r="K434" s="1" t="s">
        <v>28</v>
      </c>
      <c r="L434" s="1" t="s">
        <v>22</v>
      </c>
      <c r="M434" s="15">
        <f t="shared" si="48"/>
        <v>37.765499151137199</v>
      </c>
      <c r="N434" s="15">
        <f t="shared" si="49"/>
        <v>40.881310637564418</v>
      </c>
      <c r="O434" s="14">
        <f t="shared" si="50"/>
        <v>-25322.199950193986</v>
      </c>
      <c r="P434" s="13">
        <f t="shared" si="51"/>
        <v>-8.2504178587916074E-2</v>
      </c>
      <c r="Q434" s="15">
        <f t="shared" si="52"/>
        <v>-3.1158114864272193</v>
      </c>
      <c r="R434" s="13">
        <f t="shared" si="53"/>
        <v>-8.2504178587916158E-2</v>
      </c>
      <c r="S434" s="15">
        <f t="shared" si="54"/>
        <v>35.267973231772061</v>
      </c>
      <c r="T434" s="15">
        <f t="shared" si="55"/>
        <v>38.275469897310721</v>
      </c>
    </row>
    <row r="435" spans="1:20" x14ac:dyDescent="0.3">
      <c r="A435" s="5">
        <v>42071.083333333336</v>
      </c>
      <c r="B435" s="14">
        <v>122106.79562238599</v>
      </c>
      <c r="C435" s="14">
        <v>121394.812201172</v>
      </c>
      <c r="D435" s="6">
        <v>2966</v>
      </c>
      <c r="E435" s="1">
        <v>2015</v>
      </c>
      <c r="F435" s="1">
        <v>3</v>
      </c>
      <c r="G435" s="1" t="s">
        <v>31</v>
      </c>
      <c r="H435" s="12">
        <v>42064</v>
      </c>
      <c r="I435" s="1">
        <v>8</v>
      </c>
      <c r="J435" s="1">
        <v>1</v>
      </c>
      <c r="K435" s="1" t="s">
        <v>29</v>
      </c>
      <c r="L435" s="1" t="s">
        <v>22</v>
      </c>
      <c r="M435" s="15">
        <f t="shared" si="48"/>
        <v>41.168845455962909</v>
      </c>
      <c r="N435" s="15">
        <f t="shared" si="49"/>
        <v>40.928797100867158</v>
      </c>
      <c r="O435" s="14">
        <f t="shared" si="50"/>
        <v>711.98342121399764</v>
      </c>
      <c r="P435" s="13">
        <f t="shared" si="51"/>
        <v>5.830825529283391E-3</v>
      </c>
      <c r="Q435" s="15">
        <f t="shared" si="52"/>
        <v>0.24004835509575173</v>
      </c>
      <c r="R435" s="13">
        <f t="shared" si="53"/>
        <v>5.8308255292834075E-3</v>
      </c>
      <c r="S435" s="15">
        <f t="shared" si="54"/>
        <v>35.267973231772061</v>
      </c>
      <c r="T435" s="15">
        <f t="shared" si="55"/>
        <v>38.275199667225138</v>
      </c>
    </row>
    <row r="436" spans="1:20" x14ac:dyDescent="0.3">
      <c r="A436" s="5">
        <v>42072.083333333336</v>
      </c>
      <c r="B436" s="14">
        <v>117661.280792547</v>
      </c>
      <c r="C436" s="14">
        <v>116861.158273551</v>
      </c>
      <c r="D436" s="6">
        <v>2858</v>
      </c>
      <c r="E436" s="1">
        <v>2015</v>
      </c>
      <c r="F436" s="1">
        <v>3</v>
      </c>
      <c r="G436" s="1" t="s">
        <v>31</v>
      </c>
      <c r="H436" s="12">
        <v>42064</v>
      </c>
      <c r="I436" s="1">
        <v>9</v>
      </c>
      <c r="J436" s="1">
        <v>2</v>
      </c>
      <c r="K436" s="1" t="s">
        <v>21</v>
      </c>
      <c r="L436" s="1" t="s">
        <v>22</v>
      </c>
      <c r="M436" s="15">
        <f t="shared" si="48"/>
        <v>41.169097548127013</v>
      </c>
      <c r="N436" s="15">
        <f t="shared" si="49"/>
        <v>40.889138654146606</v>
      </c>
      <c r="O436" s="14">
        <f t="shared" si="50"/>
        <v>800.12251899599505</v>
      </c>
      <c r="P436" s="13">
        <f t="shared" si="51"/>
        <v>6.8002193551396145E-3</v>
      </c>
      <c r="Q436" s="15">
        <f t="shared" si="52"/>
        <v>0.27995889398040674</v>
      </c>
      <c r="R436" s="13">
        <f t="shared" si="53"/>
        <v>6.8002193551396769E-3</v>
      </c>
      <c r="S436" s="15">
        <f t="shared" si="54"/>
        <v>35.267973231772061</v>
      </c>
      <c r="T436" s="15">
        <f t="shared" si="55"/>
        <v>38.275326558023473</v>
      </c>
    </row>
    <row r="437" spans="1:20" x14ac:dyDescent="0.3">
      <c r="A437" s="5">
        <v>42073.083333333336</v>
      </c>
      <c r="B437" s="14">
        <v>62499.7991715604</v>
      </c>
      <c r="C437" s="14">
        <v>62073.872654165199</v>
      </c>
      <c r="D437" s="6">
        <v>1518</v>
      </c>
      <c r="E437" s="1">
        <v>2015</v>
      </c>
      <c r="F437" s="1">
        <v>3</v>
      </c>
      <c r="G437" s="1" t="s">
        <v>31</v>
      </c>
      <c r="H437" s="12">
        <v>42064</v>
      </c>
      <c r="I437" s="1">
        <v>10</v>
      </c>
      <c r="J437" s="1">
        <v>3</v>
      </c>
      <c r="K437" s="1" t="s">
        <v>23</v>
      </c>
      <c r="L437" s="1" t="s">
        <v>22</v>
      </c>
      <c r="M437" s="15">
        <f t="shared" si="48"/>
        <v>41.172463222371803</v>
      </c>
      <c r="N437" s="15">
        <f t="shared" si="49"/>
        <v>40.891879218817657</v>
      </c>
      <c r="O437" s="14">
        <f t="shared" si="50"/>
        <v>425.92651739520079</v>
      </c>
      <c r="P437" s="13">
        <f t="shared" si="51"/>
        <v>6.8148461761619915E-3</v>
      </c>
      <c r="Q437" s="15">
        <f t="shared" si="52"/>
        <v>0.28058400355414648</v>
      </c>
      <c r="R437" s="13">
        <f t="shared" si="53"/>
        <v>6.8148461761618883E-3</v>
      </c>
      <c r="S437" s="15">
        <f t="shared" si="54"/>
        <v>35.267973231772061</v>
      </c>
      <c r="T437" s="15">
        <f t="shared" si="55"/>
        <v>38.275294406299821</v>
      </c>
    </row>
    <row r="438" spans="1:20" x14ac:dyDescent="0.3">
      <c r="A438" s="5">
        <v>42074.083333333336</v>
      </c>
      <c r="B438" s="14">
        <v>57063.984124270399</v>
      </c>
      <c r="C438" s="14">
        <v>56638.2813706081</v>
      </c>
      <c r="D438" s="6">
        <v>1386</v>
      </c>
      <c r="E438" s="1">
        <v>2015</v>
      </c>
      <c r="F438" s="1">
        <v>3</v>
      </c>
      <c r="G438" s="1" t="s">
        <v>31</v>
      </c>
      <c r="H438" s="12">
        <v>42064</v>
      </c>
      <c r="I438" s="1">
        <v>11</v>
      </c>
      <c r="J438" s="1">
        <v>4</v>
      </c>
      <c r="K438" s="1" t="s">
        <v>25</v>
      </c>
      <c r="L438" s="1" t="s">
        <v>22</v>
      </c>
      <c r="M438" s="15">
        <f t="shared" si="48"/>
        <v>41.171705717366812</v>
      </c>
      <c r="N438" s="15">
        <f t="shared" si="49"/>
        <v>40.864560873454614</v>
      </c>
      <c r="O438" s="14">
        <f t="shared" si="50"/>
        <v>425.70275366229907</v>
      </c>
      <c r="P438" s="13">
        <f t="shared" si="51"/>
        <v>7.4600951930596029E-3</v>
      </c>
      <c r="Q438" s="15">
        <f t="shared" si="52"/>
        <v>0.30714484391219798</v>
      </c>
      <c r="R438" s="13">
        <f t="shared" si="53"/>
        <v>7.4600951930597304E-3</v>
      </c>
      <c r="S438" s="15">
        <f t="shared" si="54"/>
        <v>35.267973231772061</v>
      </c>
      <c r="T438" s="15">
        <f t="shared" si="55"/>
        <v>38.2752631349205</v>
      </c>
    </row>
    <row r="439" spans="1:20" x14ac:dyDescent="0.3">
      <c r="A439" s="5">
        <v>42075.083333333336</v>
      </c>
      <c r="B439" s="14">
        <v>48008.482841660203</v>
      </c>
      <c r="C439" s="14">
        <v>47681.672078871597</v>
      </c>
      <c r="D439" s="6">
        <v>1166</v>
      </c>
      <c r="E439" s="1">
        <v>2015</v>
      </c>
      <c r="F439" s="1">
        <v>3</v>
      </c>
      <c r="G439" s="1" t="s">
        <v>31</v>
      </c>
      <c r="H439" s="12">
        <v>42064</v>
      </c>
      <c r="I439" s="1">
        <v>12</v>
      </c>
      <c r="J439" s="1">
        <v>5</v>
      </c>
      <c r="K439" s="1" t="s">
        <v>26</v>
      </c>
      <c r="L439" s="1" t="s">
        <v>22</v>
      </c>
      <c r="M439" s="15">
        <f t="shared" si="48"/>
        <v>41.173655953396398</v>
      </c>
      <c r="N439" s="15">
        <f t="shared" si="49"/>
        <v>40.893372280335846</v>
      </c>
      <c r="O439" s="14">
        <f t="shared" si="50"/>
        <v>326.81076278860564</v>
      </c>
      <c r="P439" s="13">
        <f t="shared" si="51"/>
        <v>6.8073545224597238E-3</v>
      </c>
      <c r="Q439" s="15">
        <f t="shared" si="52"/>
        <v>0.28028367306055202</v>
      </c>
      <c r="R439" s="13">
        <f t="shared" si="53"/>
        <v>6.807354522459683E-3</v>
      </c>
      <c r="S439" s="15">
        <f t="shared" si="54"/>
        <v>35.267973231772061</v>
      </c>
      <c r="T439" s="15">
        <f t="shared" si="55"/>
        <v>38.39064811388436</v>
      </c>
    </row>
    <row r="440" spans="1:20" x14ac:dyDescent="0.3">
      <c r="A440" s="5">
        <v>42076.083333333336</v>
      </c>
      <c r="B440" s="14">
        <v>117446.839113308</v>
      </c>
      <c r="C440" s="14">
        <v>116681.14155165901</v>
      </c>
      <c r="D440" s="6">
        <v>2853</v>
      </c>
      <c r="E440" s="1">
        <v>2015</v>
      </c>
      <c r="F440" s="1">
        <v>3</v>
      </c>
      <c r="G440" s="1" t="s">
        <v>31</v>
      </c>
      <c r="H440" s="12">
        <v>42064</v>
      </c>
      <c r="I440" s="1">
        <v>13</v>
      </c>
      <c r="J440" s="1">
        <v>6</v>
      </c>
      <c r="K440" s="1" t="s">
        <v>27</v>
      </c>
      <c r="L440" s="1" t="s">
        <v>22</v>
      </c>
      <c r="M440" s="15">
        <f t="shared" si="48"/>
        <v>41.166084512200491</v>
      </c>
      <c r="N440" s="15">
        <f t="shared" si="49"/>
        <v>40.897701209834914</v>
      </c>
      <c r="O440" s="14">
        <f t="shared" si="50"/>
        <v>765.69756164899445</v>
      </c>
      <c r="P440" s="13">
        <f t="shared" si="51"/>
        <v>6.5195246413594851E-3</v>
      </c>
      <c r="Q440" s="15">
        <f t="shared" si="52"/>
        <v>0.26838330236557795</v>
      </c>
      <c r="R440" s="13">
        <f t="shared" si="53"/>
        <v>6.5195246413594799E-3</v>
      </c>
      <c r="S440" s="15">
        <f t="shared" si="54"/>
        <v>35.267973231772061</v>
      </c>
      <c r="T440" s="15">
        <f t="shared" si="55"/>
        <v>38.505487951052899</v>
      </c>
    </row>
    <row r="441" spans="1:20" x14ac:dyDescent="0.3">
      <c r="A441" s="5">
        <v>42077.083333333336</v>
      </c>
      <c r="B441" s="14">
        <v>150591.54790083499</v>
      </c>
      <c r="C441" s="14">
        <v>149573.82759269001</v>
      </c>
      <c r="D441" s="6">
        <v>3657</v>
      </c>
      <c r="E441" s="1">
        <v>2015</v>
      </c>
      <c r="F441" s="1">
        <v>3</v>
      </c>
      <c r="G441" s="1" t="s">
        <v>31</v>
      </c>
      <c r="H441" s="12">
        <v>42064</v>
      </c>
      <c r="I441" s="1">
        <v>14</v>
      </c>
      <c r="J441" s="1">
        <v>7</v>
      </c>
      <c r="K441" s="1" t="s">
        <v>28</v>
      </c>
      <c r="L441" s="1" t="s">
        <v>22</v>
      </c>
      <c r="M441" s="15">
        <f t="shared" si="48"/>
        <v>41.178984933233522</v>
      </c>
      <c r="N441" s="15">
        <f t="shared" si="49"/>
        <v>40.900691165624835</v>
      </c>
      <c r="O441" s="14">
        <f t="shared" si="50"/>
        <v>1017.7203081449843</v>
      </c>
      <c r="P441" s="13">
        <f t="shared" si="51"/>
        <v>6.7581502569796035E-3</v>
      </c>
      <c r="Q441" s="15">
        <f t="shared" si="52"/>
        <v>0.2782937676086874</v>
      </c>
      <c r="R441" s="13">
        <f t="shared" si="53"/>
        <v>6.7581502569795081E-3</v>
      </c>
      <c r="S441" s="15">
        <f t="shared" si="54"/>
        <v>35.267973231772061</v>
      </c>
      <c r="T441" s="15">
        <f t="shared" si="55"/>
        <v>38.621360422843622</v>
      </c>
    </row>
    <row r="442" spans="1:20" x14ac:dyDescent="0.3">
      <c r="A442" s="5">
        <v>42078.083333333336</v>
      </c>
      <c r="B442" s="14">
        <v>67152.474953640398</v>
      </c>
      <c r="C442" s="14">
        <v>66802.983217839894</v>
      </c>
      <c r="D442" s="6">
        <v>1631</v>
      </c>
      <c r="E442" s="1">
        <v>2015</v>
      </c>
      <c r="F442" s="1">
        <v>3</v>
      </c>
      <c r="G442" s="1" t="s">
        <v>31</v>
      </c>
      <c r="H442" s="12">
        <v>42064</v>
      </c>
      <c r="I442" s="1">
        <v>15</v>
      </c>
      <c r="J442" s="1">
        <v>1</v>
      </c>
      <c r="K442" s="1" t="s">
        <v>29</v>
      </c>
      <c r="L442" s="1" t="s">
        <v>22</v>
      </c>
      <c r="M442" s="15">
        <f t="shared" si="48"/>
        <v>41.172578144476027</v>
      </c>
      <c r="N442" s="15">
        <f t="shared" si="49"/>
        <v>40.958297497142794</v>
      </c>
      <c r="O442" s="14">
        <f t="shared" si="50"/>
        <v>349.4917358005041</v>
      </c>
      <c r="P442" s="13">
        <f t="shared" si="51"/>
        <v>5.2044505588480601E-3</v>
      </c>
      <c r="Q442" s="15">
        <f t="shared" si="52"/>
        <v>0.21428064733323282</v>
      </c>
      <c r="R442" s="13">
        <f t="shared" si="53"/>
        <v>5.2044505588480392E-3</v>
      </c>
      <c r="S442" s="15">
        <f t="shared" si="54"/>
        <v>35.267973231772061</v>
      </c>
      <c r="T442" s="15">
        <f t="shared" si="55"/>
        <v>38.736204984492183</v>
      </c>
    </row>
    <row r="443" spans="1:20" x14ac:dyDescent="0.3">
      <c r="A443" s="5">
        <v>42079.083333333336</v>
      </c>
      <c r="B443" s="14">
        <v>80635.289248590503</v>
      </c>
      <c r="C443" s="14">
        <v>80121.290522541603</v>
      </c>
      <c r="D443" s="6">
        <v>1959</v>
      </c>
      <c r="E443" s="1">
        <v>2015</v>
      </c>
      <c r="F443" s="1">
        <v>3</v>
      </c>
      <c r="G443" s="1" t="s">
        <v>31</v>
      </c>
      <c r="H443" s="12">
        <v>42064</v>
      </c>
      <c r="I443" s="1">
        <v>16</v>
      </c>
      <c r="J443" s="1">
        <v>2</v>
      </c>
      <c r="K443" s="1" t="s">
        <v>21</v>
      </c>
      <c r="L443" s="1" t="s">
        <v>22</v>
      </c>
      <c r="M443" s="15">
        <f t="shared" si="48"/>
        <v>41.161454440321847</v>
      </c>
      <c r="N443" s="15">
        <f t="shared" si="49"/>
        <v>40.899076325952834</v>
      </c>
      <c r="O443" s="14">
        <f t="shared" si="50"/>
        <v>513.9987260488997</v>
      </c>
      <c r="P443" s="13">
        <f t="shared" si="51"/>
        <v>6.3743645101128517E-3</v>
      </c>
      <c r="Q443" s="15">
        <f t="shared" si="52"/>
        <v>0.26237811436901382</v>
      </c>
      <c r="R443" s="13">
        <f t="shared" si="53"/>
        <v>6.3743645101128317E-3</v>
      </c>
      <c r="S443" s="15">
        <f t="shared" si="54"/>
        <v>35.267973231772061</v>
      </c>
      <c r="T443" s="15">
        <f t="shared" si="55"/>
        <v>38.850474454483688</v>
      </c>
    </row>
    <row r="444" spans="1:20" x14ac:dyDescent="0.3">
      <c r="A444" s="5">
        <v>42080.083333333336</v>
      </c>
      <c r="B444" s="14">
        <v>50669.637098340398</v>
      </c>
      <c r="C444" s="14">
        <v>50308.957054207996</v>
      </c>
      <c r="D444" s="6">
        <v>1230</v>
      </c>
      <c r="E444" s="1">
        <v>2015</v>
      </c>
      <c r="F444" s="1">
        <v>3</v>
      </c>
      <c r="G444" s="1" t="s">
        <v>31</v>
      </c>
      <c r="H444" s="12">
        <v>42064</v>
      </c>
      <c r="I444" s="1">
        <v>17</v>
      </c>
      <c r="J444" s="1">
        <v>3</v>
      </c>
      <c r="K444" s="1" t="s">
        <v>23</v>
      </c>
      <c r="L444" s="1" t="s">
        <v>22</v>
      </c>
      <c r="M444" s="15">
        <f t="shared" si="48"/>
        <v>41.194826909219834</v>
      </c>
      <c r="N444" s="15">
        <f t="shared" si="49"/>
        <v>40.90159110098211</v>
      </c>
      <c r="O444" s="14">
        <f t="shared" si="50"/>
        <v>360.68004413240124</v>
      </c>
      <c r="P444" s="13">
        <f t="shared" si="51"/>
        <v>7.1182677592971106E-3</v>
      </c>
      <c r="Q444" s="15">
        <f t="shared" si="52"/>
        <v>0.29323580823772488</v>
      </c>
      <c r="R444" s="13">
        <f t="shared" si="53"/>
        <v>7.1182677592971175E-3</v>
      </c>
      <c r="S444" s="15">
        <f t="shared" si="54"/>
        <v>35.267973231772061</v>
      </c>
      <c r="T444" s="15">
        <f t="shared" si="55"/>
        <v>38.966627875948213</v>
      </c>
    </row>
    <row r="445" spans="1:20" x14ac:dyDescent="0.3">
      <c r="A445" s="5">
        <v>42081.083333333336</v>
      </c>
      <c r="B445" s="14">
        <v>48648.992664940197</v>
      </c>
      <c r="C445" s="14">
        <v>48362.0687919478</v>
      </c>
      <c r="D445" s="6">
        <v>1182</v>
      </c>
      <c r="E445" s="1">
        <v>2015</v>
      </c>
      <c r="F445" s="1">
        <v>3</v>
      </c>
      <c r="G445" s="1" t="s">
        <v>31</v>
      </c>
      <c r="H445" s="12">
        <v>42064</v>
      </c>
      <c r="I445" s="1">
        <v>18</v>
      </c>
      <c r="J445" s="1">
        <v>4</v>
      </c>
      <c r="K445" s="1" t="s">
        <v>25</v>
      </c>
      <c r="L445" s="1" t="s">
        <v>22</v>
      </c>
      <c r="M445" s="15">
        <f t="shared" si="48"/>
        <v>41.158200224145681</v>
      </c>
      <c r="N445" s="15">
        <f t="shared" si="49"/>
        <v>40.9154558307511</v>
      </c>
      <c r="O445" s="14">
        <f t="shared" si="50"/>
        <v>286.92387299239635</v>
      </c>
      <c r="P445" s="13">
        <f t="shared" si="51"/>
        <v>5.8978379052681473E-3</v>
      </c>
      <c r="Q445" s="15">
        <f t="shared" si="52"/>
        <v>0.24274439339458098</v>
      </c>
      <c r="R445" s="13">
        <f t="shared" si="53"/>
        <v>5.8978379052681143E-3</v>
      </c>
      <c r="S445" s="15">
        <f t="shared" si="54"/>
        <v>35.267973231772061</v>
      </c>
      <c r="T445" s="15">
        <f t="shared" si="55"/>
        <v>39.081262550241405</v>
      </c>
    </row>
    <row r="446" spans="1:20" x14ac:dyDescent="0.3">
      <c r="A446" s="5">
        <v>42082.083333333336</v>
      </c>
      <c r="B446" s="14">
        <v>43213.177617650203</v>
      </c>
      <c r="C446" s="14">
        <v>42981.2168477546</v>
      </c>
      <c r="D446" s="6">
        <v>1050</v>
      </c>
      <c r="E446" s="1">
        <v>2015</v>
      </c>
      <c r="F446" s="1">
        <v>3</v>
      </c>
      <c r="G446" s="1" t="s">
        <v>31</v>
      </c>
      <c r="H446" s="12">
        <v>42064</v>
      </c>
      <c r="I446" s="1">
        <v>19</v>
      </c>
      <c r="J446" s="1">
        <v>5</v>
      </c>
      <c r="K446" s="1" t="s">
        <v>26</v>
      </c>
      <c r="L446" s="1" t="s">
        <v>22</v>
      </c>
      <c r="M446" s="15">
        <f t="shared" si="48"/>
        <v>41.155407254904958</v>
      </c>
      <c r="N446" s="15">
        <f t="shared" si="49"/>
        <v>40.93449223595676</v>
      </c>
      <c r="O446" s="14">
        <f t="shared" si="50"/>
        <v>231.96076989560243</v>
      </c>
      <c r="P446" s="13">
        <f t="shared" si="51"/>
        <v>5.3678248785125034E-3</v>
      </c>
      <c r="Q446" s="15">
        <f t="shared" si="52"/>
        <v>0.22091501894819743</v>
      </c>
      <c r="R446" s="13">
        <f t="shared" si="53"/>
        <v>5.3678248785126153E-3</v>
      </c>
      <c r="S446" s="15">
        <f t="shared" si="54"/>
        <v>35.267973231772061</v>
      </c>
      <c r="T446" s="15">
        <f t="shared" si="55"/>
        <v>39.19683926413957</v>
      </c>
    </row>
    <row r="447" spans="1:20" x14ac:dyDescent="0.3">
      <c r="A447" s="5">
        <v>42083.083333333336</v>
      </c>
      <c r="B447" s="14">
        <v>96881.018094589395</v>
      </c>
      <c r="C447" s="14">
        <v>96453.287284883205</v>
      </c>
      <c r="D447" s="6">
        <v>2353</v>
      </c>
      <c r="E447" s="1">
        <v>2015</v>
      </c>
      <c r="F447" s="1">
        <v>3</v>
      </c>
      <c r="G447" s="1" t="s">
        <v>31</v>
      </c>
      <c r="H447" s="12">
        <v>42064</v>
      </c>
      <c r="I447" s="1">
        <v>20</v>
      </c>
      <c r="J447" s="1">
        <v>6</v>
      </c>
      <c r="K447" s="1" t="s">
        <v>27</v>
      </c>
      <c r="L447" s="1" t="s">
        <v>22</v>
      </c>
      <c r="M447" s="15">
        <f t="shared" si="48"/>
        <v>41.173403355116612</v>
      </c>
      <c r="N447" s="15">
        <f t="shared" si="49"/>
        <v>40.991622305517723</v>
      </c>
      <c r="O447" s="14">
        <f t="shared" si="50"/>
        <v>427.73080970619048</v>
      </c>
      <c r="P447" s="13">
        <f t="shared" si="51"/>
        <v>4.4150115070898327E-3</v>
      </c>
      <c r="Q447" s="15">
        <f t="shared" si="52"/>
        <v>0.18178104959888941</v>
      </c>
      <c r="R447" s="13">
        <f t="shared" si="53"/>
        <v>4.4150115070897946E-3</v>
      </c>
      <c r="S447" s="15">
        <f t="shared" si="54"/>
        <v>35.267973231772061</v>
      </c>
      <c r="T447" s="15">
        <f t="shared" si="55"/>
        <v>39.311949958764572</v>
      </c>
    </row>
    <row r="448" spans="1:20" x14ac:dyDescent="0.3">
      <c r="A448" s="5">
        <v>42084.083333333336</v>
      </c>
      <c r="B448" s="14">
        <v>121360.88514123599</v>
      </c>
      <c r="C448" s="14">
        <v>120829.28797107001</v>
      </c>
      <c r="D448" s="6">
        <v>2947</v>
      </c>
      <c r="E448" s="1">
        <v>2015</v>
      </c>
      <c r="F448" s="1">
        <v>3</v>
      </c>
      <c r="G448" s="1" t="s">
        <v>31</v>
      </c>
      <c r="H448" s="12">
        <v>42064</v>
      </c>
      <c r="I448" s="1">
        <v>21</v>
      </c>
      <c r="J448" s="1">
        <v>7</v>
      </c>
      <c r="K448" s="1" t="s">
        <v>28</v>
      </c>
      <c r="L448" s="1" t="s">
        <v>22</v>
      </c>
      <c r="M448" s="15">
        <f t="shared" si="48"/>
        <v>41.181162246771628</v>
      </c>
      <c r="N448" s="15">
        <f t="shared" si="49"/>
        <v>41.000776372945367</v>
      </c>
      <c r="O448" s="14">
        <f t="shared" si="50"/>
        <v>531.59717016598734</v>
      </c>
      <c r="P448" s="13">
        <f t="shared" si="51"/>
        <v>4.3803007002407015E-3</v>
      </c>
      <c r="Q448" s="15">
        <f t="shared" si="52"/>
        <v>0.18038587382626048</v>
      </c>
      <c r="R448" s="13">
        <f t="shared" si="53"/>
        <v>4.3803007002407206E-3</v>
      </c>
      <c r="S448" s="15">
        <f t="shared" si="54"/>
        <v>35.267973231772061</v>
      </c>
      <c r="T448" s="15">
        <f t="shared" si="55"/>
        <v>39.427547578557359</v>
      </c>
    </row>
    <row r="449" spans="1:20" x14ac:dyDescent="0.3">
      <c r="A449" s="5">
        <v>42085.083333333336</v>
      </c>
      <c r="B449" s="14">
        <v>66954.366371970405</v>
      </c>
      <c r="C449" s="14">
        <v>66756.376443642104</v>
      </c>
      <c r="D449" s="6">
        <v>1626</v>
      </c>
      <c r="E449" s="1">
        <v>2015</v>
      </c>
      <c r="F449" s="1">
        <v>3</v>
      </c>
      <c r="G449" s="1" t="s">
        <v>31</v>
      </c>
      <c r="H449" s="12">
        <v>42064</v>
      </c>
      <c r="I449" s="1">
        <v>22</v>
      </c>
      <c r="J449" s="1">
        <v>1</v>
      </c>
      <c r="K449" s="1" t="s">
        <v>29</v>
      </c>
      <c r="L449" s="1" t="s">
        <v>22</v>
      </c>
      <c r="M449" s="15">
        <f t="shared" si="48"/>
        <v>41.177347092232722</v>
      </c>
      <c r="N449" s="15">
        <f t="shared" si="49"/>
        <v>41.055582068660584</v>
      </c>
      <c r="O449" s="14">
        <f t="shared" si="50"/>
        <v>197.98992832830118</v>
      </c>
      <c r="P449" s="13">
        <f t="shared" si="51"/>
        <v>2.9570876263446673E-3</v>
      </c>
      <c r="Q449" s="15">
        <f t="shared" si="52"/>
        <v>0.12176502357213792</v>
      </c>
      <c r="R449" s="13">
        <f t="shared" si="53"/>
        <v>2.957087626344594E-3</v>
      </c>
      <c r="S449" s="15">
        <f t="shared" si="54"/>
        <v>35.267973231772061</v>
      </c>
      <c r="T449" s="15">
        <f t="shared" si="55"/>
        <v>39.542846710733457</v>
      </c>
    </row>
    <row r="450" spans="1:20" x14ac:dyDescent="0.3">
      <c r="A450" s="5">
        <v>42086.083333333336</v>
      </c>
      <c r="B450" s="14">
        <v>81342.150763930404</v>
      </c>
      <c r="C450" s="14">
        <v>81132.012897235894</v>
      </c>
      <c r="D450" s="6">
        <v>1976</v>
      </c>
      <c r="E450" s="1">
        <v>2015</v>
      </c>
      <c r="F450" s="1">
        <v>3</v>
      </c>
      <c r="G450" s="1" t="s">
        <v>31</v>
      </c>
      <c r="H450" s="12">
        <v>42064</v>
      </c>
      <c r="I450" s="1">
        <v>23</v>
      </c>
      <c r="J450" s="1">
        <v>2</v>
      </c>
      <c r="K450" s="1" t="s">
        <v>21</v>
      </c>
      <c r="L450" s="1" t="s">
        <v>22</v>
      </c>
      <c r="M450" s="15">
        <f t="shared" si="48"/>
        <v>41.165056054620649</v>
      </c>
      <c r="N450" s="15">
        <f t="shared" si="49"/>
        <v>41.058710980382536</v>
      </c>
      <c r="O450" s="14">
        <f t="shared" si="50"/>
        <v>210.13786669450928</v>
      </c>
      <c r="P450" s="13">
        <f t="shared" si="51"/>
        <v>2.5833822282910527E-3</v>
      </c>
      <c r="Q450" s="15">
        <f t="shared" si="52"/>
        <v>0.10634507423811357</v>
      </c>
      <c r="R450" s="13">
        <f t="shared" si="53"/>
        <v>2.5833822282910913E-3</v>
      </c>
      <c r="S450" s="15">
        <f t="shared" si="54"/>
        <v>35.267973231772061</v>
      </c>
      <c r="T450" s="15">
        <f t="shared" si="55"/>
        <v>39.658176074002057</v>
      </c>
    </row>
    <row r="451" spans="1:20" x14ac:dyDescent="0.3">
      <c r="A451" s="5">
        <v>42087.083333333336</v>
      </c>
      <c r="B451" s="14">
        <v>125060.707911736</v>
      </c>
      <c r="C451" s="14">
        <v>136375.15271351699</v>
      </c>
      <c r="D451" s="6">
        <v>3312</v>
      </c>
      <c r="E451" s="1">
        <v>2015</v>
      </c>
      <c r="F451" s="1">
        <v>3</v>
      </c>
      <c r="G451" s="1" t="s">
        <v>31</v>
      </c>
      <c r="H451" s="12">
        <v>42064</v>
      </c>
      <c r="I451" s="1">
        <v>24</v>
      </c>
      <c r="J451" s="1">
        <v>3</v>
      </c>
      <c r="K451" s="1" t="s">
        <v>23</v>
      </c>
      <c r="L451" s="1" t="s">
        <v>22</v>
      </c>
      <c r="M451" s="15">
        <f t="shared" ref="M451:M514" si="56">IFERROR(B451/D451,0)</f>
        <v>37.759875577214977</v>
      </c>
      <c r="N451" s="15">
        <f t="shared" ref="N451:N514" si="57">IFERROR(C451/D451,0)</f>
        <v>41.176072679201987</v>
      </c>
      <c r="O451" s="14">
        <f t="shared" ref="O451:O514" si="58">B451-C451</f>
        <v>-11314.444801780992</v>
      </c>
      <c r="P451" s="13">
        <f t="shared" ref="P451:P514" si="59">IFERROR(O451/B451,0)</f>
        <v>-9.0471619669435899E-2</v>
      </c>
      <c r="Q451" s="15">
        <f t="shared" ref="Q451:Q514" si="60">M451-N451</f>
        <v>-3.4161971019870094</v>
      </c>
      <c r="R451" s="13">
        <f t="shared" ref="R451:R514" si="61">IFERROR(Q451/M451,0)</f>
        <v>-9.047161966943576E-2</v>
      </c>
      <c r="S451" s="15">
        <f t="shared" ref="S451:S514" si="62">IFERROR(SUM($B$2:$B$1001)/SUM($D$2:$D$1001),0)</f>
        <v>35.267973231772061</v>
      </c>
      <c r="T451" s="15">
        <f t="shared" ref="T451:T514" si="63">AVERAGEIFS($M$2:$M$1001,$A$2:$A$1001,"&gt;="&amp;A451-29,$A$2:$A$1001,"&lt;="&amp;A451)</f>
        <v>39.659884709062716</v>
      </c>
    </row>
    <row r="452" spans="1:20" x14ac:dyDescent="0.3">
      <c r="A452" s="5">
        <v>42088.083333333336</v>
      </c>
      <c r="B452" s="14">
        <v>253218.83124198401</v>
      </c>
      <c r="C452" s="14">
        <v>276194.829484043</v>
      </c>
      <c r="D452" s="6">
        <v>6704</v>
      </c>
      <c r="E452" s="1">
        <v>2015</v>
      </c>
      <c r="F452" s="1">
        <v>3</v>
      </c>
      <c r="G452" s="1" t="s">
        <v>31</v>
      </c>
      <c r="H452" s="12">
        <v>42064</v>
      </c>
      <c r="I452" s="1">
        <v>25</v>
      </c>
      <c r="J452" s="1">
        <v>4</v>
      </c>
      <c r="K452" s="1" t="s">
        <v>25</v>
      </c>
      <c r="L452" s="1" t="s">
        <v>22</v>
      </c>
      <c r="M452" s="15">
        <f t="shared" si="56"/>
        <v>37.771305376190931</v>
      </c>
      <c r="N452" s="15">
        <f t="shared" si="57"/>
        <v>41.198512751199729</v>
      </c>
      <c r="O452" s="14">
        <f t="shared" si="58"/>
        <v>-22975.998242058995</v>
      </c>
      <c r="P452" s="13">
        <f t="shared" si="59"/>
        <v>-9.0735740818985125E-2</v>
      </c>
      <c r="Q452" s="15">
        <f t="shared" si="60"/>
        <v>-3.4272073750087984</v>
      </c>
      <c r="R452" s="13">
        <f t="shared" si="61"/>
        <v>-9.0735740818985083E-2</v>
      </c>
      <c r="S452" s="15">
        <f t="shared" si="62"/>
        <v>35.267973231772061</v>
      </c>
      <c r="T452" s="15">
        <f t="shared" si="63"/>
        <v>39.574690793844603</v>
      </c>
    </row>
    <row r="453" spans="1:20" x14ac:dyDescent="0.3">
      <c r="A453" s="5">
        <v>42089.083333333336</v>
      </c>
      <c r="B453" s="14">
        <v>229184.471880467</v>
      </c>
      <c r="C453" s="14">
        <v>250361.15020932601</v>
      </c>
      <c r="D453" s="6">
        <v>6077</v>
      </c>
      <c r="E453" s="1">
        <v>2015</v>
      </c>
      <c r="F453" s="1">
        <v>3</v>
      </c>
      <c r="G453" s="1" t="s">
        <v>31</v>
      </c>
      <c r="H453" s="12">
        <v>42064</v>
      </c>
      <c r="I453" s="1">
        <v>26</v>
      </c>
      <c r="J453" s="1">
        <v>5</v>
      </c>
      <c r="K453" s="1" t="s">
        <v>26</v>
      </c>
      <c r="L453" s="1" t="s">
        <v>22</v>
      </c>
      <c r="M453" s="15">
        <f t="shared" si="56"/>
        <v>37.713423050924305</v>
      </c>
      <c r="N453" s="15">
        <f t="shared" si="57"/>
        <v>41.19814879205628</v>
      </c>
      <c r="O453" s="14">
        <f t="shared" si="58"/>
        <v>-21176.678328859009</v>
      </c>
      <c r="P453" s="13">
        <f t="shared" si="59"/>
        <v>-9.2400144543404644E-2</v>
      </c>
      <c r="Q453" s="15">
        <f t="shared" si="60"/>
        <v>-3.4847257411319745</v>
      </c>
      <c r="R453" s="13">
        <f t="shared" si="61"/>
        <v>-9.2400144543404644E-2</v>
      </c>
      <c r="S453" s="15">
        <f t="shared" si="62"/>
        <v>35.267973231772061</v>
      </c>
      <c r="T453" s="15">
        <f t="shared" si="63"/>
        <v>39.573908224012442</v>
      </c>
    </row>
    <row r="454" spans="1:20" x14ac:dyDescent="0.3">
      <c r="A454" s="5">
        <v>42090.083333333336</v>
      </c>
      <c r="B454" s="14">
        <v>354191.35095057002</v>
      </c>
      <c r="C454" s="14">
        <v>386464.65132698597</v>
      </c>
      <c r="D454" s="6">
        <v>9386</v>
      </c>
      <c r="E454" s="1">
        <v>2015</v>
      </c>
      <c r="F454" s="1">
        <v>3</v>
      </c>
      <c r="G454" s="1" t="s">
        <v>31</v>
      </c>
      <c r="H454" s="12">
        <v>42064</v>
      </c>
      <c r="I454" s="1">
        <v>27</v>
      </c>
      <c r="J454" s="1">
        <v>6</v>
      </c>
      <c r="K454" s="1" t="s">
        <v>27</v>
      </c>
      <c r="L454" s="1" t="s">
        <v>22</v>
      </c>
      <c r="M454" s="15">
        <f t="shared" si="56"/>
        <v>37.736133704514174</v>
      </c>
      <c r="N454" s="15">
        <f t="shared" si="57"/>
        <v>41.174584628913912</v>
      </c>
      <c r="O454" s="14">
        <f t="shared" si="58"/>
        <v>-32273.300376415951</v>
      </c>
      <c r="P454" s="13">
        <f t="shared" si="59"/>
        <v>-9.1118262176085499E-2</v>
      </c>
      <c r="Q454" s="15">
        <f t="shared" si="60"/>
        <v>-3.4384509243997385</v>
      </c>
      <c r="R454" s="13">
        <f t="shared" si="61"/>
        <v>-9.1118262176085485E-2</v>
      </c>
      <c r="S454" s="15">
        <f t="shared" si="62"/>
        <v>35.267973231772061</v>
      </c>
      <c r="T454" s="15">
        <f t="shared" si="63"/>
        <v>39.572615520305554</v>
      </c>
    </row>
    <row r="455" spans="1:20" x14ac:dyDescent="0.3">
      <c r="A455" s="5">
        <v>42091.083333333336</v>
      </c>
      <c r="B455" s="14">
        <v>459484.66663548601</v>
      </c>
      <c r="C455" s="14">
        <v>501362.57249034801</v>
      </c>
      <c r="D455" s="6">
        <v>12181</v>
      </c>
      <c r="E455" s="1">
        <v>2015</v>
      </c>
      <c r="F455" s="1">
        <v>3</v>
      </c>
      <c r="G455" s="1" t="s">
        <v>31</v>
      </c>
      <c r="H455" s="12">
        <v>42064</v>
      </c>
      <c r="I455" s="1">
        <v>28</v>
      </c>
      <c r="J455" s="1">
        <v>7</v>
      </c>
      <c r="K455" s="1" t="s">
        <v>28</v>
      </c>
      <c r="L455" s="1" t="s">
        <v>22</v>
      </c>
      <c r="M455" s="15">
        <f t="shared" si="56"/>
        <v>37.721424073186604</v>
      </c>
      <c r="N455" s="15">
        <f t="shared" si="57"/>
        <v>41.159393521906907</v>
      </c>
      <c r="O455" s="14">
        <f t="shared" si="58"/>
        <v>-41877.905854862009</v>
      </c>
      <c r="P455" s="13">
        <f t="shared" si="59"/>
        <v>-9.1141030149073918E-2</v>
      </c>
      <c r="Q455" s="15">
        <f t="shared" si="60"/>
        <v>-3.4379694487203025</v>
      </c>
      <c r="R455" s="13">
        <f t="shared" si="61"/>
        <v>-9.1141030149073904E-2</v>
      </c>
      <c r="S455" s="15">
        <f t="shared" si="62"/>
        <v>35.267973231772061</v>
      </c>
      <c r="T455" s="15">
        <f t="shared" si="63"/>
        <v>39.572969758380488</v>
      </c>
    </row>
    <row r="456" spans="1:20" x14ac:dyDescent="0.3">
      <c r="A456" s="5">
        <v>42092.083333333336</v>
      </c>
      <c r="B456" s="14">
        <v>224102.88847081401</v>
      </c>
      <c r="C456" s="14">
        <v>244359.807462233</v>
      </c>
      <c r="D456" s="6">
        <v>5937</v>
      </c>
      <c r="E456" s="1">
        <v>2015</v>
      </c>
      <c r="F456" s="1">
        <v>3</v>
      </c>
      <c r="G456" s="1" t="s">
        <v>31</v>
      </c>
      <c r="H456" s="12">
        <v>42064</v>
      </c>
      <c r="I456" s="1">
        <v>29</v>
      </c>
      <c r="J456" s="1">
        <v>1</v>
      </c>
      <c r="K456" s="1" t="s">
        <v>29</v>
      </c>
      <c r="L456" s="1" t="s">
        <v>22</v>
      </c>
      <c r="M456" s="15">
        <f t="shared" si="56"/>
        <v>37.746823053867949</v>
      </c>
      <c r="N456" s="15">
        <f t="shared" si="57"/>
        <v>41.158801998018021</v>
      </c>
      <c r="O456" s="14">
        <f t="shared" si="58"/>
        <v>-20256.918991418992</v>
      </c>
      <c r="P456" s="13">
        <f t="shared" si="59"/>
        <v>-9.0391155284270899E-2</v>
      </c>
      <c r="Q456" s="15">
        <f t="shared" si="60"/>
        <v>-3.4119789441500714</v>
      </c>
      <c r="R456" s="13">
        <f t="shared" si="61"/>
        <v>-9.0391155284270816E-2</v>
      </c>
      <c r="S456" s="15">
        <f t="shared" si="62"/>
        <v>35.267973231772061</v>
      </c>
      <c r="T456" s="15">
        <f t="shared" si="63"/>
        <v>39.574287453619625</v>
      </c>
    </row>
    <row r="457" spans="1:20" x14ac:dyDescent="0.3">
      <c r="A457" s="5">
        <v>42093.083333333336</v>
      </c>
      <c r="B457" s="14">
        <v>215203.55878235801</v>
      </c>
      <c r="C457" s="14">
        <v>234819.447426689</v>
      </c>
      <c r="D457" s="6">
        <v>5706</v>
      </c>
      <c r="E457" s="1">
        <v>2015</v>
      </c>
      <c r="F457" s="1">
        <v>3</v>
      </c>
      <c r="G457" s="1" t="s">
        <v>31</v>
      </c>
      <c r="H457" s="12">
        <v>42064</v>
      </c>
      <c r="I457" s="1">
        <v>30</v>
      </c>
      <c r="J457" s="1">
        <v>2</v>
      </c>
      <c r="K457" s="1" t="s">
        <v>21</v>
      </c>
      <c r="L457" s="1" t="s">
        <v>22</v>
      </c>
      <c r="M457" s="15">
        <f t="shared" si="56"/>
        <v>37.715309986392924</v>
      </c>
      <c r="N457" s="15">
        <f t="shared" si="57"/>
        <v>41.15307525879583</v>
      </c>
      <c r="O457" s="14">
        <f t="shared" si="58"/>
        <v>-19615.888644330989</v>
      </c>
      <c r="P457" s="13">
        <f t="shared" si="59"/>
        <v>-9.1150391542405396E-2</v>
      </c>
      <c r="Q457" s="15">
        <f t="shared" si="60"/>
        <v>-3.4377652724029062</v>
      </c>
      <c r="R457" s="13">
        <f t="shared" si="61"/>
        <v>-9.1150391542405368E-2</v>
      </c>
      <c r="S457" s="15">
        <f t="shared" si="62"/>
        <v>35.267973231772061</v>
      </c>
      <c r="T457" s="15">
        <f t="shared" si="63"/>
        <v>39.573221612122339</v>
      </c>
    </row>
    <row r="458" spans="1:20" x14ac:dyDescent="0.3">
      <c r="A458" s="5">
        <v>42094.083333333336</v>
      </c>
      <c r="B458" s="14">
        <v>355534.91204206698</v>
      </c>
      <c r="C458" s="14">
        <v>386988.91474848398</v>
      </c>
      <c r="D458" s="6">
        <v>9421</v>
      </c>
      <c r="E458" s="1">
        <v>2015</v>
      </c>
      <c r="F458" s="1">
        <v>3</v>
      </c>
      <c r="G458" s="1" t="s">
        <v>31</v>
      </c>
      <c r="H458" s="12">
        <v>42064</v>
      </c>
      <c r="I458" s="1">
        <v>31</v>
      </c>
      <c r="J458" s="1">
        <v>3</v>
      </c>
      <c r="K458" s="1" t="s">
        <v>23</v>
      </c>
      <c r="L458" s="1" t="s">
        <v>22</v>
      </c>
      <c r="M458" s="15">
        <f t="shared" si="56"/>
        <v>37.738553448897882</v>
      </c>
      <c r="N458" s="15">
        <f t="shared" si="57"/>
        <v>41.077265125621906</v>
      </c>
      <c r="O458" s="14">
        <f t="shared" si="58"/>
        <v>-31454.002706416999</v>
      </c>
      <c r="P458" s="13">
        <f t="shared" si="59"/>
        <v>-8.8469519141612038E-2</v>
      </c>
      <c r="Q458" s="15">
        <f t="shared" si="60"/>
        <v>-3.3387116767240244</v>
      </c>
      <c r="R458" s="13">
        <f t="shared" si="61"/>
        <v>-8.8469519141612149E-2</v>
      </c>
      <c r="S458" s="15">
        <f t="shared" si="62"/>
        <v>35.267973231772061</v>
      </c>
      <c r="T458" s="15">
        <f t="shared" si="63"/>
        <v>39.573387403584498</v>
      </c>
    </row>
    <row r="459" spans="1:20" x14ac:dyDescent="0.3">
      <c r="A459" s="5">
        <v>42095.083333333336</v>
      </c>
      <c r="B459" s="14">
        <v>498894.34393015603</v>
      </c>
      <c r="C459" s="14">
        <v>542483.83580550901</v>
      </c>
      <c r="D459" s="6">
        <v>13207</v>
      </c>
      <c r="E459" s="1">
        <v>2015</v>
      </c>
      <c r="F459" s="1">
        <v>4</v>
      </c>
      <c r="G459" s="1" t="s">
        <v>32</v>
      </c>
      <c r="H459" s="12">
        <v>42095</v>
      </c>
      <c r="I459" s="1">
        <v>1</v>
      </c>
      <c r="J459" s="1">
        <v>4</v>
      </c>
      <c r="K459" s="1" t="s">
        <v>25</v>
      </c>
      <c r="L459" s="1" t="s">
        <v>22</v>
      </c>
      <c r="M459" s="15">
        <f t="shared" si="56"/>
        <v>37.774993861600365</v>
      </c>
      <c r="N459" s="15">
        <f t="shared" si="57"/>
        <v>41.075477837927536</v>
      </c>
      <c r="O459" s="14">
        <f t="shared" si="58"/>
        <v>-43589.491875352978</v>
      </c>
      <c r="P459" s="13">
        <f t="shared" si="59"/>
        <v>-8.7372190937196517E-2</v>
      </c>
      <c r="Q459" s="15">
        <f t="shared" si="60"/>
        <v>-3.3004839763271718</v>
      </c>
      <c r="R459" s="13">
        <f t="shared" si="61"/>
        <v>-8.7372190937196476E-2</v>
      </c>
      <c r="S459" s="15">
        <f t="shared" si="62"/>
        <v>35.267973231772061</v>
      </c>
      <c r="T459" s="15">
        <f t="shared" si="63"/>
        <v>39.574955447489067</v>
      </c>
    </row>
    <row r="460" spans="1:20" x14ac:dyDescent="0.3">
      <c r="A460" s="5">
        <v>42096.083333333336</v>
      </c>
      <c r="B460" s="14">
        <v>715032.18987024296</v>
      </c>
      <c r="C460" s="14">
        <v>777522.192751016</v>
      </c>
      <c r="D460" s="6">
        <v>18936</v>
      </c>
      <c r="E460" s="1">
        <v>2015</v>
      </c>
      <c r="F460" s="1">
        <v>4</v>
      </c>
      <c r="G460" s="1" t="s">
        <v>32</v>
      </c>
      <c r="H460" s="12">
        <v>42095</v>
      </c>
      <c r="I460" s="1">
        <v>2</v>
      </c>
      <c r="J460" s="1">
        <v>5</v>
      </c>
      <c r="K460" s="1" t="s">
        <v>26</v>
      </c>
      <c r="L460" s="1" t="s">
        <v>22</v>
      </c>
      <c r="M460" s="15">
        <f t="shared" si="56"/>
        <v>37.760466300709915</v>
      </c>
      <c r="N460" s="15">
        <f t="shared" si="57"/>
        <v>41.060529824198142</v>
      </c>
      <c r="O460" s="14">
        <f t="shared" si="58"/>
        <v>-62490.002880773041</v>
      </c>
      <c r="P460" s="13">
        <f t="shared" si="59"/>
        <v>-8.7394670849871972E-2</v>
      </c>
      <c r="Q460" s="15">
        <f t="shared" si="60"/>
        <v>-3.3000635234882267</v>
      </c>
      <c r="R460" s="13">
        <f t="shared" si="61"/>
        <v>-8.7394670849872E-2</v>
      </c>
      <c r="S460" s="15">
        <f t="shared" si="62"/>
        <v>35.267973231772061</v>
      </c>
      <c r="T460" s="15">
        <f t="shared" si="63"/>
        <v>39.576235522447035</v>
      </c>
    </row>
    <row r="461" spans="1:20" x14ac:dyDescent="0.3">
      <c r="A461" s="5">
        <v>42097.083333333336</v>
      </c>
      <c r="B461" s="14">
        <v>510289.21560512902</v>
      </c>
      <c r="C461" s="14">
        <v>554159.81941342703</v>
      </c>
      <c r="D461" s="6">
        <v>13503</v>
      </c>
      <c r="E461" s="1">
        <v>2015</v>
      </c>
      <c r="F461" s="1">
        <v>4</v>
      </c>
      <c r="G461" s="1" t="s">
        <v>32</v>
      </c>
      <c r="H461" s="12">
        <v>42095</v>
      </c>
      <c r="I461" s="1">
        <v>3</v>
      </c>
      <c r="J461" s="1">
        <v>6</v>
      </c>
      <c r="K461" s="1" t="s">
        <v>27</v>
      </c>
      <c r="L461" s="1" t="s">
        <v>22</v>
      </c>
      <c r="M461" s="15">
        <f t="shared" si="56"/>
        <v>37.790803199668893</v>
      </c>
      <c r="N461" s="15">
        <f t="shared" si="57"/>
        <v>41.039755566424276</v>
      </c>
      <c r="O461" s="14">
        <f t="shared" si="58"/>
        <v>-43870.603808298009</v>
      </c>
      <c r="P461" s="13">
        <f t="shared" si="59"/>
        <v>-8.5972037947683905E-2</v>
      </c>
      <c r="Q461" s="15">
        <f t="shared" si="60"/>
        <v>-3.2489523667553826</v>
      </c>
      <c r="R461" s="13">
        <f t="shared" si="61"/>
        <v>-8.5972037947683752E-2</v>
      </c>
      <c r="S461" s="15">
        <f t="shared" si="62"/>
        <v>35.267973231772061</v>
      </c>
      <c r="T461" s="15">
        <f t="shared" si="63"/>
        <v>39.578140252963074</v>
      </c>
    </row>
    <row r="462" spans="1:20" x14ac:dyDescent="0.3">
      <c r="A462" s="5">
        <v>42098.083333333336</v>
      </c>
      <c r="B462" s="14">
        <v>400302.03949241102</v>
      </c>
      <c r="C462" s="14">
        <v>434872.72891034599</v>
      </c>
      <c r="D462" s="6">
        <v>10600</v>
      </c>
      <c r="E462" s="1">
        <v>2015</v>
      </c>
      <c r="F462" s="1">
        <v>4</v>
      </c>
      <c r="G462" s="1" t="s">
        <v>32</v>
      </c>
      <c r="H462" s="12">
        <v>42095</v>
      </c>
      <c r="I462" s="1">
        <v>4</v>
      </c>
      <c r="J462" s="1">
        <v>7</v>
      </c>
      <c r="K462" s="1" t="s">
        <v>28</v>
      </c>
      <c r="L462" s="1" t="s">
        <v>22</v>
      </c>
      <c r="M462" s="15">
        <f t="shared" si="56"/>
        <v>37.76434334834066</v>
      </c>
      <c r="N462" s="15">
        <f t="shared" si="57"/>
        <v>41.025729142485474</v>
      </c>
      <c r="O462" s="14">
        <f t="shared" si="58"/>
        <v>-34570.689417934977</v>
      </c>
      <c r="P462" s="13">
        <f t="shared" si="59"/>
        <v>-8.6361512076658736E-2</v>
      </c>
      <c r="Q462" s="15">
        <f t="shared" si="60"/>
        <v>-3.2613857941448146</v>
      </c>
      <c r="R462" s="13">
        <f t="shared" si="61"/>
        <v>-8.6361512076658889E-2</v>
      </c>
      <c r="S462" s="15">
        <f t="shared" si="62"/>
        <v>35.267973231772061</v>
      </c>
      <c r="T462" s="15">
        <f t="shared" si="63"/>
        <v>39.575712420710381</v>
      </c>
    </row>
    <row r="463" spans="1:20" x14ac:dyDescent="0.3">
      <c r="A463" s="5">
        <v>42099.083333333336</v>
      </c>
      <c r="B463" s="14">
        <v>135578.203445038</v>
      </c>
      <c r="C463" s="14">
        <v>147335.925053666</v>
      </c>
      <c r="D463" s="6">
        <v>3591</v>
      </c>
      <c r="E463" s="1">
        <v>2015</v>
      </c>
      <c r="F463" s="1">
        <v>4</v>
      </c>
      <c r="G463" s="1" t="s">
        <v>32</v>
      </c>
      <c r="H463" s="12">
        <v>42095</v>
      </c>
      <c r="I463" s="1">
        <v>5</v>
      </c>
      <c r="J463" s="1">
        <v>1</v>
      </c>
      <c r="K463" s="1" t="s">
        <v>29</v>
      </c>
      <c r="L463" s="1" t="s">
        <v>22</v>
      </c>
      <c r="M463" s="15">
        <f t="shared" si="56"/>
        <v>37.754999566983571</v>
      </c>
      <c r="N463" s="15">
        <f t="shared" si="57"/>
        <v>41.029218895479254</v>
      </c>
      <c r="O463" s="14">
        <f t="shared" si="58"/>
        <v>-11757.721608627995</v>
      </c>
      <c r="P463" s="13">
        <f t="shared" si="59"/>
        <v>-8.6722801378574493E-2</v>
      </c>
      <c r="Q463" s="15">
        <f t="shared" si="60"/>
        <v>-3.2742193284956826</v>
      </c>
      <c r="R463" s="13">
        <f t="shared" si="61"/>
        <v>-8.6722801378574507E-2</v>
      </c>
      <c r="S463" s="15">
        <f t="shared" si="62"/>
        <v>35.267973231772061</v>
      </c>
      <c r="T463" s="15">
        <f t="shared" si="63"/>
        <v>39.575140892136638</v>
      </c>
    </row>
    <row r="464" spans="1:20" x14ac:dyDescent="0.3">
      <c r="A464" s="5">
        <v>42100.083333333336</v>
      </c>
      <c r="B464" s="14">
        <v>182466.25520866</v>
      </c>
      <c r="C464" s="14">
        <v>198405.22911232599</v>
      </c>
      <c r="D464" s="6">
        <v>4836</v>
      </c>
      <c r="E464" s="1">
        <v>2015</v>
      </c>
      <c r="F464" s="1">
        <v>4</v>
      </c>
      <c r="G464" s="1" t="s">
        <v>32</v>
      </c>
      <c r="H464" s="12">
        <v>42095</v>
      </c>
      <c r="I464" s="1">
        <v>6</v>
      </c>
      <c r="J464" s="1">
        <v>2</v>
      </c>
      <c r="K464" s="1" t="s">
        <v>21</v>
      </c>
      <c r="L464" s="1" t="s">
        <v>22</v>
      </c>
      <c r="M464" s="15">
        <f t="shared" si="56"/>
        <v>37.730822003444999</v>
      </c>
      <c r="N464" s="15">
        <f t="shared" si="57"/>
        <v>41.026722314376755</v>
      </c>
      <c r="O464" s="14">
        <f t="shared" si="58"/>
        <v>-15938.973903665988</v>
      </c>
      <c r="P464" s="13">
        <f t="shared" si="59"/>
        <v>-8.735299513566995E-2</v>
      </c>
      <c r="Q464" s="15">
        <f t="shared" si="60"/>
        <v>-3.2959003109317564</v>
      </c>
      <c r="R464" s="13">
        <f t="shared" si="61"/>
        <v>-8.7352995135669867E-2</v>
      </c>
      <c r="S464" s="15">
        <f t="shared" si="62"/>
        <v>35.267973231772061</v>
      </c>
      <c r="T464" s="15">
        <f t="shared" si="63"/>
        <v>39.573984987213564</v>
      </c>
    </row>
    <row r="465" spans="1:20" x14ac:dyDescent="0.3">
      <c r="A465" s="5">
        <v>42101.083333333336</v>
      </c>
      <c r="B465" s="14">
        <v>176814.20256947001</v>
      </c>
      <c r="C465" s="14">
        <v>178390.149061554</v>
      </c>
      <c r="D465" s="6">
        <v>4348</v>
      </c>
      <c r="E465" s="1">
        <v>2015</v>
      </c>
      <c r="F465" s="1">
        <v>4</v>
      </c>
      <c r="G465" s="1" t="s">
        <v>32</v>
      </c>
      <c r="H465" s="12">
        <v>42095</v>
      </c>
      <c r="I465" s="1">
        <v>7</v>
      </c>
      <c r="J465" s="1">
        <v>3</v>
      </c>
      <c r="K465" s="1" t="s">
        <v>23</v>
      </c>
      <c r="L465" s="1" t="s">
        <v>22</v>
      </c>
      <c r="M465" s="15">
        <f t="shared" si="56"/>
        <v>40.665639965379491</v>
      </c>
      <c r="N465" s="15">
        <f t="shared" si="57"/>
        <v>41.028093160430998</v>
      </c>
      <c r="O465" s="14">
        <f t="shared" si="58"/>
        <v>-1575.9464920839819</v>
      </c>
      <c r="P465" s="13">
        <f t="shared" si="59"/>
        <v>-8.9130085093972865E-3</v>
      </c>
      <c r="Q465" s="15">
        <f t="shared" si="60"/>
        <v>-0.36245319505150775</v>
      </c>
      <c r="R465" s="13">
        <f t="shared" si="61"/>
        <v>-8.9130085093971391E-3</v>
      </c>
      <c r="S465" s="15">
        <f t="shared" si="62"/>
        <v>35.267973231772061</v>
      </c>
      <c r="T465" s="15">
        <f t="shared" si="63"/>
        <v>39.557211470860793</v>
      </c>
    </row>
    <row r="466" spans="1:20" x14ac:dyDescent="0.3">
      <c r="A466" s="5">
        <v>42102.083333333336</v>
      </c>
      <c r="B466" s="14">
        <v>100917.67156519899</v>
      </c>
      <c r="C466" s="14">
        <v>100579.128948365</v>
      </c>
      <c r="D466" s="6">
        <v>2451</v>
      </c>
      <c r="E466" s="1">
        <v>2015</v>
      </c>
      <c r="F466" s="1">
        <v>4</v>
      </c>
      <c r="G466" s="1" t="s">
        <v>32</v>
      </c>
      <c r="H466" s="12">
        <v>42095</v>
      </c>
      <c r="I466" s="1">
        <v>8</v>
      </c>
      <c r="J466" s="1">
        <v>4</v>
      </c>
      <c r="K466" s="1" t="s">
        <v>25</v>
      </c>
      <c r="L466" s="1" t="s">
        <v>22</v>
      </c>
      <c r="M466" s="15">
        <f t="shared" si="56"/>
        <v>41.174080605956341</v>
      </c>
      <c r="N466" s="15">
        <f t="shared" si="57"/>
        <v>41.035956323282335</v>
      </c>
      <c r="O466" s="14">
        <f t="shared" si="58"/>
        <v>338.54261683399091</v>
      </c>
      <c r="P466" s="13">
        <f t="shared" si="59"/>
        <v>3.3546415764782252E-3</v>
      </c>
      <c r="Q466" s="15">
        <f t="shared" si="60"/>
        <v>0.13812428267400634</v>
      </c>
      <c r="R466" s="13">
        <f t="shared" si="61"/>
        <v>3.3546415764782117E-3</v>
      </c>
      <c r="S466" s="15">
        <f t="shared" si="62"/>
        <v>35.267973231772061</v>
      </c>
      <c r="T466" s="15">
        <f t="shared" si="63"/>
        <v>39.55737757278844</v>
      </c>
    </row>
    <row r="467" spans="1:20" x14ac:dyDescent="0.3">
      <c r="A467" s="5">
        <v>42103.083333333336</v>
      </c>
      <c r="B467" s="14">
        <v>74690.672729450496</v>
      </c>
      <c r="C467" s="14">
        <v>74427.585972183995</v>
      </c>
      <c r="D467" s="6">
        <v>1814</v>
      </c>
      <c r="E467" s="1">
        <v>2015</v>
      </c>
      <c r="F467" s="1">
        <v>4</v>
      </c>
      <c r="G467" s="1" t="s">
        <v>32</v>
      </c>
      <c r="H467" s="12">
        <v>42095</v>
      </c>
      <c r="I467" s="1">
        <v>9</v>
      </c>
      <c r="J467" s="1">
        <v>5</v>
      </c>
      <c r="K467" s="1" t="s">
        <v>26</v>
      </c>
      <c r="L467" s="1" t="s">
        <v>22</v>
      </c>
      <c r="M467" s="15">
        <f t="shared" si="56"/>
        <v>41.174571515683844</v>
      </c>
      <c r="N467" s="15">
        <f t="shared" si="57"/>
        <v>41.029540227223812</v>
      </c>
      <c r="O467" s="14">
        <f t="shared" si="58"/>
        <v>263.08675726650108</v>
      </c>
      <c r="P467" s="13">
        <f t="shared" si="59"/>
        <v>3.5223508860265772E-3</v>
      </c>
      <c r="Q467" s="15">
        <f t="shared" si="60"/>
        <v>0.14503128846003221</v>
      </c>
      <c r="R467" s="13">
        <f t="shared" si="61"/>
        <v>3.5223508860265421E-3</v>
      </c>
      <c r="S467" s="15">
        <f t="shared" si="62"/>
        <v>35.267973231772061</v>
      </c>
      <c r="T467" s="15">
        <f t="shared" si="63"/>
        <v>39.557447849232169</v>
      </c>
    </row>
    <row r="468" spans="1:20" x14ac:dyDescent="0.3">
      <c r="A468" s="5">
        <v>42104.083333333336</v>
      </c>
      <c r="B468" s="14">
        <v>114067.077101727</v>
      </c>
      <c r="C468" s="14">
        <v>113653.97356322</v>
      </c>
      <c r="D468" s="6">
        <v>2770</v>
      </c>
      <c r="E468" s="1">
        <v>2015</v>
      </c>
      <c r="F468" s="1">
        <v>4</v>
      </c>
      <c r="G468" s="1" t="s">
        <v>32</v>
      </c>
      <c r="H468" s="12">
        <v>42095</v>
      </c>
      <c r="I468" s="1">
        <v>10</v>
      </c>
      <c r="J468" s="1">
        <v>6</v>
      </c>
      <c r="K468" s="1" t="s">
        <v>27</v>
      </c>
      <c r="L468" s="1" t="s">
        <v>22</v>
      </c>
      <c r="M468" s="15">
        <f t="shared" si="56"/>
        <v>41.179450217229963</v>
      </c>
      <c r="N468" s="15">
        <f t="shared" si="57"/>
        <v>41.030315365783395</v>
      </c>
      <c r="O468" s="14">
        <f t="shared" si="58"/>
        <v>413.10353850699903</v>
      </c>
      <c r="P468" s="13">
        <f t="shared" si="59"/>
        <v>3.6215843256734467E-3</v>
      </c>
      <c r="Q468" s="15">
        <f t="shared" si="60"/>
        <v>0.14913485144656846</v>
      </c>
      <c r="R468" s="13">
        <f t="shared" si="61"/>
        <v>3.6215843256734081E-3</v>
      </c>
      <c r="S468" s="15">
        <f t="shared" si="62"/>
        <v>35.267973231772061</v>
      </c>
      <c r="T468" s="15">
        <f t="shared" si="63"/>
        <v>39.557705999227601</v>
      </c>
    </row>
    <row r="469" spans="1:20" x14ac:dyDescent="0.3">
      <c r="A469" s="5">
        <v>42105.083333333336</v>
      </c>
      <c r="B469" s="14">
        <v>126507.800941166</v>
      </c>
      <c r="C469" s="14">
        <v>126043.769159337</v>
      </c>
      <c r="D469" s="6">
        <v>3072</v>
      </c>
      <c r="E469" s="1">
        <v>2015</v>
      </c>
      <c r="F469" s="1">
        <v>4</v>
      </c>
      <c r="G469" s="1" t="s">
        <v>32</v>
      </c>
      <c r="H469" s="12">
        <v>42095</v>
      </c>
      <c r="I469" s="1">
        <v>11</v>
      </c>
      <c r="J469" s="1">
        <v>7</v>
      </c>
      <c r="K469" s="1" t="s">
        <v>28</v>
      </c>
      <c r="L469" s="1" t="s">
        <v>22</v>
      </c>
      <c r="M469" s="15">
        <f t="shared" si="56"/>
        <v>41.180924785535808</v>
      </c>
      <c r="N469" s="15">
        <f t="shared" si="57"/>
        <v>41.029872773221676</v>
      </c>
      <c r="O469" s="14">
        <f t="shared" si="58"/>
        <v>464.03178182900592</v>
      </c>
      <c r="P469" s="13">
        <f t="shared" si="59"/>
        <v>3.6680092324489111E-3</v>
      </c>
      <c r="Q469" s="15">
        <f t="shared" si="60"/>
        <v>0.1510520123141319</v>
      </c>
      <c r="R469" s="13">
        <f t="shared" si="61"/>
        <v>3.6680092324489683E-3</v>
      </c>
      <c r="S469" s="15">
        <f t="shared" si="62"/>
        <v>35.267973231772061</v>
      </c>
      <c r="T469" s="15">
        <f t="shared" si="63"/>
        <v>39.557948293632244</v>
      </c>
    </row>
    <row r="470" spans="1:20" x14ac:dyDescent="0.3">
      <c r="A470" s="5">
        <v>42106.083333333336</v>
      </c>
      <c r="B470" s="14">
        <v>79648.629394640506</v>
      </c>
      <c r="C470" s="14">
        <v>79349.402451342699</v>
      </c>
      <c r="D470" s="6">
        <v>1934</v>
      </c>
      <c r="E470" s="1">
        <v>2015</v>
      </c>
      <c r="F470" s="1">
        <v>4</v>
      </c>
      <c r="G470" s="1" t="s">
        <v>32</v>
      </c>
      <c r="H470" s="12">
        <v>42095</v>
      </c>
      <c r="I470" s="1">
        <v>12</v>
      </c>
      <c r="J470" s="1">
        <v>1</v>
      </c>
      <c r="K470" s="1" t="s">
        <v>29</v>
      </c>
      <c r="L470" s="1" t="s">
        <v>22</v>
      </c>
      <c r="M470" s="15">
        <f t="shared" si="56"/>
        <v>41.183365767652795</v>
      </c>
      <c r="N470" s="15">
        <f t="shared" si="57"/>
        <v>41.028646562224765</v>
      </c>
      <c r="O470" s="14">
        <f t="shared" si="58"/>
        <v>299.22694329780643</v>
      </c>
      <c r="P470" s="13">
        <f t="shared" si="59"/>
        <v>3.7568373187591999E-3</v>
      </c>
      <c r="Q470" s="15">
        <f t="shared" si="60"/>
        <v>0.15471920542803019</v>
      </c>
      <c r="R470" s="13">
        <f t="shared" si="61"/>
        <v>3.7568373187592497E-3</v>
      </c>
      <c r="S470" s="15">
        <f t="shared" si="62"/>
        <v>35.267973231772061</v>
      </c>
      <c r="T470" s="15">
        <f t="shared" si="63"/>
        <v>39.558524335480655</v>
      </c>
    </row>
    <row r="471" spans="1:20" x14ac:dyDescent="0.3">
      <c r="A471" s="5">
        <v>42107.083333333336</v>
      </c>
      <c r="B471" s="14">
        <v>83137.432427590204</v>
      </c>
      <c r="C471" s="14">
        <v>82700.354170302904</v>
      </c>
      <c r="D471" s="6">
        <v>2019</v>
      </c>
      <c r="E471" s="1">
        <v>2015</v>
      </c>
      <c r="F471" s="1">
        <v>4</v>
      </c>
      <c r="G471" s="1" t="s">
        <v>32</v>
      </c>
      <c r="H471" s="12">
        <v>42095</v>
      </c>
      <c r="I471" s="1">
        <v>13</v>
      </c>
      <c r="J471" s="1">
        <v>2</v>
      </c>
      <c r="K471" s="1" t="s">
        <v>21</v>
      </c>
      <c r="L471" s="1" t="s">
        <v>22</v>
      </c>
      <c r="M471" s="15">
        <f t="shared" si="56"/>
        <v>41.17752968181783</v>
      </c>
      <c r="N471" s="15">
        <f t="shared" si="57"/>
        <v>40.961047137346661</v>
      </c>
      <c r="O471" s="14">
        <f t="shared" si="58"/>
        <v>437.07825728729949</v>
      </c>
      <c r="P471" s="13">
        <f t="shared" si="59"/>
        <v>5.2572980007288455E-3</v>
      </c>
      <c r="Q471" s="15">
        <f t="shared" si="60"/>
        <v>0.21648254447116955</v>
      </c>
      <c r="R471" s="13">
        <f t="shared" si="61"/>
        <v>5.2572980007287475E-3</v>
      </c>
      <c r="S471" s="15">
        <f t="shared" si="62"/>
        <v>35.267973231772061</v>
      </c>
      <c r="T471" s="15">
        <f t="shared" si="63"/>
        <v>39.558475827100132</v>
      </c>
    </row>
    <row r="472" spans="1:20" x14ac:dyDescent="0.3">
      <c r="A472" s="5">
        <v>42108.083333333336</v>
      </c>
      <c r="B472" s="14">
        <v>40776.027061670196</v>
      </c>
      <c r="C472" s="14">
        <v>39940.199579223197</v>
      </c>
      <c r="D472" s="6">
        <v>979</v>
      </c>
      <c r="E472" s="1">
        <v>2015</v>
      </c>
      <c r="F472" s="1">
        <v>4</v>
      </c>
      <c r="G472" s="1" t="s">
        <v>32</v>
      </c>
      <c r="H472" s="12">
        <v>42095</v>
      </c>
      <c r="I472" s="1">
        <v>14</v>
      </c>
      <c r="J472" s="1">
        <v>3</v>
      </c>
      <c r="K472" s="1" t="s">
        <v>23</v>
      </c>
      <c r="L472" s="1" t="s">
        <v>22</v>
      </c>
      <c r="M472" s="15">
        <f t="shared" si="56"/>
        <v>41.650691584954238</v>
      </c>
      <c r="N472" s="15">
        <f t="shared" si="57"/>
        <v>40.796935218818383</v>
      </c>
      <c r="O472" s="14">
        <f t="shared" si="58"/>
        <v>835.82748244699906</v>
      </c>
      <c r="P472" s="13">
        <f t="shared" si="59"/>
        <v>2.049801176516983E-2</v>
      </c>
      <c r="Q472" s="15">
        <f t="shared" si="60"/>
        <v>0.85375636613585471</v>
      </c>
      <c r="R472" s="13">
        <f t="shared" si="61"/>
        <v>2.0498011765169896E-2</v>
      </c>
      <c r="S472" s="15">
        <f t="shared" si="62"/>
        <v>35.267973231772061</v>
      </c>
      <c r="T472" s="15">
        <f t="shared" si="63"/>
        <v>39.574412941782739</v>
      </c>
    </row>
    <row r="473" spans="1:20" x14ac:dyDescent="0.3">
      <c r="A473" s="5">
        <v>42109.083333333336</v>
      </c>
      <c r="B473" s="14">
        <v>58278.457926050403</v>
      </c>
      <c r="C473" s="14">
        <v>56969.922594239397</v>
      </c>
      <c r="D473" s="6">
        <v>1398</v>
      </c>
      <c r="E473" s="1">
        <v>2015</v>
      </c>
      <c r="F473" s="1">
        <v>4</v>
      </c>
      <c r="G473" s="1" t="s">
        <v>32</v>
      </c>
      <c r="H473" s="12">
        <v>42095</v>
      </c>
      <c r="I473" s="1">
        <v>15</v>
      </c>
      <c r="J473" s="1">
        <v>4</v>
      </c>
      <c r="K473" s="1" t="s">
        <v>25</v>
      </c>
      <c r="L473" s="1" t="s">
        <v>22</v>
      </c>
      <c r="M473" s="15">
        <f t="shared" si="56"/>
        <v>41.687022836945928</v>
      </c>
      <c r="N473" s="15">
        <f t="shared" si="57"/>
        <v>40.751017592445919</v>
      </c>
      <c r="O473" s="14">
        <f t="shared" si="58"/>
        <v>1308.5353318110065</v>
      </c>
      <c r="P473" s="13">
        <f t="shared" si="59"/>
        <v>2.2453156421390015E-2</v>
      </c>
      <c r="Q473" s="15">
        <f t="shared" si="60"/>
        <v>0.93600524450000933</v>
      </c>
      <c r="R473" s="13">
        <f t="shared" si="61"/>
        <v>2.2453156421390126E-2</v>
      </c>
      <c r="S473" s="15">
        <f t="shared" si="62"/>
        <v>35.267973231772061</v>
      </c>
      <c r="T473" s="15">
        <f t="shared" si="63"/>
        <v>39.591931888336873</v>
      </c>
    </row>
    <row r="474" spans="1:20" x14ac:dyDescent="0.3">
      <c r="A474" s="5">
        <v>42110.083333333336</v>
      </c>
      <c r="B474" s="14">
        <v>50000.101443420201</v>
      </c>
      <c r="C474" s="14">
        <v>48827.885381172797</v>
      </c>
      <c r="D474" s="6">
        <v>1198</v>
      </c>
      <c r="E474" s="1">
        <v>2015</v>
      </c>
      <c r="F474" s="1">
        <v>4</v>
      </c>
      <c r="G474" s="1" t="s">
        <v>32</v>
      </c>
      <c r="H474" s="12">
        <v>42095</v>
      </c>
      <c r="I474" s="1">
        <v>16</v>
      </c>
      <c r="J474" s="1">
        <v>5</v>
      </c>
      <c r="K474" s="1" t="s">
        <v>26</v>
      </c>
      <c r="L474" s="1" t="s">
        <v>22</v>
      </c>
      <c r="M474" s="15">
        <f t="shared" si="56"/>
        <v>41.736311722387477</v>
      </c>
      <c r="N474" s="15">
        <f t="shared" si="57"/>
        <v>40.757834207990648</v>
      </c>
      <c r="O474" s="14">
        <f t="shared" si="58"/>
        <v>1172.2160622474039</v>
      </c>
      <c r="P474" s="13">
        <f t="shared" si="59"/>
        <v>2.3444273679601953E-2</v>
      </c>
      <c r="Q474" s="15">
        <f t="shared" si="60"/>
        <v>0.97847751439682895</v>
      </c>
      <c r="R474" s="13">
        <f t="shared" si="61"/>
        <v>2.3444273679601901E-2</v>
      </c>
      <c r="S474" s="15">
        <f t="shared" si="62"/>
        <v>35.267973231772061</v>
      </c>
      <c r="T474" s="15">
        <f t="shared" si="63"/>
        <v>39.609981382109133</v>
      </c>
    </row>
    <row r="475" spans="1:20" x14ac:dyDescent="0.3">
      <c r="A475" s="5">
        <v>42111.083333333336</v>
      </c>
      <c r="B475" s="14">
        <v>103911.91908212801</v>
      </c>
      <c r="C475" s="14">
        <v>101408.94958672</v>
      </c>
      <c r="D475" s="6">
        <v>2485</v>
      </c>
      <c r="E475" s="1">
        <v>2015</v>
      </c>
      <c r="F475" s="1">
        <v>4</v>
      </c>
      <c r="G475" s="1" t="s">
        <v>32</v>
      </c>
      <c r="H475" s="12">
        <v>42095</v>
      </c>
      <c r="I475" s="1">
        <v>17</v>
      </c>
      <c r="J475" s="1">
        <v>6</v>
      </c>
      <c r="K475" s="1" t="s">
        <v>27</v>
      </c>
      <c r="L475" s="1" t="s">
        <v>22</v>
      </c>
      <c r="M475" s="15">
        <f t="shared" si="56"/>
        <v>41.815661602466001</v>
      </c>
      <c r="N475" s="15">
        <f t="shared" si="57"/>
        <v>40.808430417191147</v>
      </c>
      <c r="O475" s="14">
        <f t="shared" si="58"/>
        <v>2502.9694954080041</v>
      </c>
      <c r="P475" s="13">
        <f t="shared" si="59"/>
        <v>2.408741477895094E-2</v>
      </c>
      <c r="Q475" s="15">
        <f t="shared" si="60"/>
        <v>1.0072311852748541</v>
      </c>
      <c r="R475" s="13">
        <f t="shared" si="61"/>
        <v>2.4087414778951016E-2</v>
      </c>
      <c r="S475" s="15">
        <f t="shared" si="62"/>
        <v>35.267973231772061</v>
      </c>
      <c r="T475" s="15">
        <f t="shared" si="63"/>
        <v>39.631896761386479</v>
      </c>
    </row>
    <row r="476" spans="1:20" x14ac:dyDescent="0.3">
      <c r="A476" s="5">
        <v>42112.083333333336</v>
      </c>
      <c r="B476" s="14">
        <v>132843.22261657601</v>
      </c>
      <c r="C476" s="14">
        <v>129545.532123517</v>
      </c>
      <c r="D476" s="6">
        <v>3172</v>
      </c>
      <c r="E476" s="1">
        <v>2015</v>
      </c>
      <c r="F476" s="1">
        <v>4</v>
      </c>
      <c r="G476" s="1" t="s">
        <v>32</v>
      </c>
      <c r="H476" s="12">
        <v>42095</v>
      </c>
      <c r="I476" s="1">
        <v>18</v>
      </c>
      <c r="J476" s="1">
        <v>7</v>
      </c>
      <c r="K476" s="1" t="s">
        <v>28</v>
      </c>
      <c r="L476" s="1" t="s">
        <v>22</v>
      </c>
      <c r="M476" s="15">
        <f t="shared" si="56"/>
        <v>41.87995668870618</v>
      </c>
      <c r="N476" s="15">
        <f t="shared" si="57"/>
        <v>40.840331690894388</v>
      </c>
      <c r="O476" s="14">
        <f t="shared" si="58"/>
        <v>3297.6904930590099</v>
      </c>
      <c r="P476" s="13">
        <f t="shared" si="59"/>
        <v>2.4823927243748815E-2</v>
      </c>
      <c r="Q476" s="15">
        <f t="shared" si="60"/>
        <v>1.0396249978117922</v>
      </c>
      <c r="R476" s="13">
        <f t="shared" si="61"/>
        <v>2.4823927243748777E-2</v>
      </c>
      <c r="S476" s="15">
        <f t="shared" si="62"/>
        <v>35.267973231772061</v>
      </c>
      <c r="T476" s="15">
        <f t="shared" si="63"/>
        <v>39.656048409179853</v>
      </c>
    </row>
    <row r="477" spans="1:20" x14ac:dyDescent="0.3">
      <c r="A477" s="5">
        <v>42113.083333333336</v>
      </c>
      <c r="B477" s="14">
        <v>62786.611277180004</v>
      </c>
      <c r="C477" s="14">
        <v>61213.255905066602</v>
      </c>
      <c r="D477" s="6">
        <v>1497</v>
      </c>
      <c r="E477" s="1">
        <v>2015</v>
      </c>
      <c r="F477" s="1">
        <v>4</v>
      </c>
      <c r="G477" s="1" t="s">
        <v>32</v>
      </c>
      <c r="H477" s="12">
        <v>42095</v>
      </c>
      <c r="I477" s="1">
        <v>19</v>
      </c>
      <c r="J477" s="1">
        <v>1</v>
      </c>
      <c r="K477" s="1" t="s">
        <v>29</v>
      </c>
      <c r="L477" s="1" t="s">
        <v>22</v>
      </c>
      <c r="M477" s="15">
        <f t="shared" si="56"/>
        <v>41.941624099652643</v>
      </c>
      <c r="N477" s="15">
        <f t="shared" si="57"/>
        <v>40.89061850705852</v>
      </c>
      <c r="O477" s="14">
        <f t="shared" si="58"/>
        <v>1573.3553721134012</v>
      </c>
      <c r="P477" s="13">
        <f t="shared" si="59"/>
        <v>2.5058771927785859E-2</v>
      </c>
      <c r="Q477" s="15">
        <f t="shared" si="60"/>
        <v>1.0510055925941231</v>
      </c>
      <c r="R477" s="13">
        <f t="shared" si="61"/>
        <v>2.5058771927785873E-2</v>
      </c>
      <c r="S477" s="15">
        <f t="shared" si="62"/>
        <v>35.267973231772061</v>
      </c>
      <c r="T477" s="15">
        <f t="shared" si="63"/>
        <v>39.681655767331065</v>
      </c>
    </row>
    <row r="478" spans="1:20" x14ac:dyDescent="0.3">
      <c r="A478" s="5">
        <v>42114.083333333336</v>
      </c>
      <c r="B478" s="14">
        <v>57233.406641560097</v>
      </c>
      <c r="C478" s="14">
        <v>55706.875425596503</v>
      </c>
      <c r="D478" s="6">
        <v>1365</v>
      </c>
      <c r="E478" s="1">
        <v>2015</v>
      </c>
      <c r="F478" s="1">
        <v>4</v>
      </c>
      <c r="G478" s="1" t="s">
        <v>32</v>
      </c>
      <c r="H478" s="12">
        <v>42095</v>
      </c>
      <c r="I478" s="1">
        <v>20</v>
      </c>
      <c r="J478" s="1">
        <v>2</v>
      </c>
      <c r="K478" s="1" t="s">
        <v>21</v>
      </c>
      <c r="L478" s="1" t="s">
        <v>22</v>
      </c>
      <c r="M478" s="15">
        <f t="shared" si="56"/>
        <v>41.929235634842563</v>
      </c>
      <c r="N478" s="15">
        <f t="shared" si="57"/>
        <v>40.810897747689744</v>
      </c>
      <c r="O478" s="14">
        <f t="shared" si="58"/>
        <v>1526.5312159635941</v>
      </c>
      <c r="P478" s="13">
        <f t="shared" si="59"/>
        <v>2.6672031345677437E-2</v>
      </c>
      <c r="Q478" s="15">
        <f t="shared" si="60"/>
        <v>1.1183378871528191</v>
      </c>
      <c r="R478" s="13">
        <f t="shared" si="61"/>
        <v>2.6672031345677506E-2</v>
      </c>
      <c r="S478" s="15">
        <f t="shared" si="62"/>
        <v>35.267973231772061</v>
      </c>
      <c r="T478" s="15">
        <f t="shared" si="63"/>
        <v>39.706591546933424</v>
      </c>
    </row>
    <row r="479" spans="1:20" x14ac:dyDescent="0.3">
      <c r="A479" s="5">
        <v>42115.083333333336</v>
      </c>
      <c r="B479" s="14">
        <v>56874.34545501</v>
      </c>
      <c r="C479" s="14">
        <v>55172.1712255487</v>
      </c>
      <c r="D479" s="6">
        <v>1353</v>
      </c>
      <c r="E479" s="1">
        <v>2015</v>
      </c>
      <c r="F479" s="1">
        <v>4</v>
      </c>
      <c r="G479" s="1" t="s">
        <v>32</v>
      </c>
      <c r="H479" s="12">
        <v>42095</v>
      </c>
      <c r="I479" s="1">
        <v>21</v>
      </c>
      <c r="J479" s="1">
        <v>3</v>
      </c>
      <c r="K479" s="1" t="s">
        <v>23</v>
      </c>
      <c r="L479" s="1" t="s">
        <v>22</v>
      </c>
      <c r="M479" s="15">
        <f t="shared" si="56"/>
        <v>42.035732043614189</v>
      </c>
      <c r="N479" s="15">
        <f t="shared" si="57"/>
        <v>40.777657964189729</v>
      </c>
      <c r="O479" s="14">
        <f t="shared" si="58"/>
        <v>1702.1742294612995</v>
      </c>
      <c r="P479" s="13">
        <f t="shared" si="59"/>
        <v>2.9928682534162806E-2</v>
      </c>
      <c r="Q479" s="15">
        <f t="shared" si="60"/>
        <v>1.2580740794244605</v>
      </c>
      <c r="R479" s="13">
        <f t="shared" si="61"/>
        <v>2.9928682534162726E-2</v>
      </c>
      <c r="S479" s="15">
        <f t="shared" si="62"/>
        <v>35.267973231772061</v>
      </c>
      <c r="T479" s="15">
        <f t="shared" si="63"/>
        <v>39.735204378646145</v>
      </c>
    </row>
    <row r="480" spans="1:20" x14ac:dyDescent="0.3">
      <c r="A480" s="5">
        <v>42116.083333333336</v>
      </c>
      <c r="B480" s="14">
        <v>132737.73701689899</v>
      </c>
      <c r="C480" s="14">
        <v>140263.93010239201</v>
      </c>
      <c r="D480" s="6">
        <v>3439</v>
      </c>
      <c r="E480" s="1">
        <v>2015</v>
      </c>
      <c r="F480" s="1">
        <v>4</v>
      </c>
      <c r="G480" s="1" t="s">
        <v>32</v>
      </c>
      <c r="H480" s="12">
        <v>42095</v>
      </c>
      <c r="I480" s="1">
        <v>22</v>
      </c>
      <c r="J480" s="1">
        <v>4</v>
      </c>
      <c r="K480" s="1" t="s">
        <v>25</v>
      </c>
      <c r="L480" s="1" t="s">
        <v>22</v>
      </c>
      <c r="M480" s="15">
        <f t="shared" si="56"/>
        <v>38.597771740883687</v>
      </c>
      <c r="N480" s="15">
        <f t="shared" si="57"/>
        <v>40.78625475498459</v>
      </c>
      <c r="O480" s="14">
        <f t="shared" si="58"/>
        <v>-7526.1930854930251</v>
      </c>
      <c r="P480" s="13">
        <f t="shared" si="59"/>
        <v>-5.6699724242962324E-2</v>
      </c>
      <c r="Q480" s="15">
        <f t="shared" si="60"/>
        <v>-2.1884830141009033</v>
      </c>
      <c r="R480" s="13">
        <f t="shared" si="61"/>
        <v>-5.6699724242962178E-2</v>
      </c>
      <c r="S480" s="15">
        <f t="shared" si="62"/>
        <v>35.267973231772061</v>
      </c>
      <c r="T480" s="15">
        <f t="shared" si="63"/>
        <v>39.649628234854909</v>
      </c>
    </row>
    <row r="481" spans="1:20" x14ac:dyDescent="0.3">
      <c r="A481" s="5">
        <v>42117.083333333336</v>
      </c>
      <c r="B481" s="14">
        <v>60310.338948119999</v>
      </c>
      <c r="C481" s="14">
        <v>58446.054929901402</v>
      </c>
      <c r="D481" s="6">
        <v>1434</v>
      </c>
      <c r="E481" s="1">
        <v>2015</v>
      </c>
      <c r="F481" s="1">
        <v>4</v>
      </c>
      <c r="G481" s="1" t="s">
        <v>32</v>
      </c>
      <c r="H481" s="12">
        <v>42095</v>
      </c>
      <c r="I481" s="1">
        <v>23</v>
      </c>
      <c r="J481" s="1">
        <v>5</v>
      </c>
      <c r="K481" s="1" t="s">
        <v>26</v>
      </c>
      <c r="L481" s="1" t="s">
        <v>22</v>
      </c>
      <c r="M481" s="15">
        <f t="shared" si="56"/>
        <v>42.057419071213388</v>
      </c>
      <c r="N481" s="15">
        <f t="shared" si="57"/>
        <v>40.757360481102793</v>
      </c>
      <c r="O481" s="14">
        <f t="shared" si="58"/>
        <v>1864.2840182185973</v>
      </c>
      <c r="P481" s="13">
        <f t="shared" si="59"/>
        <v>3.0911516180041482E-2</v>
      </c>
      <c r="Q481" s="15">
        <f t="shared" si="60"/>
        <v>1.300058590110595</v>
      </c>
      <c r="R481" s="13">
        <f t="shared" si="61"/>
        <v>3.0911516180041412E-2</v>
      </c>
      <c r="S481" s="15">
        <f t="shared" si="62"/>
        <v>35.267973231772061</v>
      </c>
      <c r="T481" s="15">
        <f t="shared" si="63"/>
        <v>39.792879684654856</v>
      </c>
    </row>
    <row r="482" spans="1:20" x14ac:dyDescent="0.3">
      <c r="A482" s="5">
        <v>42118.083333333336</v>
      </c>
      <c r="B482" s="14">
        <v>343587.00847871898</v>
      </c>
      <c r="C482" s="14">
        <v>362390.59604190802</v>
      </c>
      <c r="D482" s="6">
        <v>8892</v>
      </c>
      <c r="E482" s="1">
        <v>2015</v>
      </c>
      <c r="F482" s="1">
        <v>4</v>
      </c>
      <c r="G482" s="1" t="s">
        <v>32</v>
      </c>
      <c r="H482" s="12">
        <v>42095</v>
      </c>
      <c r="I482" s="1">
        <v>24</v>
      </c>
      <c r="J482" s="1">
        <v>6</v>
      </c>
      <c r="K482" s="1" t="s">
        <v>27</v>
      </c>
      <c r="L482" s="1" t="s">
        <v>22</v>
      </c>
      <c r="M482" s="15">
        <f t="shared" si="56"/>
        <v>38.640014448798809</v>
      </c>
      <c r="N482" s="15">
        <f t="shared" si="57"/>
        <v>40.754677917443544</v>
      </c>
      <c r="O482" s="14">
        <f t="shared" si="58"/>
        <v>-18803.587563189038</v>
      </c>
      <c r="P482" s="13">
        <f t="shared" si="59"/>
        <v>-5.4727294976735681E-2</v>
      </c>
      <c r="Q482" s="15">
        <f t="shared" si="60"/>
        <v>-2.1146634686447356</v>
      </c>
      <c r="R482" s="13">
        <f t="shared" si="61"/>
        <v>-5.4727294976735535E-2</v>
      </c>
      <c r="S482" s="15">
        <f t="shared" si="62"/>
        <v>35.267973231772061</v>
      </c>
      <c r="T482" s="15">
        <f t="shared" si="63"/>
        <v>39.821836653741784</v>
      </c>
    </row>
    <row r="483" spans="1:20" x14ac:dyDescent="0.3">
      <c r="A483" s="5">
        <v>42119.083333333336</v>
      </c>
      <c r="B483" s="14">
        <v>496882.31502370298</v>
      </c>
      <c r="C483" s="14">
        <v>535306.00987018796</v>
      </c>
      <c r="D483" s="6">
        <v>13144</v>
      </c>
      <c r="E483" s="1">
        <v>2015</v>
      </c>
      <c r="F483" s="1">
        <v>4</v>
      </c>
      <c r="G483" s="1" t="s">
        <v>32</v>
      </c>
      <c r="H483" s="12">
        <v>42095</v>
      </c>
      <c r="I483" s="1">
        <v>25</v>
      </c>
      <c r="J483" s="1">
        <v>7</v>
      </c>
      <c r="K483" s="1" t="s">
        <v>28</v>
      </c>
      <c r="L483" s="1" t="s">
        <v>22</v>
      </c>
      <c r="M483" s="15">
        <f t="shared" si="56"/>
        <v>37.802975884335282</v>
      </c>
      <c r="N483" s="15">
        <f t="shared" si="57"/>
        <v>40.726263684585206</v>
      </c>
      <c r="O483" s="14">
        <f t="shared" si="58"/>
        <v>-38423.694846484985</v>
      </c>
      <c r="P483" s="13">
        <f t="shared" si="59"/>
        <v>-7.7329568158713891E-2</v>
      </c>
      <c r="Q483" s="15">
        <f t="shared" si="60"/>
        <v>-2.9232878002499234</v>
      </c>
      <c r="R483" s="13">
        <f t="shared" si="61"/>
        <v>-7.7329568158713904E-2</v>
      </c>
      <c r="S483" s="15">
        <f t="shared" si="62"/>
        <v>35.267973231772061</v>
      </c>
      <c r="T483" s="15">
        <f t="shared" si="63"/>
        <v>39.824821748188818</v>
      </c>
    </row>
    <row r="484" spans="1:20" x14ac:dyDescent="0.3">
      <c r="A484" s="5">
        <v>42120.083333333336</v>
      </c>
      <c r="B484" s="14">
        <v>200369.82986166101</v>
      </c>
      <c r="C484" s="14">
        <v>210964.76808699701</v>
      </c>
      <c r="D484" s="6">
        <v>5179</v>
      </c>
      <c r="E484" s="1">
        <v>2015</v>
      </c>
      <c r="F484" s="1">
        <v>4</v>
      </c>
      <c r="G484" s="1" t="s">
        <v>32</v>
      </c>
      <c r="H484" s="12">
        <v>42095</v>
      </c>
      <c r="I484" s="1">
        <v>26</v>
      </c>
      <c r="J484" s="1">
        <v>1</v>
      </c>
      <c r="K484" s="1" t="s">
        <v>29</v>
      </c>
      <c r="L484" s="1" t="s">
        <v>22</v>
      </c>
      <c r="M484" s="15">
        <f t="shared" si="56"/>
        <v>38.688903236466693</v>
      </c>
      <c r="N484" s="15">
        <f t="shared" si="57"/>
        <v>40.734653038616919</v>
      </c>
      <c r="O484" s="14">
        <f t="shared" si="58"/>
        <v>-10594.938225335995</v>
      </c>
      <c r="P484" s="13">
        <f t="shared" si="59"/>
        <v>-5.2876913818067986E-2</v>
      </c>
      <c r="Q484" s="15">
        <f t="shared" si="60"/>
        <v>-2.0457498021502261</v>
      </c>
      <c r="R484" s="13">
        <f t="shared" si="61"/>
        <v>-5.2876913818068118E-2</v>
      </c>
      <c r="S484" s="15">
        <f t="shared" si="62"/>
        <v>35.267973231772061</v>
      </c>
      <c r="T484" s="15">
        <f t="shared" si="63"/>
        <v>39.856580732587233</v>
      </c>
    </row>
    <row r="485" spans="1:20" x14ac:dyDescent="0.3">
      <c r="A485" s="5">
        <v>42121.083333333336</v>
      </c>
      <c r="B485" s="14">
        <v>194028.061819216</v>
      </c>
      <c r="C485" s="14">
        <v>204053.49893464701</v>
      </c>
      <c r="D485" s="6">
        <v>5014</v>
      </c>
      <c r="E485" s="1">
        <v>2015</v>
      </c>
      <c r="F485" s="1">
        <v>4</v>
      </c>
      <c r="G485" s="1" t="s">
        <v>32</v>
      </c>
      <c r="H485" s="12">
        <v>42095</v>
      </c>
      <c r="I485" s="1">
        <v>27</v>
      </c>
      <c r="J485" s="1">
        <v>2</v>
      </c>
      <c r="K485" s="1" t="s">
        <v>21</v>
      </c>
      <c r="L485" s="1" t="s">
        <v>22</v>
      </c>
      <c r="M485" s="15">
        <f t="shared" si="56"/>
        <v>38.69726003574312</v>
      </c>
      <c r="N485" s="15">
        <f t="shared" si="57"/>
        <v>40.696748890037298</v>
      </c>
      <c r="O485" s="14">
        <f t="shared" si="58"/>
        <v>-10025.437115431007</v>
      </c>
      <c r="P485" s="13">
        <f t="shared" si="59"/>
        <v>-5.1670036908228884E-2</v>
      </c>
      <c r="Q485" s="15">
        <f t="shared" si="60"/>
        <v>-1.999488854294178</v>
      </c>
      <c r="R485" s="13">
        <f t="shared" si="61"/>
        <v>-5.167003690822889E-2</v>
      </c>
      <c r="S485" s="15">
        <f t="shared" si="62"/>
        <v>35.267973231772061</v>
      </c>
      <c r="T485" s="15">
        <f t="shared" si="63"/>
        <v>39.889108598005784</v>
      </c>
    </row>
    <row r="486" spans="1:20" x14ac:dyDescent="0.3">
      <c r="A486" s="5">
        <v>42122.083333333336</v>
      </c>
      <c r="B486" s="14">
        <v>190560.579181832</v>
      </c>
      <c r="C486" s="14">
        <v>200804.0368451</v>
      </c>
      <c r="D486" s="6">
        <v>4936</v>
      </c>
      <c r="E486" s="1">
        <v>2015</v>
      </c>
      <c r="F486" s="1">
        <v>4</v>
      </c>
      <c r="G486" s="1" t="s">
        <v>32</v>
      </c>
      <c r="H486" s="12">
        <v>42095</v>
      </c>
      <c r="I486" s="1">
        <v>28</v>
      </c>
      <c r="J486" s="1">
        <v>3</v>
      </c>
      <c r="K486" s="1" t="s">
        <v>23</v>
      </c>
      <c r="L486" s="1" t="s">
        <v>22</v>
      </c>
      <c r="M486" s="15">
        <f t="shared" si="56"/>
        <v>38.606276171359802</v>
      </c>
      <c r="N486" s="15">
        <f t="shared" si="57"/>
        <v>40.681530965376822</v>
      </c>
      <c r="O486" s="14">
        <f t="shared" si="58"/>
        <v>-10243.457663267996</v>
      </c>
      <c r="P486" s="13">
        <f t="shared" si="59"/>
        <v>-5.3754337372651131E-2</v>
      </c>
      <c r="Q486" s="15">
        <f t="shared" si="60"/>
        <v>-2.0752547940170203</v>
      </c>
      <c r="R486" s="13">
        <f t="shared" si="61"/>
        <v>-5.3754337372651215E-2</v>
      </c>
      <c r="S486" s="15">
        <f t="shared" si="62"/>
        <v>35.267973231772061</v>
      </c>
      <c r="T486" s="15">
        <f t="shared" si="63"/>
        <v>39.917757035255505</v>
      </c>
    </row>
    <row r="487" spans="1:20" x14ac:dyDescent="0.3">
      <c r="A487" s="5">
        <v>42123.083333333336</v>
      </c>
      <c r="B487" s="14">
        <v>198985.39962261199</v>
      </c>
      <c r="C487" s="14">
        <v>209483.87580877301</v>
      </c>
      <c r="D487" s="6">
        <v>5150</v>
      </c>
      <c r="E487" s="1">
        <v>2015</v>
      </c>
      <c r="F487" s="1">
        <v>4</v>
      </c>
      <c r="G487" s="1" t="s">
        <v>32</v>
      </c>
      <c r="H487" s="12">
        <v>42095</v>
      </c>
      <c r="I487" s="1">
        <v>29</v>
      </c>
      <c r="J487" s="1">
        <v>4</v>
      </c>
      <c r="K487" s="1" t="s">
        <v>25</v>
      </c>
      <c r="L487" s="1" t="s">
        <v>22</v>
      </c>
      <c r="M487" s="15">
        <f t="shared" si="56"/>
        <v>38.637941674293593</v>
      </c>
      <c r="N487" s="15">
        <f t="shared" si="57"/>
        <v>40.676480739567573</v>
      </c>
      <c r="O487" s="14">
        <f t="shared" si="58"/>
        <v>-10498.476186161017</v>
      </c>
      <c r="P487" s="13">
        <f t="shared" si="59"/>
        <v>-5.2760032676126091E-2</v>
      </c>
      <c r="Q487" s="15">
        <f t="shared" si="60"/>
        <v>-2.0385390652739801</v>
      </c>
      <c r="R487" s="13">
        <f t="shared" si="61"/>
        <v>-5.2760032676125987E-2</v>
      </c>
      <c r="S487" s="15">
        <f t="shared" si="62"/>
        <v>35.267973231772061</v>
      </c>
      <c r="T487" s="15">
        <f t="shared" si="63"/>
        <v>39.9485114248522</v>
      </c>
    </row>
    <row r="488" spans="1:20" x14ac:dyDescent="0.3">
      <c r="A488" s="5">
        <v>42124.083333333336</v>
      </c>
      <c r="B488" s="14">
        <v>385482.87202570803</v>
      </c>
      <c r="C488" s="14">
        <v>406252.00759341603</v>
      </c>
      <c r="D488" s="6">
        <v>9986</v>
      </c>
      <c r="E488" s="1">
        <v>2015</v>
      </c>
      <c r="F488" s="1">
        <v>4</v>
      </c>
      <c r="G488" s="1" t="s">
        <v>32</v>
      </c>
      <c r="H488" s="12">
        <v>42095</v>
      </c>
      <c r="I488" s="1">
        <v>30</v>
      </c>
      <c r="J488" s="1">
        <v>5</v>
      </c>
      <c r="K488" s="1" t="s">
        <v>26</v>
      </c>
      <c r="L488" s="1" t="s">
        <v>22</v>
      </c>
      <c r="M488" s="15">
        <f t="shared" si="56"/>
        <v>38.602330465222117</v>
      </c>
      <c r="N488" s="15">
        <f t="shared" si="57"/>
        <v>40.682155777430005</v>
      </c>
      <c r="O488" s="14">
        <f t="shared" si="58"/>
        <v>-20769.135567707999</v>
      </c>
      <c r="P488" s="13">
        <f t="shared" si="59"/>
        <v>-5.3878231887623002E-2</v>
      </c>
      <c r="Q488" s="15">
        <f t="shared" si="60"/>
        <v>-2.0798253122078876</v>
      </c>
      <c r="R488" s="13">
        <f t="shared" si="61"/>
        <v>-5.3878231887622911E-2</v>
      </c>
      <c r="S488" s="15">
        <f t="shared" si="62"/>
        <v>35.267973231772061</v>
      </c>
      <c r="T488" s="15">
        <f t="shared" si="63"/>
        <v>39.977303992063007</v>
      </c>
    </row>
    <row r="489" spans="1:20" x14ac:dyDescent="0.3">
      <c r="A489" s="5">
        <v>42125.083333333336</v>
      </c>
      <c r="B489" s="14">
        <v>499703.41471803002</v>
      </c>
      <c r="C489" s="14">
        <v>526206.93717221601</v>
      </c>
      <c r="D489" s="6">
        <v>12937</v>
      </c>
      <c r="E489" s="1">
        <v>2015</v>
      </c>
      <c r="F489" s="1">
        <v>5</v>
      </c>
      <c r="G489" s="1" t="s">
        <v>33</v>
      </c>
      <c r="H489" s="12">
        <v>42125</v>
      </c>
      <c r="I489" s="1">
        <v>1</v>
      </c>
      <c r="J489" s="1">
        <v>6</v>
      </c>
      <c r="K489" s="1" t="s">
        <v>27</v>
      </c>
      <c r="L489" s="1" t="s">
        <v>22</v>
      </c>
      <c r="M489" s="15">
        <f t="shared" si="56"/>
        <v>38.625911317773053</v>
      </c>
      <c r="N489" s="15">
        <f t="shared" si="57"/>
        <v>40.674571938796937</v>
      </c>
      <c r="O489" s="14">
        <f t="shared" si="58"/>
        <v>-26503.522454185993</v>
      </c>
      <c r="P489" s="13">
        <f t="shared" si="59"/>
        <v>-5.3038505788761237E-2</v>
      </c>
      <c r="Q489" s="15">
        <f t="shared" si="60"/>
        <v>-2.0486606210238847</v>
      </c>
      <c r="R489" s="13">
        <f t="shared" si="61"/>
        <v>-5.303850578876125E-2</v>
      </c>
      <c r="S489" s="15">
        <f t="shared" si="62"/>
        <v>35.267973231772061</v>
      </c>
      <c r="T489" s="15">
        <f t="shared" si="63"/>
        <v>40.005667907268759</v>
      </c>
    </row>
    <row r="490" spans="1:20" x14ac:dyDescent="0.3">
      <c r="A490" s="5">
        <v>42126.083333333336</v>
      </c>
      <c r="B490" s="14">
        <v>461667.00388101302</v>
      </c>
      <c r="C490" s="14">
        <v>496852.80199307599</v>
      </c>
      <c r="D490" s="6">
        <v>12217</v>
      </c>
      <c r="E490" s="1">
        <v>2015</v>
      </c>
      <c r="F490" s="1">
        <v>5</v>
      </c>
      <c r="G490" s="1" t="s">
        <v>33</v>
      </c>
      <c r="H490" s="12">
        <v>42125</v>
      </c>
      <c r="I490" s="1">
        <v>2</v>
      </c>
      <c r="J490" s="1">
        <v>7</v>
      </c>
      <c r="K490" s="1" t="s">
        <v>28</v>
      </c>
      <c r="L490" s="1" t="s">
        <v>22</v>
      </c>
      <c r="M490" s="15">
        <f t="shared" si="56"/>
        <v>37.788901029795618</v>
      </c>
      <c r="N490" s="15">
        <f t="shared" si="57"/>
        <v>40.668969631912582</v>
      </c>
      <c r="O490" s="14">
        <f t="shared" si="58"/>
        <v>-35185.79811206297</v>
      </c>
      <c r="P490" s="13">
        <f t="shared" si="59"/>
        <v>-7.621466948314011E-2</v>
      </c>
      <c r="Q490" s="15">
        <f t="shared" si="60"/>
        <v>-2.8800686021169639</v>
      </c>
      <c r="R490" s="13">
        <f t="shared" si="61"/>
        <v>-7.6214669483140055E-2</v>
      </c>
      <c r="S490" s="15">
        <f t="shared" si="62"/>
        <v>35.267973231772061</v>
      </c>
      <c r="T490" s="15">
        <f t="shared" si="63"/>
        <v>40.006615731571621</v>
      </c>
    </row>
    <row r="491" spans="1:20" x14ac:dyDescent="0.3">
      <c r="A491" s="5">
        <v>42127.083333333336</v>
      </c>
      <c r="B491" s="14">
        <v>259541.608721514</v>
      </c>
      <c r="C491" s="14">
        <v>273280.04637040501</v>
      </c>
      <c r="D491" s="6">
        <v>6721</v>
      </c>
      <c r="E491" s="1">
        <v>2015</v>
      </c>
      <c r="F491" s="1">
        <v>5</v>
      </c>
      <c r="G491" s="1" t="s">
        <v>33</v>
      </c>
      <c r="H491" s="12">
        <v>42125</v>
      </c>
      <c r="I491" s="1">
        <v>3</v>
      </c>
      <c r="J491" s="1">
        <v>1</v>
      </c>
      <c r="K491" s="1" t="s">
        <v>29</v>
      </c>
      <c r="L491" s="1" t="s">
        <v>22</v>
      </c>
      <c r="M491" s="15">
        <f t="shared" si="56"/>
        <v>38.616516697145364</v>
      </c>
      <c r="N491" s="15">
        <f t="shared" si="57"/>
        <v>40.660622879096117</v>
      </c>
      <c r="O491" s="14">
        <f t="shared" si="58"/>
        <v>-13738.437648891006</v>
      </c>
      <c r="P491" s="13">
        <f t="shared" si="59"/>
        <v>-5.2933468805120322E-2</v>
      </c>
      <c r="Q491" s="15">
        <f t="shared" si="60"/>
        <v>-2.0441061819507524</v>
      </c>
      <c r="R491" s="13">
        <f t="shared" si="61"/>
        <v>-5.2933468805120329E-2</v>
      </c>
      <c r="S491" s="15">
        <f t="shared" si="62"/>
        <v>35.267973231772061</v>
      </c>
      <c r="T491" s="15">
        <f t="shared" si="63"/>
        <v>40.034139514820843</v>
      </c>
    </row>
    <row r="492" spans="1:20" x14ac:dyDescent="0.3">
      <c r="A492" s="5">
        <v>42128.083333333336</v>
      </c>
      <c r="B492" s="14">
        <v>320309.27440158703</v>
      </c>
      <c r="C492" s="14">
        <v>336742.60236538597</v>
      </c>
      <c r="D492" s="6">
        <v>8283</v>
      </c>
      <c r="E492" s="1">
        <v>2015</v>
      </c>
      <c r="F492" s="1">
        <v>5</v>
      </c>
      <c r="G492" s="1" t="s">
        <v>33</v>
      </c>
      <c r="H492" s="12">
        <v>42125</v>
      </c>
      <c r="I492" s="1">
        <v>4</v>
      </c>
      <c r="J492" s="1">
        <v>2</v>
      </c>
      <c r="K492" s="1" t="s">
        <v>21</v>
      </c>
      <c r="L492" s="1" t="s">
        <v>22</v>
      </c>
      <c r="M492" s="15">
        <f t="shared" si="56"/>
        <v>38.670683858696975</v>
      </c>
      <c r="N492" s="15">
        <f t="shared" si="57"/>
        <v>40.654666469321015</v>
      </c>
      <c r="O492" s="14">
        <f t="shared" si="58"/>
        <v>-16433.327963798947</v>
      </c>
      <c r="P492" s="13">
        <f t="shared" si="59"/>
        <v>-5.1304564922449607E-2</v>
      </c>
      <c r="Q492" s="15">
        <f t="shared" si="60"/>
        <v>-1.9839826106240395</v>
      </c>
      <c r="R492" s="13">
        <f t="shared" si="61"/>
        <v>-5.1304564922449516E-2</v>
      </c>
      <c r="S492" s="15">
        <f t="shared" si="62"/>
        <v>35.267973231772061</v>
      </c>
      <c r="T492" s="15">
        <f t="shared" si="63"/>
        <v>40.064350865166055</v>
      </c>
    </row>
    <row r="493" spans="1:20" x14ac:dyDescent="0.3">
      <c r="A493" s="5">
        <v>42129.083333333336</v>
      </c>
      <c r="B493" s="14">
        <v>239922.99815095001</v>
      </c>
      <c r="C493" s="14">
        <v>251700.96640120199</v>
      </c>
      <c r="D493" s="6">
        <v>6191</v>
      </c>
      <c r="E493" s="1">
        <v>2015</v>
      </c>
      <c r="F493" s="1">
        <v>5</v>
      </c>
      <c r="G493" s="1" t="s">
        <v>33</v>
      </c>
      <c r="H493" s="12">
        <v>42125</v>
      </c>
      <c r="I493" s="1">
        <v>5</v>
      </c>
      <c r="J493" s="1">
        <v>3</v>
      </c>
      <c r="K493" s="1" t="s">
        <v>23</v>
      </c>
      <c r="L493" s="1" t="s">
        <v>22</v>
      </c>
      <c r="M493" s="15">
        <f t="shared" si="56"/>
        <v>38.753512865603298</v>
      </c>
      <c r="N493" s="15">
        <f t="shared" si="57"/>
        <v>40.655946761622033</v>
      </c>
      <c r="O493" s="14">
        <f t="shared" si="58"/>
        <v>-11777.968250251986</v>
      </c>
      <c r="P493" s="13">
        <f t="shared" si="59"/>
        <v>-4.9090617994202279E-2</v>
      </c>
      <c r="Q493" s="15">
        <f t="shared" si="60"/>
        <v>-1.902433896018735</v>
      </c>
      <c r="R493" s="13">
        <f t="shared" si="61"/>
        <v>-4.9090617994202286E-2</v>
      </c>
      <c r="S493" s="15">
        <f t="shared" si="62"/>
        <v>35.267973231772061</v>
      </c>
      <c r="T493" s="15">
        <f t="shared" si="63"/>
        <v>40.097634641786719</v>
      </c>
    </row>
    <row r="494" spans="1:20" x14ac:dyDescent="0.3">
      <c r="A494" s="5">
        <v>42130.083333333336</v>
      </c>
      <c r="B494" s="14">
        <v>224994.19507015499</v>
      </c>
      <c r="C494" s="14">
        <v>242259.85953966601</v>
      </c>
      <c r="D494" s="6">
        <v>5959</v>
      </c>
      <c r="E494" s="1">
        <v>2015</v>
      </c>
      <c r="F494" s="1">
        <v>5</v>
      </c>
      <c r="G494" s="1" t="s">
        <v>33</v>
      </c>
      <c r="H494" s="12">
        <v>42125</v>
      </c>
      <c r="I494" s="1">
        <v>6</v>
      </c>
      <c r="J494" s="1">
        <v>4</v>
      </c>
      <c r="K494" s="1" t="s">
        <v>25</v>
      </c>
      <c r="L494" s="1" t="s">
        <v>22</v>
      </c>
      <c r="M494" s="15">
        <f t="shared" si="56"/>
        <v>37.757038944479774</v>
      </c>
      <c r="N494" s="15">
        <f t="shared" si="57"/>
        <v>40.654448655758685</v>
      </c>
      <c r="O494" s="14">
        <f t="shared" si="58"/>
        <v>-17265.664469511015</v>
      </c>
      <c r="P494" s="13">
        <f t="shared" si="59"/>
        <v>-7.6738266354505022E-2</v>
      </c>
      <c r="Q494" s="15">
        <f t="shared" si="60"/>
        <v>-2.897409711278911</v>
      </c>
      <c r="R494" s="13">
        <f t="shared" si="61"/>
        <v>-7.6738266354505105E-2</v>
      </c>
      <c r="S494" s="15">
        <f t="shared" si="62"/>
        <v>35.267973231772061</v>
      </c>
      <c r="T494" s="15">
        <f t="shared" si="63"/>
        <v>40.098508539821204</v>
      </c>
    </row>
    <row r="495" spans="1:20" x14ac:dyDescent="0.3">
      <c r="A495" s="5">
        <v>42131.083333333336</v>
      </c>
      <c r="B495" s="14">
        <v>117197.97172990401</v>
      </c>
      <c r="C495" s="14">
        <v>115769.086327881</v>
      </c>
      <c r="D495" s="6">
        <v>2848</v>
      </c>
      <c r="E495" s="1">
        <v>2015</v>
      </c>
      <c r="F495" s="1">
        <v>5</v>
      </c>
      <c r="G495" s="1" t="s">
        <v>33</v>
      </c>
      <c r="H495" s="12">
        <v>42125</v>
      </c>
      <c r="I495" s="1">
        <v>7</v>
      </c>
      <c r="J495" s="1">
        <v>5</v>
      </c>
      <c r="K495" s="1" t="s">
        <v>26</v>
      </c>
      <c r="L495" s="1" t="s">
        <v>22</v>
      </c>
      <c r="M495" s="15">
        <f t="shared" si="56"/>
        <v>41.150973219769668</v>
      </c>
      <c r="N495" s="15">
        <f t="shared" si="57"/>
        <v>40.649257839845859</v>
      </c>
      <c r="O495" s="14">
        <f t="shared" si="58"/>
        <v>1428.8854020230065</v>
      </c>
      <c r="P495" s="13">
        <f t="shared" si="59"/>
        <v>1.2192065962677533E-2</v>
      </c>
      <c r="Q495" s="15">
        <f t="shared" si="60"/>
        <v>0.50171537992380877</v>
      </c>
      <c r="R495" s="13">
        <f t="shared" si="61"/>
        <v>1.219206596267754E-2</v>
      </c>
      <c r="S495" s="15">
        <f t="shared" si="62"/>
        <v>35.267973231772061</v>
      </c>
      <c r="T495" s="15">
        <f t="shared" si="63"/>
        <v>40.114686314967543</v>
      </c>
    </row>
    <row r="496" spans="1:20" x14ac:dyDescent="0.3">
      <c r="A496" s="5">
        <v>42132.083333333336</v>
      </c>
      <c r="B496" s="14">
        <v>330589.19981286</v>
      </c>
      <c r="C496" s="14">
        <v>355565.04173447803</v>
      </c>
      <c r="D496" s="6">
        <v>8748</v>
      </c>
      <c r="E496" s="1">
        <v>2015</v>
      </c>
      <c r="F496" s="1">
        <v>5</v>
      </c>
      <c r="G496" s="1" t="s">
        <v>33</v>
      </c>
      <c r="H496" s="12">
        <v>42125</v>
      </c>
      <c r="I496" s="1">
        <v>8</v>
      </c>
      <c r="J496" s="1">
        <v>6</v>
      </c>
      <c r="K496" s="1" t="s">
        <v>27</v>
      </c>
      <c r="L496" s="1" t="s">
        <v>22</v>
      </c>
      <c r="M496" s="15">
        <f t="shared" si="56"/>
        <v>37.790260609609049</v>
      </c>
      <c r="N496" s="15">
        <f t="shared" si="57"/>
        <v>40.645295122825566</v>
      </c>
      <c r="O496" s="14">
        <f t="shared" si="58"/>
        <v>-24975.841921618034</v>
      </c>
      <c r="P496" s="13">
        <f t="shared" si="59"/>
        <v>-7.5549479340995901E-2</v>
      </c>
      <c r="Q496" s="15">
        <f t="shared" si="60"/>
        <v>-2.8550345132165162</v>
      </c>
      <c r="R496" s="13">
        <f t="shared" si="61"/>
        <v>-7.5549479340996067E-2</v>
      </c>
      <c r="S496" s="15">
        <f t="shared" si="62"/>
        <v>35.267973231772061</v>
      </c>
      <c r="T496" s="15">
        <f t="shared" si="63"/>
        <v>40.0018923150893</v>
      </c>
    </row>
    <row r="497" spans="1:20" x14ac:dyDescent="0.3">
      <c r="A497" s="5">
        <v>42133.083333333336</v>
      </c>
      <c r="B497" s="14">
        <v>389972.11975571001</v>
      </c>
      <c r="C497" s="14">
        <v>419827.13652222703</v>
      </c>
      <c r="D497" s="6">
        <v>10329</v>
      </c>
      <c r="E497" s="1">
        <v>2015</v>
      </c>
      <c r="F497" s="1">
        <v>5</v>
      </c>
      <c r="G497" s="1" t="s">
        <v>33</v>
      </c>
      <c r="H497" s="12">
        <v>42125</v>
      </c>
      <c r="I497" s="1">
        <v>9</v>
      </c>
      <c r="J497" s="1">
        <v>7</v>
      </c>
      <c r="K497" s="1" t="s">
        <v>28</v>
      </c>
      <c r="L497" s="1" t="s">
        <v>22</v>
      </c>
      <c r="M497" s="15">
        <f t="shared" si="56"/>
        <v>37.755070167074258</v>
      </c>
      <c r="N497" s="15">
        <f t="shared" si="57"/>
        <v>40.645477444305065</v>
      </c>
      <c r="O497" s="14">
        <f t="shared" si="58"/>
        <v>-29855.016766517016</v>
      </c>
      <c r="P497" s="13">
        <f t="shared" si="59"/>
        <v>-7.6556797919859185E-2</v>
      </c>
      <c r="Q497" s="15">
        <f t="shared" si="60"/>
        <v>-2.8904072772308069</v>
      </c>
      <c r="R497" s="13">
        <f t="shared" si="61"/>
        <v>-7.6556797919859157E-2</v>
      </c>
      <c r="S497" s="15">
        <f t="shared" si="62"/>
        <v>35.267973231772061</v>
      </c>
      <c r="T497" s="15">
        <f t="shared" si="63"/>
        <v>39.887908936802319</v>
      </c>
    </row>
    <row r="498" spans="1:20" x14ac:dyDescent="0.3">
      <c r="A498" s="5">
        <v>42134.083333333336</v>
      </c>
      <c r="B498" s="14">
        <v>166536.00026356999</v>
      </c>
      <c r="C498" s="14">
        <v>179243.05183340001</v>
      </c>
      <c r="D498" s="6">
        <v>4410</v>
      </c>
      <c r="E498" s="1">
        <v>2015</v>
      </c>
      <c r="F498" s="1">
        <v>5</v>
      </c>
      <c r="G498" s="1" t="s">
        <v>33</v>
      </c>
      <c r="H498" s="12">
        <v>42125</v>
      </c>
      <c r="I498" s="1">
        <v>10</v>
      </c>
      <c r="J498" s="1">
        <v>1</v>
      </c>
      <c r="K498" s="1" t="s">
        <v>29</v>
      </c>
      <c r="L498" s="1" t="s">
        <v>22</v>
      </c>
      <c r="M498" s="15">
        <f t="shared" si="56"/>
        <v>37.763265365888884</v>
      </c>
      <c r="N498" s="15">
        <f t="shared" si="57"/>
        <v>40.644682955419505</v>
      </c>
      <c r="O498" s="14">
        <f t="shared" si="58"/>
        <v>-12707.051569830015</v>
      </c>
      <c r="P498" s="13">
        <f t="shared" si="59"/>
        <v>-7.6302130168366372E-2</v>
      </c>
      <c r="Q498" s="15">
        <f t="shared" si="60"/>
        <v>-2.8814175895306207</v>
      </c>
      <c r="R498" s="13">
        <f t="shared" si="61"/>
        <v>-7.6302130168366511E-2</v>
      </c>
      <c r="S498" s="15">
        <f t="shared" si="62"/>
        <v>35.267973231772061</v>
      </c>
      <c r="T498" s="15">
        <f t="shared" si="63"/>
        <v>39.774036108424276</v>
      </c>
    </row>
    <row r="499" spans="1:20" x14ac:dyDescent="0.3">
      <c r="A499" s="5">
        <v>42135.083333333336</v>
      </c>
      <c r="B499" s="14">
        <v>198442.91265382801</v>
      </c>
      <c r="C499" s="14">
        <v>213676.42842593</v>
      </c>
      <c r="D499" s="6">
        <v>5257</v>
      </c>
      <c r="E499" s="1">
        <v>2015</v>
      </c>
      <c r="F499" s="1">
        <v>5</v>
      </c>
      <c r="G499" s="1" t="s">
        <v>33</v>
      </c>
      <c r="H499" s="12">
        <v>42125</v>
      </c>
      <c r="I499" s="1">
        <v>11</v>
      </c>
      <c r="J499" s="1">
        <v>2</v>
      </c>
      <c r="K499" s="1" t="s">
        <v>21</v>
      </c>
      <c r="L499" s="1" t="s">
        <v>22</v>
      </c>
      <c r="M499" s="15">
        <f t="shared" si="56"/>
        <v>37.748318937384063</v>
      </c>
      <c r="N499" s="15">
        <f t="shared" si="57"/>
        <v>40.646077311381013</v>
      </c>
      <c r="O499" s="14">
        <f t="shared" si="58"/>
        <v>-15233.515772101993</v>
      </c>
      <c r="P499" s="13">
        <f t="shared" si="59"/>
        <v>-7.6765229699465087E-2</v>
      </c>
      <c r="Q499" s="15">
        <f t="shared" si="60"/>
        <v>-2.8977583739969504</v>
      </c>
      <c r="R499" s="13">
        <f t="shared" si="61"/>
        <v>-7.6765229699464949E-2</v>
      </c>
      <c r="S499" s="15">
        <f t="shared" si="62"/>
        <v>35.267973231772061</v>
      </c>
      <c r="T499" s="15">
        <f t="shared" si="63"/>
        <v>39.659615913485894</v>
      </c>
    </row>
    <row r="500" spans="1:20" x14ac:dyDescent="0.3">
      <c r="A500" s="5">
        <v>42136.083333333336</v>
      </c>
      <c r="B500" s="14">
        <v>193182.15055271299</v>
      </c>
      <c r="C500" s="14">
        <v>208039.173445555</v>
      </c>
      <c r="D500" s="6">
        <v>5118</v>
      </c>
      <c r="E500" s="1">
        <v>2015</v>
      </c>
      <c r="F500" s="1">
        <v>5</v>
      </c>
      <c r="G500" s="1" t="s">
        <v>33</v>
      </c>
      <c r="H500" s="12">
        <v>42125</v>
      </c>
      <c r="I500" s="1">
        <v>12</v>
      </c>
      <c r="J500" s="1">
        <v>3</v>
      </c>
      <c r="K500" s="1" t="s">
        <v>23</v>
      </c>
      <c r="L500" s="1" t="s">
        <v>22</v>
      </c>
      <c r="M500" s="15">
        <f t="shared" si="56"/>
        <v>37.74563316778292</v>
      </c>
      <c r="N500" s="15">
        <f t="shared" si="57"/>
        <v>40.648529395380031</v>
      </c>
      <c r="O500" s="14">
        <f t="shared" si="58"/>
        <v>-14857.022892842011</v>
      </c>
      <c r="P500" s="13">
        <f t="shared" si="59"/>
        <v>-7.6906809714741342E-2</v>
      </c>
      <c r="Q500" s="15">
        <f t="shared" si="60"/>
        <v>-2.9028962275971111</v>
      </c>
      <c r="R500" s="13">
        <f t="shared" si="61"/>
        <v>-7.6906809714741356E-2</v>
      </c>
      <c r="S500" s="15">
        <f t="shared" si="62"/>
        <v>35.267973231772061</v>
      </c>
      <c r="T500" s="15">
        <f t="shared" si="63"/>
        <v>39.545024826823557</v>
      </c>
    </row>
    <row r="501" spans="1:20" x14ac:dyDescent="0.3">
      <c r="A501" s="5">
        <v>42137.083333333336</v>
      </c>
      <c r="B501" s="14">
        <v>166403.126995823</v>
      </c>
      <c r="C501" s="14">
        <v>179221.57229364</v>
      </c>
      <c r="D501" s="6">
        <v>4410</v>
      </c>
      <c r="E501" s="1">
        <v>2015</v>
      </c>
      <c r="F501" s="1">
        <v>5</v>
      </c>
      <c r="G501" s="1" t="s">
        <v>33</v>
      </c>
      <c r="H501" s="12">
        <v>42125</v>
      </c>
      <c r="I501" s="1">
        <v>13</v>
      </c>
      <c r="J501" s="1">
        <v>4</v>
      </c>
      <c r="K501" s="1" t="s">
        <v>25</v>
      </c>
      <c r="L501" s="1" t="s">
        <v>22</v>
      </c>
      <c r="M501" s="15">
        <f t="shared" si="56"/>
        <v>37.733135373202494</v>
      </c>
      <c r="N501" s="15">
        <f t="shared" si="57"/>
        <v>40.639812311482991</v>
      </c>
      <c r="O501" s="14">
        <f t="shared" si="58"/>
        <v>-12818.445297817001</v>
      </c>
      <c r="P501" s="13">
        <f t="shared" si="59"/>
        <v>-7.7032478471025165E-2</v>
      </c>
      <c r="Q501" s="15">
        <f t="shared" si="60"/>
        <v>-2.9066769382804978</v>
      </c>
      <c r="R501" s="13">
        <f t="shared" si="61"/>
        <v>-7.7032478471025123E-2</v>
      </c>
      <c r="S501" s="15">
        <f t="shared" si="62"/>
        <v>35.267973231772061</v>
      </c>
      <c r="T501" s="15">
        <f t="shared" si="63"/>
        <v>39.430211683203041</v>
      </c>
    </row>
    <row r="502" spans="1:20" x14ac:dyDescent="0.3">
      <c r="A502" s="5">
        <v>42138.083333333336</v>
      </c>
      <c r="B502" s="14">
        <v>149178.60148103401</v>
      </c>
      <c r="C502" s="14">
        <v>160620.20714087301</v>
      </c>
      <c r="D502" s="6">
        <v>3952</v>
      </c>
      <c r="E502" s="1">
        <v>2015</v>
      </c>
      <c r="F502" s="1">
        <v>5</v>
      </c>
      <c r="G502" s="1" t="s">
        <v>33</v>
      </c>
      <c r="H502" s="12">
        <v>42125</v>
      </c>
      <c r="I502" s="1">
        <v>14</v>
      </c>
      <c r="J502" s="1">
        <v>5</v>
      </c>
      <c r="K502" s="1" t="s">
        <v>26</v>
      </c>
      <c r="L502" s="1" t="s">
        <v>22</v>
      </c>
      <c r="M502" s="15">
        <f t="shared" si="56"/>
        <v>37.74762183224545</v>
      </c>
      <c r="N502" s="15">
        <f t="shared" si="57"/>
        <v>40.642764964795802</v>
      </c>
      <c r="O502" s="14">
        <f t="shared" si="58"/>
        <v>-11441.605659838999</v>
      </c>
      <c r="P502" s="13">
        <f t="shared" si="59"/>
        <v>-7.6697365079492583E-2</v>
      </c>
      <c r="Q502" s="15">
        <f t="shared" si="60"/>
        <v>-2.895143132550352</v>
      </c>
      <c r="R502" s="13">
        <f t="shared" si="61"/>
        <v>-7.6697365079492527E-2</v>
      </c>
      <c r="S502" s="15">
        <f t="shared" si="62"/>
        <v>35.267973231772061</v>
      </c>
      <c r="T502" s="15">
        <f t="shared" si="63"/>
        <v>39.300109358112742</v>
      </c>
    </row>
    <row r="503" spans="1:20" x14ac:dyDescent="0.3">
      <c r="A503" s="5">
        <v>42139.083333333336</v>
      </c>
      <c r="B503" s="14">
        <v>380592.57758342702</v>
      </c>
      <c r="C503" s="14">
        <v>409812.43266368902</v>
      </c>
      <c r="D503" s="6">
        <v>10084</v>
      </c>
      <c r="E503" s="1">
        <v>2015</v>
      </c>
      <c r="F503" s="1">
        <v>5</v>
      </c>
      <c r="G503" s="1" t="s">
        <v>33</v>
      </c>
      <c r="H503" s="12">
        <v>42125</v>
      </c>
      <c r="I503" s="1">
        <v>15</v>
      </c>
      <c r="J503" s="1">
        <v>6</v>
      </c>
      <c r="K503" s="1" t="s">
        <v>27</v>
      </c>
      <c r="L503" s="1" t="s">
        <v>22</v>
      </c>
      <c r="M503" s="15">
        <f t="shared" si="56"/>
        <v>37.742223084433462</v>
      </c>
      <c r="N503" s="15">
        <f t="shared" si="57"/>
        <v>40.639868372043736</v>
      </c>
      <c r="O503" s="14">
        <f t="shared" si="58"/>
        <v>-29219.855080262001</v>
      </c>
      <c r="P503" s="13">
        <f t="shared" si="59"/>
        <v>-7.6774631985188732E-2</v>
      </c>
      <c r="Q503" s="15">
        <f t="shared" si="60"/>
        <v>-2.8976452876102741</v>
      </c>
      <c r="R503" s="13">
        <f t="shared" si="61"/>
        <v>-7.6774631985188746E-2</v>
      </c>
      <c r="S503" s="15">
        <f t="shared" si="62"/>
        <v>35.267973231772061</v>
      </c>
      <c r="T503" s="15">
        <f t="shared" si="63"/>
        <v>39.168616033028989</v>
      </c>
    </row>
    <row r="504" spans="1:20" x14ac:dyDescent="0.3">
      <c r="A504" s="5">
        <v>42140.083333333336</v>
      </c>
      <c r="B504" s="14">
        <v>413700.17893234099</v>
      </c>
      <c r="C504" s="14">
        <v>445569.71910740499</v>
      </c>
      <c r="D504" s="6">
        <v>10964</v>
      </c>
      <c r="E504" s="1">
        <v>2015</v>
      </c>
      <c r="F504" s="1">
        <v>5</v>
      </c>
      <c r="G504" s="1" t="s">
        <v>33</v>
      </c>
      <c r="H504" s="12">
        <v>42125</v>
      </c>
      <c r="I504" s="1">
        <v>16</v>
      </c>
      <c r="J504" s="1">
        <v>7</v>
      </c>
      <c r="K504" s="1" t="s">
        <v>28</v>
      </c>
      <c r="L504" s="1" t="s">
        <v>22</v>
      </c>
      <c r="M504" s="15">
        <f t="shared" si="56"/>
        <v>37.732595670589291</v>
      </c>
      <c r="N504" s="15">
        <f t="shared" si="57"/>
        <v>40.63933957564803</v>
      </c>
      <c r="O504" s="14">
        <f t="shared" si="58"/>
        <v>-31869.540175064001</v>
      </c>
      <c r="P504" s="13">
        <f t="shared" si="59"/>
        <v>-7.7035355066346581E-2</v>
      </c>
      <c r="Q504" s="15">
        <f t="shared" si="60"/>
        <v>-2.9067439050587396</v>
      </c>
      <c r="R504" s="13">
        <f t="shared" si="61"/>
        <v>-7.7035355066346622E-2</v>
      </c>
      <c r="S504" s="15">
        <f t="shared" si="62"/>
        <v>35.267973231772061</v>
      </c>
      <c r="T504" s="15">
        <f t="shared" si="63"/>
        <v>39.035158831302383</v>
      </c>
    </row>
    <row r="505" spans="1:20" x14ac:dyDescent="0.3">
      <c r="A505" s="5">
        <v>42141.083333333336</v>
      </c>
      <c r="B505" s="14">
        <v>177159.67306561899</v>
      </c>
      <c r="C505" s="14">
        <v>190811.577944238</v>
      </c>
      <c r="D505" s="6">
        <v>4695</v>
      </c>
      <c r="E505" s="1">
        <v>2015</v>
      </c>
      <c r="F505" s="1">
        <v>5</v>
      </c>
      <c r="G505" s="1" t="s">
        <v>33</v>
      </c>
      <c r="H505" s="12">
        <v>42125</v>
      </c>
      <c r="I505" s="1">
        <v>17</v>
      </c>
      <c r="J505" s="1">
        <v>1</v>
      </c>
      <c r="K505" s="1" t="s">
        <v>29</v>
      </c>
      <c r="L505" s="1" t="s">
        <v>22</v>
      </c>
      <c r="M505" s="15">
        <f t="shared" si="56"/>
        <v>37.733689683837909</v>
      </c>
      <c r="N505" s="15">
        <f t="shared" si="57"/>
        <v>40.641443651594891</v>
      </c>
      <c r="O505" s="14">
        <f t="shared" si="58"/>
        <v>-13651.904878619011</v>
      </c>
      <c r="P505" s="13">
        <f t="shared" si="59"/>
        <v>-7.7059889772783774E-2</v>
      </c>
      <c r="Q505" s="15">
        <f t="shared" si="60"/>
        <v>-2.9077539677569817</v>
      </c>
      <c r="R505" s="13">
        <f t="shared" si="61"/>
        <v>-7.7059889772783885E-2</v>
      </c>
      <c r="S505" s="15">
        <f t="shared" si="62"/>
        <v>35.267973231772061</v>
      </c>
      <c r="T505" s="15">
        <f t="shared" si="63"/>
        <v>38.899093100681441</v>
      </c>
    </row>
    <row r="506" spans="1:20" x14ac:dyDescent="0.3">
      <c r="A506" s="5">
        <v>42142.083333333336</v>
      </c>
      <c r="B506" s="14">
        <v>196420.76353684801</v>
      </c>
      <c r="C506" s="14">
        <v>211510.786120345</v>
      </c>
      <c r="D506" s="6">
        <v>5205</v>
      </c>
      <c r="E506" s="1">
        <v>2015</v>
      </c>
      <c r="F506" s="1">
        <v>5</v>
      </c>
      <c r="G506" s="1" t="s">
        <v>33</v>
      </c>
      <c r="H506" s="12">
        <v>42125</v>
      </c>
      <c r="I506" s="1">
        <v>18</v>
      </c>
      <c r="J506" s="1">
        <v>2</v>
      </c>
      <c r="K506" s="1" t="s">
        <v>21</v>
      </c>
      <c r="L506" s="1" t="s">
        <v>22</v>
      </c>
      <c r="M506" s="15">
        <f t="shared" si="56"/>
        <v>37.736938239548131</v>
      </c>
      <c r="N506" s="15">
        <f t="shared" si="57"/>
        <v>40.636078025042266</v>
      </c>
      <c r="O506" s="14">
        <f t="shared" si="58"/>
        <v>-15090.02258349699</v>
      </c>
      <c r="P506" s="13">
        <f t="shared" si="59"/>
        <v>-7.6824986889261038E-2</v>
      </c>
      <c r="Q506" s="15">
        <f t="shared" si="60"/>
        <v>-2.8991397854941354</v>
      </c>
      <c r="R506" s="13">
        <f t="shared" si="61"/>
        <v>-7.6824986889260954E-2</v>
      </c>
      <c r="S506" s="15">
        <f t="shared" si="62"/>
        <v>35.267973231772061</v>
      </c>
      <c r="T506" s="15">
        <f t="shared" si="63"/>
        <v>38.760992485709508</v>
      </c>
    </row>
    <row r="507" spans="1:20" x14ac:dyDescent="0.3">
      <c r="A507" s="5">
        <v>42143.083333333336</v>
      </c>
      <c r="B507" s="14">
        <v>137940.872163805</v>
      </c>
      <c r="C507" s="14">
        <v>147846.05216339699</v>
      </c>
      <c r="D507" s="6">
        <v>3638</v>
      </c>
      <c r="E507" s="1">
        <v>2015</v>
      </c>
      <c r="F507" s="1">
        <v>5</v>
      </c>
      <c r="G507" s="1" t="s">
        <v>33</v>
      </c>
      <c r="H507" s="12">
        <v>42125</v>
      </c>
      <c r="I507" s="1">
        <v>19</v>
      </c>
      <c r="J507" s="1">
        <v>3</v>
      </c>
      <c r="K507" s="1" t="s">
        <v>23</v>
      </c>
      <c r="L507" s="1" t="s">
        <v>22</v>
      </c>
      <c r="M507" s="15">
        <f t="shared" si="56"/>
        <v>37.916677340243268</v>
      </c>
      <c r="N507" s="15">
        <f t="shared" si="57"/>
        <v>40.639376625452719</v>
      </c>
      <c r="O507" s="14">
        <f t="shared" si="58"/>
        <v>-9905.1799995919864</v>
      </c>
      <c r="P507" s="13">
        <f t="shared" si="59"/>
        <v>-7.1807433461995002E-2</v>
      </c>
      <c r="Q507" s="15">
        <f t="shared" si="60"/>
        <v>-2.7226992852094511</v>
      </c>
      <c r="R507" s="13">
        <f t="shared" si="61"/>
        <v>-7.1807433461994974E-2</v>
      </c>
      <c r="S507" s="15">
        <f t="shared" si="62"/>
        <v>35.267973231772061</v>
      </c>
      <c r="T507" s="15">
        <f t="shared" si="63"/>
        <v>38.626827593729203</v>
      </c>
    </row>
    <row r="508" spans="1:20" x14ac:dyDescent="0.3">
      <c r="A508" s="5">
        <v>42144.083333333336</v>
      </c>
      <c r="B508" s="14">
        <v>166176.28381159299</v>
      </c>
      <c r="C508" s="14">
        <v>178568.18048077699</v>
      </c>
      <c r="D508" s="6">
        <v>4394</v>
      </c>
      <c r="E508" s="1">
        <v>2015</v>
      </c>
      <c r="F508" s="1">
        <v>5</v>
      </c>
      <c r="G508" s="1" t="s">
        <v>33</v>
      </c>
      <c r="H508" s="12">
        <v>42125</v>
      </c>
      <c r="I508" s="1">
        <v>20</v>
      </c>
      <c r="J508" s="1">
        <v>4</v>
      </c>
      <c r="K508" s="1" t="s">
        <v>25</v>
      </c>
      <c r="L508" s="1" t="s">
        <v>22</v>
      </c>
      <c r="M508" s="15">
        <f t="shared" si="56"/>
        <v>37.818908468728495</v>
      </c>
      <c r="N508" s="15">
        <f t="shared" si="57"/>
        <v>40.639094328806777</v>
      </c>
      <c r="O508" s="14">
        <f t="shared" si="58"/>
        <v>-12391.896669184003</v>
      </c>
      <c r="P508" s="13">
        <f t="shared" si="59"/>
        <v>-7.4570789434873039E-2</v>
      </c>
      <c r="Q508" s="15">
        <f t="shared" si="60"/>
        <v>-2.8201858600782828</v>
      </c>
      <c r="R508" s="13">
        <f t="shared" si="61"/>
        <v>-7.4570789434872858E-2</v>
      </c>
      <c r="S508" s="15">
        <f t="shared" si="62"/>
        <v>35.267973231772061</v>
      </c>
      <c r="T508" s="15">
        <f t="shared" si="63"/>
        <v>38.489816688192064</v>
      </c>
    </row>
    <row r="509" spans="1:20" x14ac:dyDescent="0.3">
      <c r="A509" s="5">
        <v>42145.083333333336</v>
      </c>
      <c r="B509" s="14">
        <v>84604.377572639205</v>
      </c>
      <c r="C509" s="14">
        <v>81763.267389330096</v>
      </c>
      <c r="D509" s="6">
        <v>2012</v>
      </c>
      <c r="E509" s="1">
        <v>2015</v>
      </c>
      <c r="F509" s="1">
        <v>5</v>
      </c>
      <c r="G509" s="1" t="s">
        <v>33</v>
      </c>
      <c r="H509" s="12">
        <v>42125</v>
      </c>
      <c r="I509" s="1">
        <v>21</v>
      </c>
      <c r="J509" s="1">
        <v>5</v>
      </c>
      <c r="K509" s="1" t="s">
        <v>26</v>
      </c>
      <c r="L509" s="1" t="s">
        <v>22</v>
      </c>
      <c r="M509" s="15">
        <f t="shared" si="56"/>
        <v>42.049889449621872</v>
      </c>
      <c r="N509" s="15">
        <f t="shared" si="57"/>
        <v>40.637806853543786</v>
      </c>
      <c r="O509" s="14">
        <f t="shared" si="58"/>
        <v>2841.1101833091088</v>
      </c>
      <c r="P509" s="13">
        <f t="shared" si="59"/>
        <v>3.3581125053130996E-2</v>
      </c>
      <c r="Q509" s="15">
        <f t="shared" si="60"/>
        <v>1.4120825960780863</v>
      </c>
      <c r="R509" s="13">
        <f t="shared" si="61"/>
        <v>3.358112505313101E-2</v>
      </c>
      <c r="S509" s="15">
        <f t="shared" si="62"/>
        <v>35.267973231772061</v>
      </c>
      <c r="T509" s="15">
        <f t="shared" si="63"/>
        <v>38.490288601725652</v>
      </c>
    </row>
    <row r="510" spans="1:20" x14ac:dyDescent="0.3">
      <c r="A510" s="5">
        <v>42146.083333333336</v>
      </c>
      <c r="B510" s="14">
        <v>321821.02028676099</v>
      </c>
      <c r="C510" s="14">
        <v>346487.520334167</v>
      </c>
      <c r="D510" s="6">
        <v>8526</v>
      </c>
      <c r="E510" s="1">
        <v>2015</v>
      </c>
      <c r="F510" s="1">
        <v>5</v>
      </c>
      <c r="G510" s="1" t="s">
        <v>33</v>
      </c>
      <c r="H510" s="12">
        <v>42125</v>
      </c>
      <c r="I510" s="1">
        <v>22</v>
      </c>
      <c r="J510" s="1">
        <v>6</v>
      </c>
      <c r="K510" s="1" t="s">
        <v>27</v>
      </c>
      <c r="L510" s="1" t="s">
        <v>22</v>
      </c>
      <c r="M510" s="15">
        <f t="shared" si="56"/>
        <v>37.745838644940299</v>
      </c>
      <c r="N510" s="15">
        <f t="shared" si="57"/>
        <v>40.63893036994687</v>
      </c>
      <c r="O510" s="14">
        <f t="shared" si="58"/>
        <v>-24666.500047406007</v>
      </c>
      <c r="P510" s="13">
        <f t="shared" si="59"/>
        <v>-7.6646640500445687E-2</v>
      </c>
      <c r="Q510" s="15">
        <f t="shared" si="60"/>
        <v>-2.8930917250065704</v>
      </c>
      <c r="R510" s="13">
        <f t="shared" si="61"/>
        <v>-7.6646640500445729E-2</v>
      </c>
      <c r="S510" s="15">
        <f t="shared" si="62"/>
        <v>35.267973231772061</v>
      </c>
      <c r="T510" s="15">
        <f t="shared" si="63"/>
        <v>38.46189083186087</v>
      </c>
    </row>
    <row r="511" spans="1:20" x14ac:dyDescent="0.3">
      <c r="A511" s="5">
        <v>42147.083333333336</v>
      </c>
      <c r="B511" s="14">
        <v>418715.41064993001</v>
      </c>
      <c r="C511" s="14">
        <v>450936.27926429402</v>
      </c>
      <c r="D511" s="6">
        <v>11096</v>
      </c>
      <c r="E511" s="1">
        <v>2015</v>
      </c>
      <c r="F511" s="1">
        <v>5</v>
      </c>
      <c r="G511" s="1" t="s">
        <v>33</v>
      </c>
      <c r="H511" s="12">
        <v>42125</v>
      </c>
      <c r="I511" s="1">
        <v>23</v>
      </c>
      <c r="J511" s="1">
        <v>7</v>
      </c>
      <c r="K511" s="1" t="s">
        <v>28</v>
      </c>
      <c r="L511" s="1" t="s">
        <v>22</v>
      </c>
      <c r="M511" s="15">
        <f t="shared" si="56"/>
        <v>37.735707520721881</v>
      </c>
      <c r="N511" s="15">
        <f t="shared" si="57"/>
        <v>40.639534901252162</v>
      </c>
      <c r="O511" s="14">
        <f t="shared" si="58"/>
        <v>-32220.868614364008</v>
      </c>
      <c r="P511" s="13">
        <f t="shared" si="59"/>
        <v>-7.6951714206913907E-2</v>
      </c>
      <c r="Q511" s="15">
        <f t="shared" si="60"/>
        <v>-2.9038273805302808</v>
      </c>
      <c r="R511" s="13">
        <f t="shared" si="61"/>
        <v>-7.6951714206913879E-2</v>
      </c>
      <c r="S511" s="15">
        <f t="shared" si="62"/>
        <v>35.267973231772061</v>
      </c>
      <c r="T511" s="15">
        <f t="shared" si="63"/>
        <v>38.317833780177821</v>
      </c>
    </row>
    <row r="512" spans="1:20" x14ac:dyDescent="0.3">
      <c r="A512" s="5">
        <v>42148.083333333336</v>
      </c>
      <c r="B512" s="14">
        <v>169541.265947362</v>
      </c>
      <c r="C512" s="14">
        <v>182419.14144162301</v>
      </c>
      <c r="D512" s="6">
        <v>4489</v>
      </c>
      <c r="E512" s="1">
        <v>2015</v>
      </c>
      <c r="F512" s="1">
        <v>5</v>
      </c>
      <c r="G512" s="1" t="s">
        <v>33</v>
      </c>
      <c r="H512" s="12">
        <v>42125</v>
      </c>
      <c r="I512" s="1">
        <v>24</v>
      </c>
      <c r="J512" s="1">
        <v>1</v>
      </c>
      <c r="K512" s="1" t="s">
        <v>29</v>
      </c>
      <c r="L512" s="1" t="s">
        <v>22</v>
      </c>
      <c r="M512" s="15">
        <f t="shared" si="56"/>
        <v>37.768159043742926</v>
      </c>
      <c r="N512" s="15">
        <f t="shared" si="57"/>
        <v>40.636921684478281</v>
      </c>
      <c r="O512" s="14">
        <f t="shared" si="58"/>
        <v>-12877.87549426101</v>
      </c>
      <c r="P512" s="13">
        <f t="shared" si="59"/>
        <v>-7.5957174333352237E-2</v>
      </c>
      <c r="Q512" s="15">
        <f t="shared" si="60"/>
        <v>-2.8687626407353548</v>
      </c>
      <c r="R512" s="13">
        <f t="shared" si="61"/>
        <v>-7.5957174333352223E-2</v>
      </c>
      <c r="S512" s="15">
        <f t="shared" si="62"/>
        <v>35.267973231772061</v>
      </c>
      <c r="T512" s="15">
        <f t="shared" si="63"/>
        <v>38.288771933342638</v>
      </c>
    </row>
    <row r="513" spans="1:20" x14ac:dyDescent="0.3">
      <c r="A513" s="5">
        <v>42149.083333333336</v>
      </c>
      <c r="B513" s="14">
        <v>256434.509936074</v>
      </c>
      <c r="C513" s="14">
        <v>276173.79245149699</v>
      </c>
      <c r="D513" s="6">
        <v>6795</v>
      </c>
      <c r="E513" s="1">
        <v>2015</v>
      </c>
      <c r="F513" s="1">
        <v>5</v>
      </c>
      <c r="G513" s="1" t="s">
        <v>33</v>
      </c>
      <c r="H513" s="12">
        <v>42125</v>
      </c>
      <c r="I513" s="1">
        <v>25</v>
      </c>
      <c r="J513" s="1">
        <v>2</v>
      </c>
      <c r="K513" s="1" t="s">
        <v>21</v>
      </c>
      <c r="L513" s="1" t="s">
        <v>22</v>
      </c>
      <c r="M513" s="15">
        <f t="shared" si="56"/>
        <v>37.738706392358203</v>
      </c>
      <c r="N513" s="15">
        <f t="shared" si="57"/>
        <v>40.643678064973805</v>
      </c>
      <c r="O513" s="14">
        <f t="shared" si="58"/>
        <v>-19739.282515422994</v>
      </c>
      <c r="P513" s="13">
        <f t="shared" si="59"/>
        <v>-7.6975920753972457E-2</v>
      </c>
      <c r="Q513" s="15">
        <f t="shared" si="60"/>
        <v>-2.9049716726156021</v>
      </c>
      <c r="R513" s="13">
        <f t="shared" si="61"/>
        <v>-7.697592075397254E-2</v>
      </c>
      <c r="S513" s="15">
        <f t="shared" si="62"/>
        <v>35.267973231772061</v>
      </c>
      <c r="T513" s="15">
        <f t="shared" si="63"/>
        <v>38.286629616943401</v>
      </c>
    </row>
    <row r="514" spans="1:20" x14ac:dyDescent="0.3">
      <c r="A514" s="5">
        <v>42150.083333333336</v>
      </c>
      <c r="B514" s="14">
        <v>199385.91241486999</v>
      </c>
      <c r="C514" s="14">
        <v>214719.752819221</v>
      </c>
      <c r="D514" s="6">
        <v>5283</v>
      </c>
      <c r="E514" s="1">
        <v>2015</v>
      </c>
      <c r="F514" s="1">
        <v>5</v>
      </c>
      <c r="G514" s="1" t="s">
        <v>33</v>
      </c>
      <c r="H514" s="12">
        <v>42125</v>
      </c>
      <c r="I514" s="1">
        <v>26</v>
      </c>
      <c r="J514" s="1">
        <v>3</v>
      </c>
      <c r="K514" s="1" t="s">
        <v>23</v>
      </c>
      <c r="L514" s="1" t="s">
        <v>22</v>
      </c>
      <c r="M514" s="15">
        <f t="shared" si="56"/>
        <v>37.741039639384816</v>
      </c>
      <c r="N514" s="15">
        <f t="shared" si="57"/>
        <v>40.643526939091615</v>
      </c>
      <c r="O514" s="14">
        <f t="shared" si="58"/>
        <v>-15333.840404351009</v>
      </c>
      <c r="P514" s="13">
        <f t="shared" si="59"/>
        <v>-7.6905335079267251E-2</v>
      </c>
      <c r="Q514" s="15">
        <f t="shared" si="60"/>
        <v>-2.9024872997067988</v>
      </c>
      <c r="R514" s="13">
        <f t="shared" si="61"/>
        <v>-7.6905335079267292E-2</v>
      </c>
      <c r="S514" s="15">
        <f t="shared" si="62"/>
        <v>35.267973231772061</v>
      </c>
      <c r="T514" s="15">
        <f t="shared" si="63"/>
        <v>38.255034163707336</v>
      </c>
    </row>
    <row r="515" spans="1:20" x14ac:dyDescent="0.3">
      <c r="A515" s="5">
        <v>42151.083333333336</v>
      </c>
      <c r="B515" s="14">
        <v>243554.22433855501</v>
      </c>
      <c r="C515" s="14">
        <v>262251.08007940801</v>
      </c>
      <c r="D515" s="6">
        <v>6453</v>
      </c>
      <c r="E515" s="1">
        <v>2015</v>
      </c>
      <c r="F515" s="1">
        <v>5</v>
      </c>
      <c r="G515" s="1" t="s">
        <v>33</v>
      </c>
      <c r="H515" s="12">
        <v>42125</v>
      </c>
      <c r="I515" s="1">
        <v>27</v>
      </c>
      <c r="J515" s="1">
        <v>4</v>
      </c>
      <c r="K515" s="1" t="s">
        <v>25</v>
      </c>
      <c r="L515" s="1" t="s">
        <v>22</v>
      </c>
      <c r="M515" s="15">
        <f t="shared" ref="M515:M578" si="64">IFERROR(B515/D515,0)</f>
        <v>37.742790072610418</v>
      </c>
      <c r="N515" s="15">
        <f t="shared" ref="N515:N578" si="65">IFERROR(C515/D515,0)</f>
        <v>40.640179773656904</v>
      </c>
      <c r="O515" s="14">
        <f t="shared" ref="O515:O578" si="66">B515-C515</f>
        <v>-18696.855740853003</v>
      </c>
      <c r="P515" s="13">
        <f t="shared" ref="P515:P578" si="67">IFERROR(O515/B515,0)</f>
        <v>-7.676670684579566E-2</v>
      </c>
      <c r="Q515" s="15">
        <f t="shared" ref="Q515:Q578" si="68">M515-N515</f>
        <v>-2.8973897010464853</v>
      </c>
      <c r="R515" s="13">
        <f t="shared" ref="R515:R578" si="69">IFERROR(Q515/M515,0)</f>
        <v>-7.6766706845795521E-2</v>
      </c>
      <c r="S515" s="15">
        <f t="shared" ref="S515:S578" si="70">IFERROR(SUM($B$2:$B$1001)/SUM($D$2:$D$1001),0)</f>
        <v>35.267973231772061</v>
      </c>
      <c r="T515" s="15">
        <f t="shared" ref="T515:T578" si="71">AVERAGEIFS($M$2:$M$1001,$A$2:$A$1001,"&gt;="&amp;A515-29,$A$2:$A$1001,"&lt;="&amp;A515)</f>
        <v>38.223218498269581</v>
      </c>
    </row>
    <row r="516" spans="1:20" x14ac:dyDescent="0.3">
      <c r="A516" s="5">
        <v>42152.083333333336</v>
      </c>
      <c r="B516" s="14">
        <v>217746.01291984701</v>
      </c>
      <c r="C516" s="14">
        <v>234483.41700980699</v>
      </c>
      <c r="D516" s="6">
        <v>5770</v>
      </c>
      <c r="E516" s="1">
        <v>2015</v>
      </c>
      <c r="F516" s="1">
        <v>5</v>
      </c>
      <c r="G516" s="1" t="s">
        <v>33</v>
      </c>
      <c r="H516" s="12">
        <v>42125</v>
      </c>
      <c r="I516" s="1">
        <v>28</v>
      </c>
      <c r="J516" s="1">
        <v>5</v>
      </c>
      <c r="K516" s="1" t="s">
        <v>26</v>
      </c>
      <c r="L516" s="1" t="s">
        <v>22</v>
      </c>
      <c r="M516" s="15">
        <f t="shared" si="64"/>
        <v>37.737610558032408</v>
      </c>
      <c r="N516" s="15">
        <f t="shared" si="65"/>
        <v>40.638373831855631</v>
      </c>
      <c r="O516" s="14">
        <f t="shared" si="66"/>
        <v>-16737.404089959979</v>
      </c>
      <c r="P516" s="13">
        <f t="shared" si="67"/>
        <v>-7.6866638637930279E-2</v>
      </c>
      <c r="Q516" s="15">
        <f t="shared" si="68"/>
        <v>-2.9007632738232232</v>
      </c>
      <c r="R516" s="13">
        <f t="shared" si="69"/>
        <v>-7.6866638637930376E-2</v>
      </c>
      <c r="S516" s="15">
        <f t="shared" si="70"/>
        <v>35.267973231772061</v>
      </c>
      <c r="T516" s="15">
        <f t="shared" si="71"/>
        <v>38.194262977825339</v>
      </c>
    </row>
    <row r="517" spans="1:20" x14ac:dyDescent="0.3">
      <c r="A517" s="5">
        <v>42153.083333333336</v>
      </c>
      <c r="B517" s="14">
        <v>472160.75210974901</v>
      </c>
      <c r="C517" s="14">
        <v>508265.146973742</v>
      </c>
      <c r="D517" s="6">
        <v>12507</v>
      </c>
      <c r="E517" s="1">
        <v>2015</v>
      </c>
      <c r="F517" s="1">
        <v>5</v>
      </c>
      <c r="G517" s="1" t="s">
        <v>33</v>
      </c>
      <c r="H517" s="12">
        <v>42125</v>
      </c>
      <c r="I517" s="1">
        <v>29</v>
      </c>
      <c r="J517" s="1">
        <v>6</v>
      </c>
      <c r="K517" s="1" t="s">
        <v>27</v>
      </c>
      <c r="L517" s="1" t="s">
        <v>22</v>
      </c>
      <c r="M517" s="15">
        <f t="shared" si="64"/>
        <v>37.751719206024546</v>
      </c>
      <c r="N517" s="15">
        <f t="shared" si="65"/>
        <v>40.638454223534183</v>
      </c>
      <c r="O517" s="14">
        <f t="shared" si="66"/>
        <v>-36104.394863992988</v>
      </c>
      <c r="P517" s="13">
        <f t="shared" si="67"/>
        <v>-7.6466319368283464E-2</v>
      </c>
      <c r="Q517" s="15">
        <f t="shared" si="68"/>
        <v>-2.8867350175096362</v>
      </c>
      <c r="R517" s="13">
        <f t="shared" si="69"/>
        <v>-7.6466319368283533E-2</v>
      </c>
      <c r="S517" s="15">
        <f t="shared" si="70"/>
        <v>35.267973231772061</v>
      </c>
      <c r="T517" s="15">
        <f t="shared" si="71"/>
        <v>38.164722228883036</v>
      </c>
    </row>
    <row r="518" spans="1:20" x14ac:dyDescent="0.3">
      <c r="A518" s="5">
        <v>42154.083333333336</v>
      </c>
      <c r="B518" s="14">
        <v>546135.46241509903</v>
      </c>
      <c r="C518" s="14">
        <v>588250.18115078297</v>
      </c>
      <c r="D518" s="6">
        <v>14475</v>
      </c>
      <c r="E518" s="1">
        <v>2015</v>
      </c>
      <c r="F518" s="1">
        <v>5</v>
      </c>
      <c r="G518" s="1" t="s">
        <v>33</v>
      </c>
      <c r="H518" s="12">
        <v>42125</v>
      </c>
      <c r="I518" s="1">
        <v>30</v>
      </c>
      <c r="J518" s="1">
        <v>7</v>
      </c>
      <c r="K518" s="1" t="s">
        <v>28</v>
      </c>
      <c r="L518" s="1" t="s">
        <v>22</v>
      </c>
      <c r="M518" s="15">
        <f t="shared" si="64"/>
        <v>37.729565624531887</v>
      </c>
      <c r="N518" s="15">
        <f t="shared" si="65"/>
        <v>40.639045329933197</v>
      </c>
      <c r="O518" s="14">
        <f t="shared" si="66"/>
        <v>-42114.718735683942</v>
      </c>
      <c r="P518" s="13">
        <f t="shared" si="67"/>
        <v>-7.711405252727202E-2</v>
      </c>
      <c r="Q518" s="15">
        <f t="shared" si="68"/>
        <v>-2.90947970540131</v>
      </c>
      <c r="R518" s="13">
        <f t="shared" si="69"/>
        <v>-7.7114052527272048E-2</v>
      </c>
      <c r="S518" s="15">
        <f t="shared" si="70"/>
        <v>35.267973231772061</v>
      </c>
      <c r="T518" s="15">
        <f t="shared" si="71"/>
        <v>38.135630067526691</v>
      </c>
    </row>
    <row r="519" spans="1:20" x14ac:dyDescent="0.3">
      <c r="A519" s="5">
        <v>42155.083333333336</v>
      </c>
      <c r="B519" s="14">
        <v>264637.36527971103</v>
      </c>
      <c r="C519" s="14">
        <v>284828.65965624899</v>
      </c>
      <c r="D519" s="6">
        <v>7009</v>
      </c>
      <c r="E519" s="1">
        <v>2015</v>
      </c>
      <c r="F519" s="1">
        <v>5</v>
      </c>
      <c r="G519" s="1" t="s">
        <v>33</v>
      </c>
      <c r="H519" s="12">
        <v>42125</v>
      </c>
      <c r="I519" s="1">
        <v>31</v>
      </c>
      <c r="J519" s="1">
        <v>1</v>
      </c>
      <c r="K519" s="1" t="s">
        <v>29</v>
      </c>
      <c r="L519" s="1" t="s">
        <v>22</v>
      </c>
      <c r="M519" s="15">
        <f t="shared" si="64"/>
        <v>37.756793448382226</v>
      </c>
      <c r="N519" s="15">
        <f t="shared" si="65"/>
        <v>40.637560230596229</v>
      </c>
      <c r="O519" s="14">
        <f t="shared" si="66"/>
        <v>-20191.29437653796</v>
      </c>
      <c r="P519" s="13">
        <f t="shared" si="67"/>
        <v>-7.6297972341118861E-2</v>
      </c>
      <c r="Q519" s="15">
        <f t="shared" si="68"/>
        <v>-2.8807667822140033</v>
      </c>
      <c r="R519" s="13">
        <f t="shared" si="69"/>
        <v>-7.6297972341118819E-2</v>
      </c>
      <c r="S519" s="15">
        <f t="shared" si="70"/>
        <v>35.267973231772061</v>
      </c>
      <c r="T519" s="15">
        <f t="shared" si="71"/>
        <v>38.106659471880327</v>
      </c>
    </row>
    <row r="520" spans="1:20" x14ac:dyDescent="0.3">
      <c r="A520" s="5">
        <v>42156.083333333336</v>
      </c>
      <c r="B520" s="14">
        <v>440905.99870597001</v>
      </c>
      <c r="C520" s="14">
        <v>474967.32763121498</v>
      </c>
      <c r="D520" s="6">
        <v>11688</v>
      </c>
      <c r="E520" s="1">
        <v>2015</v>
      </c>
      <c r="F520" s="1">
        <v>6</v>
      </c>
      <c r="G520" s="1" t="s">
        <v>34</v>
      </c>
      <c r="H520" s="12">
        <v>42156</v>
      </c>
      <c r="I520" s="1">
        <v>1</v>
      </c>
      <c r="J520" s="1">
        <v>2</v>
      </c>
      <c r="K520" s="1" t="s">
        <v>21</v>
      </c>
      <c r="L520" s="1" t="s">
        <v>22</v>
      </c>
      <c r="M520" s="15">
        <f t="shared" si="64"/>
        <v>37.722963612762662</v>
      </c>
      <c r="N520" s="15">
        <f t="shared" si="65"/>
        <v>40.637177244286015</v>
      </c>
      <c r="O520" s="14">
        <f t="shared" si="66"/>
        <v>-34061.328925244976</v>
      </c>
      <c r="P520" s="13">
        <f t="shared" si="67"/>
        <v>-7.7253040387775918E-2</v>
      </c>
      <c r="Q520" s="15">
        <f t="shared" si="68"/>
        <v>-2.9142136315233529</v>
      </c>
      <c r="R520" s="13">
        <f t="shared" si="69"/>
        <v>-7.7253040387775848E-2</v>
      </c>
      <c r="S520" s="15">
        <f t="shared" si="70"/>
        <v>35.267973231772061</v>
      </c>
      <c r="T520" s="15">
        <f t="shared" si="71"/>
        <v>38.104461557979235</v>
      </c>
    </row>
    <row r="521" spans="1:20" x14ac:dyDescent="0.3">
      <c r="A521" s="5">
        <v>42157.083333333336</v>
      </c>
      <c r="B521" s="14">
        <v>334318.89783315198</v>
      </c>
      <c r="C521" s="14">
        <v>360168.82707700803</v>
      </c>
      <c r="D521" s="6">
        <v>8863</v>
      </c>
      <c r="E521" s="1">
        <v>2015</v>
      </c>
      <c r="F521" s="1">
        <v>6</v>
      </c>
      <c r="G521" s="1" t="s">
        <v>34</v>
      </c>
      <c r="H521" s="12">
        <v>42156</v>
      </c>
      <c r="I521" s="1">
        <v>2</v>
      </c>
      <c r="J521" s="1">
        <v>3</v>
      </c>
      <c r="K521" s="1" t="s">
        <v>23</v>
      </c>
      <c r="L521" s="1" t="s">
        <v>22</v>
      </c>
      <c r="M521" s="15">
        <f t="shared" si="64"/>
        <v>37.720737654648765</v>
      </c>
      <c r="N521" s="15">
        <f t="shared" si="65"/>
        <v>40.637349326075601</v>
      </c>
      <c r="O521" s="14">
        <f t="shared" si="66"/>
        <v>-25849.929243856051</v>
      </c>
      <c r="P521" s="13">
        <f t="shared" si="67"/>
        <v>-7.7321172722808321E-2</v>
      </c>
      <c r="Q521" s="15">
        <f t="shared" si="68"/>
        <v>-2.9166116714268355</v>
      </c>
      <c r="R521" s="13">
        <f t="shared" si="69"/>
        <v>-7.7321172722808293E-2</v>
      </c>
      <c r="S521" s="15">
        <f t="shared" si="70"/>
        <v>35.267973231772061</v>
      </c>
      <c r="T521" s="15">
        <f t="shared" si="71"/>
        <v>38.074602256562677</v>
      </c>
    </row>
    <row r="522" spans="1:20" x14ac:dyDescent="0.3">
      <c r="A522" s="5">
        <v>42158.083333333336</v>
      </c>
      <c r="B522" s="14">
        <v>269835.82862680301</v>
      </c>
      <c r="C522" s="14">
        <v>290492.10628032201</v>
      </c>
      <c r="D522" s="6">
        <v>7148</v>
      </c>
      <c r="E522" s="1">
        <v>2015</v>
      </c>
      <c r="F522" s="1">
        <v>6</v>
      </c>
      <c r="G522" s="1" t="s">
        <v>34</v>
      </c>
      <c r="H522" s="12">
        <v>42156</v>
      </c>
      <c r="I522" s="1">
        <v>3</v>
      </c>
      <c r="J522" s="1">
        <v>4</v>
      </c>
      <c r="K522" s="1" t="s">
        <v>25</v>
      </c>
      <c r="L522" s="1" t="s">
        <v>22</v>
      </c>
      <c r="M522" s="15">
        <f t="shared" si="64"/>
        <v>37.749836125741886</v>
      </c>
      <c r="N522" s="15">
        <f t="shared" si="65"/>
        <v>40.63963434251847</v>
      </c>
      <c r="O522" s="14">
        <f t="shared" si="66"/>
        <v>-20656.277653519006</v>
      </c>
      <c r="P522" s="13">
        <f t="shared" si="67"/>
        <v>-7.655127845193499E-2</v>
      </c>
      <c r="Q522" s="15">
        <f t="shared" si="68"/>
        <v>-2.8897982167765832</v>
      </c>
      <c r="R522" s="13">
        <f t="shared" si="69"/>
        <v>-7.6551278451935031E-2</v>
      </c>
      <c r="S522" s="15">
        <f t="shared" si="70"/>
        <v>35.267973231772061</v>
      </c>
      <c r="T522" s="15">
        <f t="shared" si="71"/>
        <v>38.043907332130836</v>
      </c>
    </row>
    <row r="523" spans="1:20" x14ac:dyDescent="0.3">
      <c r="A523" s="5">
        <v>42159.083333333336</v>
      </c>
      <c r="B523" s="14">
        <v>201146.48927983001</v>
      </c>
      <c r="C523" s="14">
        <v>216428.50043796099</v>
      </c>
      <c r="D523" s="6">
        <v>5326</v>
      </c>
      <c r="E523" s="1">
        <v>2015</v>
      </c>
      <c r="F523" s="1">
        <v>6</v>
      </c>
      <c r="G523" s="1" t="s">
        <v>34</v>
      </c>
      <c r="H523" s="12">
        <v>42156</v>
      </c>
      <c r="I523" s="1">
        <v>4</v>
      </c>
      <c r="J523" s="1">
        <v>5</v>
      </c>
      <c r="K523" s="1" t="s">
        <v>26</v>
      </c>
      <c r="L523" s="1" t="s">
        <v>22</v>
      </c>
      <c r="M523" s="15">
        <f t="shared" si="64"/>
        <v>37.766896222273751</v>
      </c>
      <c r="N523" s="15">
        <f t="shared" si="65"/>
        <v>40.636218632737702</v>
      </c>
      <c r="O523" s="14">
        <f t="shared" si="66"/>
        <v>-15282.011158130976</v>
      </c>
      <c r="P523" s="13">
        <f t="shared" si="67"/>
        <v>-7.597453583627313E-2</v>
      </c>
      <c r="Q523" s="15">
        <f t="shared" si="68"/>
        <v>-2.8693224104639512</v>
      </c>
      <c r="R523" s="13">
        <f t="shared" si="69"/>
        <v>-7.5974535836273283E-2</v>
      </c>
      <c r="S523" s="15">
        <f t="shared" si="70"/>
        <v>35.267973231772061</v>
      </c>
      <c r="T523" s="15">
        <f t="shared" si="71"/>
        <v>38.011020110686523</v>
      </c>
    </row>
    <row r="524" spans="1:20" x14ac:dyDescent="0.3">
      <c r="A524" s="5">
        <v>42160.083333333336</v>
      </c>
      <c r="B524" s="14">
        <v>293461.083938186</v>
      </c>
      <c r="C524" s="14">
        <v>315937.86219659401</v>
      </c>
      <c r="D524" s="6">
        <v>7775</v>
      </c>
      <c r="E524" s="1">
        <v>2015</v>
      </c>
      <c r="F524" s="1">
        <v>6</v>
      </c>
      <c r="G524" s="1" t="s">
        <v>34</v>
      </c>
      <c r="H524" s="12">
        <v>42156</v>
      </c>
      <c r="I524" s="1">
        <v>5</v>
      </c>
      <c r="J524" s="1">
        <v>6</v>
      </c>
      <c r="K524" s="1" t="s">
        <v>27</v>
      </c>
      <c r="L524" s="1" t="s">
        <v>22</v>
      </c>
      <c r="M524" s="15">
        <f t="shared" si="64"/>
        <v>37.744190860216847</v>
      </c>
      <c r="N524" s="15">
        <f t="shared" si="65"/>
        <v>40.635094816282191</v>
      </c>
      <c r="O524" s="14">
        <f t="shared" si="66"/>
        <v>-22476.778258408012</v>
      </c>
      <c r="P524" s="13">
        <f t="shared" si="67"/>
        <v>-7.659202357182894E-2</v>
      </c>
      <c r="Q524" s="15">
        <f t="shared" si="68"/>
        <v>-2.890903956065344</v>
      </c>
      <c r="R524" s="13">
        <f t="shared" si="69"/>
        <v>-7.6592023571829065E-2</v>
      </c>
      <c r="S524" s="15">
        <f t="shared" si="70"/>
        <v>35.267973231772061</v>
      </c>
      <c r="T524" s="15">
        <f t="shared" si="71"/>
        <v>38.010591841211088</v>
      </c>
    </row>
    <row r="525" spans="1:20" x14ac:dyDescent="0.3">
      <c r="A525" s="5">
        <v>42161.083333333336</v>
      </c>
      <c r="B525" s="14">
        <v>349413.00982046698</v>
      </c>
      <c r="C525" s="14">
        <v>376094.72180583299</v>
      </c>
      <c r="D525" s="6">
        <v>9255</v>
      </c>
      <c r="E525" s="1">
        <v>2015</v>
      </c>
      <c r="F525" s="1">
        <v>6</v>
      </c>
      <c r="G525" s="1" t="s">
        <v>34</v>
      </c>
      <c r="H525" s="12">
        <v>42156</v>
      </c>
      <c r="I525" s="1">
        <v>6</v>
      </c>
      <c r="J525" s="1">
        <v>7</v>
      </c>
      <c r="K525" s="1" t="s">
        <v>28</v>
      </c>
      <c r="L525" s="1" t="s">
        <v>22</v>
      </c>
      <c r="M525" s="15">
        <f t="shared" si="64"/>
        <v>37.753971887678766</v>
      </c>
      <c r="N525" s="15">
        <f t="shared" si="65"/>
        <v>40.63692293958217</v>
      </c>
      <c r="O525" s="14">
        <f t="shared" si="66"/>
        <v>-26681.711985366012</v>
      </c>
      <c r="P525" s="13">
        <f t="shared" si="67"/>
        <v>-7.6361529867120373E-2</v>
      </c>
      <c r="Q525" s="15">
        <f t="shared" si="68"/>
        <v>-2.8829510519034045</v>
      </c>
      <c r="R525" s="13">
        <f t="shared" si="69"/>
        <v>-7.6361529867120359E-2</v>
      </c>
      <c r="S525" s="15">
        <f t="shared" si="70"/>
        <v>35.267973231772061</v>
      </c>
      <c r="T525" s="15">
        <f t="shared" si="71"/>
        <v>37.897358463474724</v>
      </c>
    </row>
    <row r="526" spans="1:20" x14ac:dyDescent="0.3">
      <c r="A526" s="5">
        <v>42162.083333333336</v>
      </c>
      <c r="B526" s="14">
        <v>179602.91516318999</v>
      </c>
      <c r="C526" s="14">
        <v>193348.59144622899</v>
      </c>
      <c r="D526" s="6">
        <v>4758</v>
      </c>
      <c r="E526" s="1">
        <v>2015</v>
      </c>
      <c r="F526" s="1">
        <v>6</v>
      </c>
      <c r="G526" s="1" t="s">
        <v>34</v>
      </c>
      <c r="H526" s="12">
        <v>42156</v>
      </c>
      <c r="I526" s="1">
        <v>7</v>
      </c>
      <c r="J526" s="1">
        <v>1</v>
      </c>
      <c r="K526" s="1" t="s">
        <v>29</v>
      </c>
      <c r="L526" s="1" t="s">
        <v>22</v>
      </c>
      <c r="M526" s="15">
        <f t="shared" si="64"/>
        <v>37.747565187723829</v>
      </c>
      <c r="N526" s="15">
        <f t="shared" si="65"/>
        <v>40.636526155155316</v>
      </c>
      <c r="O526" s="14">
        <f t="shared" si="66"/>
        <v>-13745.676283039007</v>
      </c>
      <c r="P526" s="13">
        <f t="shared" si="67"/>
        <v>-7.6533703645898357E-2</v>
      </c>
      <c r="Q526" s="15">
        <f t="shared" si="68"/>
        <v>-2.8889609674314869</v>
      </c>
      <c r="R526" s="13">
        <f t="shared" si="69"/>
        <v>-7.6533703645898399E-2</v>
      </c>
      <c r="S526" s="15">
        <f t="shared" si="70"/>
        <v>35.267973231772061</v>
      </c>
      <c r="T526" s="15">
        <f t="shared" si="71"/>
        <v>37.895935282745228</v>
      </c>
    </row>
    <row r="527" spans="1:20" x14ac:dyDescent="0.3">
      <c r="A527" s="5">
        <v>42163.083333333336</v>
      </c>
      <c r="B527" s="14">
        <v>109810.54567571801</v>
      </c>
      <c r="C527" s="14">
        <v>106166.081621258</v>
      </c>
      <c r="D527" s="6">
        <v>2613</v>
      </c>
      <c r="E527" s="1">
        <v>2015</v>
      </c>
      <c r="F527" s="1">
        <v>6</v>
      </c>
      <c r="G527" s="1" t="s">
        <v>34</v>
      </c>
      <c r="H527" s="12">
        <v>42156</v>
      </c>
      <c r="I527" s="1">
        <v>8</v>
      </c>
      <c r="J527" s="1">
        <v>2</v>
      </c>
      <c r="K527" s="1" t="s">
        <v>21</v>
      </c>
      <c r="L527" s="1" t="s">
        <v>22</v>
      </c>
      <c r="M527" s="15">
        <f t="shared" si="64"/>
        <v>42.024701751135865</v>
      </c>
      <c r="N527" s="15">
        <f t="shared" si="65"/>
        <v>40.629958523252199</v>
      </c>
      <c r="O527" s="14">
        <f t="shared" si="66"/>
        <v>3644.4640544600115</v>
      </c>
      <c r="P527" s="13">
        <f t="shared" si="67"/>
        <v>3.3188652620145372E-2</v>
      </c>
      <c r="Q527" s="15">
        <f t="shared" si="68"/>
        <v>1.3947432278836658</v>
      </c>
      <c r="R527" s="13">
        <f t="shared" si="69"/>
        <v>3.3188652620145434E-2</v>
      </c>
      <c r="S527" s="15">
        <f t="shared" si="70"/>
        <v>35.267973231772061</v>
      </c>
      <c r="T527" s="15">
        <f t="shared" si="71"/>
        <v>38.038256335547281</v>
      </c>
    </row>
    <row r="528" spans="1:20" x14ac:dyDescent="0.3">
      <c r="A528" s="5">
        <v>42164.083333333336</v>
      </c>
      <c r="B528" s="14">
        <v>76956.920353649606</v>
      </c>
      <c r="C528" s="14">
        <v>74212.790574549406</v>
      </c>
      <c r="D528" s="6">
        <v>1830</v>
      </c>
      <c r="E528" s="1">
        <v>2015</v>
      </c>
      <c r="F528" s="1">
        <v>6</v>
      </c>
      <c r="G528" s="1" t="s">
        <v>34</v>
      </c>
      <c r="H528" s="12">
        <v>42156</v>
      </c>
      <c r="I528" s="1">
        <v>9</v>
      </c>
      <c r="J528" s="1">
        <v>3</v>
      </c>
      <c r="K528" s="1" t="s">
        <v>23</v>
      </c>
      <c r="L528" s="1" t="s">
        <v>22</v>
      </c>
      <c r="M528" s="15">
        <f t="shared" si="64"/>
        <v>42.05296194188503</v>
      </c>
      <c r="N528" s="15">
        <f t="shared" si="65"/>
        <v>40.553437472431369</v>
      </c>
      <c r="O528" s="14">
        <f t="shared" si="66"/>
        <v>2744.1297791001998</v>
      </c>
      <c r="P528" s="13">
        <f t="shared" si="67"/>
        <v>3.5657998871183545E-2</v>
      </c>
      <c r="Q528" s="15">
        <f t="shared" si="68"/>
        <v>1.4995244694536609</v>
      </c>
      <c r="R528" s="13">
        <f t="shared" si="69"/>
        <v>3.5657998871183545E-2</v>
      </c>
      <c r="S528" s="15">
        <f t="shared" si="70"/>
        <v>35.267973231772061</v>
      </c>
      <c r="T528" s="15">
        <f t="shared" si="71"/>
        <v>38.181246221413815</v>
      </c>
    </row>
    <row r="529" spans="1:20" x14ac:dyDescent="0.3">
      <c r="A529" s="5">
        <v>42165.083333333336</v>
      </c>
      <c r="B529" s="14">
        <v>71199.588402039502</v>
      </c>
      <c r="C529" s="14">
        <v>68669.394963916304</v>
      </c>
      <c r="D529" s="6">
        <v>1694</v>
      </c>
      <c r="E529" s="1">
        <v>2015</v>
      </c>
      <c r="F529" s="1">
        <v>6</v>
      </c>
      <c r="G529" s="1" t="s">
        <v>34</v>
      </c>
      <c r="H529" s="12">
        <v>42156</v>
      </c>
      <c r="I529" s="1">
        <v>10</v>
      </c>
      <c r="J529" s="1">
        <v>4</v>
      </c>
      <c r="K529" s="1" t="s">
        <v>25</v>
      </c>
      <c r="L529" s="1" t="s">
        <v>22</v>
      </c>
      <c r="M529" s="15">
        <f t="shared" si="64"/>
        <v>42.030453602148469</v>
      </c>
      <c r="N529" s="15">
        <f t="shared" si="65"/>
        <v>40.536832918486603</v>
      </c>
      <c r="O529" s="14">
        <f t="shared" si="66"/>
        <v>2530.1934381231986</v>
      </c>
      <c r="P529" s="13">
        <f t="shared" si="67"/>
        <v>3.5536630125388782E-2</v>
      </c>
      <c r="Q529" s="15">
        <f t="shared" si="68"/>
        <v>1.4936206836618666</v>
      </c>
      <c r="R529" s="13">
        <f t="shared" si="69"/>
        <v>3.5536630125388824E-2</v>
      </c>
      <c r="S529" s="15">
        <f t="shared" si="70"/>
        <v>35.267973231772061</v>
      </c>
      <c r="T529" s="15">
        <f t="shared" si="71"/>
        <v>38.323984043572629</v>
      </c>
    </row>
    <row r="530" spans="1:20" x14ac:dyDescent="0.3">
      <c r="A530" s="5">
        <v>42166.083333333336</v>
      </c>
      <c r="B530" s="14">
        <v>68988.346670324798</v>
      </c>
      <c r="C530" s="14">
        <v>66539.165195768001</v>
      </c>
      <c r="D530" s="6">
        <v>1642</v>
      </c>
      <c r="E530" s="1">
        <v>2015</v>
      </c>
      <c r="F530" s="1">
        <v>6</v>
      </c>
      <c r="G530" s="1" t="s">
        <v>34</v>
      </c>
      <c r="H530" s="12">
        <v>42156</v>
      </c>
      <c r="I530" s="1">
        <v>11</v>
      </c>
      <c r="J530" s="1">
        <v>5</v>
      </c>
      <c r="K530" s="1" t="s">
        <v>26</v>
      </c>
      <c r="L530" s="1" t="s">
        <v>22</v>
      </c>
      <c r="M530" s="15">
        <f t="shared" si="64"/>
        <v>42.014827448431667</v>
      </c>
      <c r="N530" s="15">
        <f t="shared" si="65"/>
        <v>40.523243115571255</v>
      </c>
      <c r="O530" s="14">
        <f t="shared" si="66"/>
        <v>2449.1814745567972</v>
      </c>
      <c r="P530" s="13">
        <f t="shared" si="67"/>
        <v>3.5501379475880494E-2</v>
      </c>
      <c r="Q530" s="15">
        <f t="shared" si="68"/>
        <v>1.4915843328604126</v>
      </c>
      <c r="R530" s="13">
        <f t="shared" si="69"/>
        <v>3.5501379475880501E-2</v>
      </c>
      <c r="S530" s="15">
        <f t="shared" si="70"/>
        <v>35.267973231772061</v>
      </c>
      <c r="T530" s="15">
        <f t="shared" si="71"/>
        <v>38.46629051959426</v>
      </c>
    </row>
    <row r="531" spans="1:20" x14ac:dyDescent="0.3">
      <c r="A531" s="5">
        <v>42167.083333333336</v>
      </c>
      <c r="B531" s="14">
        <v>155156.879228006</v>
      </c>
      <c r="C531" s="14">
        <v>149423.243580907</v>
      </c>
      <c r="D531" s="6">
        <v>3690</v>
      </c>
      <c r="E531" s="1">
        <v>2015</v>
      </c>
      <c r="F531" s="1">
        <v>6</v>
      </c>
      <c r="G531" s="1" t="s">
        <v>34</v>
      </c>
      <c r="H531" s="12">
        <v>42156</v>
      </c>
      <c r="I531" s="1">
        <v>12</v>
      </c>
      <c r="J531" s="1">
        <v>6</v>
      </c>
      <c r="K531" s="1" t="s">
        <v>27</v>
      </c>
      <c r="L531" s="1" t="s">
        <v>22</v>
      </c>
      <c r="M531" s="15">
        <f t="shared" si="64"/>
        <v>42.047934750137131</v>
      </c>
      <c r="N531" s="15">
        <f t="shared" si="65"/>
        <v>40.494103951465313</v>
      </c>
      <c r="O531" s="14">
        <f t="shared" si="66"/>
        <v>5733.6356470989995</v>
      </c>
      <c r="P531" s="13">
        <f t="shared" si="67"/>
        <v>3.6953795897591575E-2</v>
      </c>
      <c r="Q531" s="15">
        <f t="shared" si="68"/>
        <v>1.5538307986718181</v>
      </c>
      <c r="R531" s="13">
        <f t="shared" si="69"/>
        <v>3.6953795897591631E-2</v>
      </c>
      <c r="S531" s="15">
        <f t="shared" si="70"/>
        <v>35.267973231772061</v>
      </c>
      <c r="T531" s="15">
        <f t="shared" si="71"/>
        <v>38.610117165492078</v>
      </c>
    </row>
    <row r="532" spans="1:20" x14ac:dyDescent="0.3">
      <c r="A532" s="5">
        <v>42168.083333333336</v>
      </c>
      <c r="B532" s="14">
        <v>185109.52314601399</v>
      </c>
      <c r="C532" s="14">
        <v>178347.369376849</v>
      </c>
      <c r="D532" s="6">
        <v>4404</v>
      </c>
      <c r="E532" s="1">
        <v>2015</v>
      </c>
      <c r="F532" s="1">
        <v>6</v>
      </c>
      <c r="G532" s="1" t="s">
        <v>34</v>
      </c>
      <c r="H532" s="12">
        <v>42156</v>
      </c>
      <c r="I532" s="1">
        <v>13</v>
      </c>
      <c r="J532" s="1">
        <v>7</v>
      </c>
      <c r="K532" s="1" t="s">
        <v>28</v>
      </c>
      <c r="L532" s="1" t="s">
        <v>22</v>
      </c>
      <c r="M532" s="15">
        <f t="shared" si="64"/>
        <v>42.032135137605358</v>
      </c>
      <c r="N532" s="15">
        <f t="shared" si="65"/>
        <v>40.496677878485244</v>
      </c>
      <c r="O532" s="14">
        <f t="shared" si="66"/>
        <v>6762.1537691649864</v>
      </c>
      <c r="P532" s="13">
        <f t="shared" si="67"/>
        <v>3.6530555825758433E-2</v>
      </c>
      <c r="Q532" s="15">
        <f t="shared" si="68"/>
        <v>1.5354572591201148</v>
      </c>
      <c r="R532" s="13">
        <f t="shared" si="69"/>
        <v>3.6530555825758426E-2</v>
      </c>
      <c r="S532" s="15">
        <f t="shared" si="70"/>
        <v>35.267973231772061</v>
      </c>
      <c r="T532" s="15">
        <f t="shared" si="71"/>
        <v>38.752934275670739</v>
      </c>
    </row>
    <row r="533" spans="1:20" x14ac:dyDescent="0.3">
      <c r="A533" s="5">
        <v>42169.083333333336</v>
      </c>
      <c r="B533" s="14">
        <v>83779.544010808895</v>
      </c>
      <c r="C533" s="14">
        <v>80659.821812081995</v>
      </c>
      <c r="D533" s="6">
        <v>1992</v>
      </c>
      <c r="E533" s="1">
        <v>2015</v>
      </c>
      <c r="F533" s="1">
        <v>6</v>
      </c>
      <c r="G533" s="1" t="s">
        <v>34</v>
      </c>
      <c r="H533" s="12">
        <v>42156</v>
      </c>
      <c r="I533" s="1">
        <v>14</v>
      </c>
      <c r="J533" s="1">
        <v>1</v>
      </c>
      <c r="K533" s="1" t="s">
        <v>29</v>
      </c>
      <c r="L533" s="1" t="s">
        <v>22</v>
      </c>
      <c r="M533" s="15">
        <f t="shared" si="64"/>
        <v>42.058004021490412</v>
      </c>
      <c r="N533" s="15">
        <f t="shared" si="65"/>
        <v>40.491878419719875</v>
      </c>
      <c r="O533" s="14">
        <f t="shared" si="66"/>
        <v>3119.7221987269004</v>
      </c>
      <c r="P533" s="13">
        <f t="shared" si="67"/>
        <v>3.7237278330428801E-2</v>
      </c>
      <c r="Q533" s="15">
        <f t="shared" si="68"/>
        <v>1.5661256017705369</v>
      </c>
      <c r="R533" s="13">
        <f t="shared" si="69"/>
        <v>3.7237278330428912E-2</v>
      </c>
      <c r="S533" s="15">
        <f t="shared" si="70"/>
        <v>35.267973231772061</v>
      </c>
      <c r="T533" s="15">
        <f t="shared" si="71"/>
        <v>38.896793640239302</v>
      </c>
    </row>
    <row r="534" spans="1:20" x14ac:dyDescent="0.3">
      <c r="A534" s="5">
        <v>42170.083333333336</v>
      </c>
      <c r="B534" s="14">
        <v>149501.57453075799</v>
      </c>
      <c r="C534" s="14">
        <v>143962.87189290201</v>
      </c>
      <c r="D534" s="6">
        <v>3557</v>
      </c>
      <c r="E534" s="1">
        <v>2015</v>
      </c>
      <c r="F534" s="1">
        <v>6</v>
      </c>
      <c r="G534" s="1" t="s">
        <v>34</v>
      </c>
      <c r="H534" s="12">
        <v>42156</v>
      </c>
      <c r="I534" s="1">
        <v>15</v>
      </c>
      <c r="J534" s="1">
        <v>2</v>
      </c>
      <c r="K534" s="1" t="s">
        <v>21</v>
      </c>
      <c r="L534" s="1" t="s">
        <v>22</v>
      </c>
      <c r="M534" s="15">
        <f t="shared" si="64"/>
        <v>42.030243050536406</v>
      </c>
      <c r="N534" s="15">
        <f t="shared" si="65"/>
        <v>40.473115516700034</v>
      </c>
      <c r="O534" s="14">
        <f t="shared" si="66"/>
        <v>5538.7026378559822</v>
      </c>
      <c r="P534" s="13">
        <f t="shared" si="67"/>
        <v>3.7047787993138938E-2</v>
      </c>
      <c r="Q534" s="15">
        <f t="shared" si="68"/>
        <v>1.5571275338363719</v>
      </c>
      <c r="R534" s="13">
        <f t="shared" si="69"/>
        <v>3.7047787993138889E-2</v>
      </c>
      <c r="S534" s="15">
        <f t="shared" si="70"/>
        <v>35.267973231772061</v>
      </c>
      <c r="T534" s="15">
        <f t="shared" si="71"/>
        <v>39.04004855290421</v>
      </c>
    </row>
    <row r="535" spans="1:20" x14ac:dyDescent="0.3">
      <c r="A535" s="5">
        <v>42171.083333333336</v>
      </c>
      <c r="B535" s="14">
        <v>100477.296792604</v>
      </c>
      <c r="C535" s="14">
        <v>96810.103581569099</v>
      </c>
      <c r="D535" s="6">
        <v>2395</v>
      </c>
      <c r="E535" s="1">
        <v>2015</v>
      </c>
      <c r="F535" s="1">
        <v>6</v>
      </c>
      <c r="G535" s="1" t="s">
        <v>34</v>
      </c>
      <c r="H535" s="12">
        <v>42156</v>
      </c>
      <c r="I535" s="1">
        <v>16</v>
      </c>
      <c r="J535" s="1">
        <v>3</v>
      </c>
      <c r="K535" s="1" t="s">
        <v>23</v>
      </c>
      <c r="L535" s="1" t="s">
        <v>22</v>
      </c>
      <c r="M535" s="15">
        <f t="shared" si="64"/>
        <v>41.952942293362838</v>
      </c>
      <c r="N535" s="15">
        <f t="shared" si="65"/>
        <v>40.421755148880628</v>
      </c>
      <c r="O535" s="14">
        <f t="shared" si="66"/>
        <v>3667.1932110349007</v>
      </c>
      <c r="P535" s="13">
        <f t="shared" si="67"/>
        <v>3.6497729617511347E-2</v>
      </c>
      <c r="Q535" s="15">
        <f t="shared" si="68"/>
        <v>1.5311871444822103</v>
      </c>
      <c r="R535" s="13">
        <f t="shared" si="69"/>
        <v>3.6497729617511278E-2</v>
      </c>
      <c r="S535" s="15">
        <f t="shared" si="70"/>
        <v>35.267973231772061</v>
      </c>
      <c r="T535" s="15">
        <f t="shared" si="71"/>
        <v>39.180690306555043</v>
      </c>
    </row>
    <row r="536" spans="1:20" x14ac:dyDescent="0.3">
      <c r="A536" s="5">
        <v>42172.083333333336</v>
      </c>
      <c r="B536" s="14">
        <v>89072.705347079202</v>
      </c>
      <c r="C536" s="14">
        <v>85639.307745994607</v>
      </c>
      <c r="D536" s="6">
        <v>2120</v>
      </c>
      <c r="E536" s="1">
        <v>2015</v>
      </c>
      <c r="F536" s="1">
        <v>6</v>
      </c>
      <c r="G536" s="1" t="s">
        <v>34</v>
      </c>
      <c r="H536" s="12">
        <v>42156</v>
      </c>
      <c r="I536" s="1">
        <v>17</v>
      </c>
      <c r="J536" s="1">
        <v>4</v>
      </c>
      <c r="K536" s="1" t="s">
        <v>25</v>
      </c>
      <c r="L536" s="1" t="s">
        <v>22</v>
      </c>
      <c r="M536" s="15">
        <f t="shared" si="64"/>
        <v>42.015427050509061</v>
      </c>
      <c r="N536" s="15">
        <f t="shared" si="65"/>
        <v>40.395899880186136</v>
      </c>
      <c r="O536" s="14">
        <f t="shared" si="66"/>
        <v>3433.3976010845945</v>
      </c>
      <c r="P536" s="13">
        <f t="shared" si="67"/>
        <v>3.8546012358174994E-2</v>
      </c>
      <c r="Q536" s="15">
        <f t="shared" si="68"/>
        <v>1.6195271703229253</v>
      </c>
      <c r="R536" s="13">
        <f t="shared" si="69"/>
        <v>3.8546012358175064E-2</v>
      </c>
      <c r="S536" s="15">
        <f t="shared" si="70"/>
        <v>35.267973231772061</v>
      </c>
      <c r="T536" s="15">
        <f t="shared" si="71"/>
        <v>39.323306600253737</v>
      </c>
    </row>
    <row r="537" spans="1:20" x14ac:dyDescent="0.3">
      <c r="A537" s="5">
        <v>42173.083333333336</v>
      </c>
      <c r="B537" s="14">
        <v>78746.595857519496</v>
      </c>
      <c r="C537" s="14">
        <v>75673.781987415699</v>
      </c>
      <c r="D537" s="6">
        <v>1875</v>
      </c>
      <c r="E537" s="1">
        <v>2015</v>
      </c>
      <c r="F537" s="1">
        <v>6</v>
      </c>
      <c r="G537" s="1" t="s">
        <v>34</v>
      </c>
      <c r="H537" s="12">
        <v>42156</v>
      </c>
      <c r="I537" s="1">
        <v>18</v>
      </c>
      <c r="J537" s="1">
        <v>5</v>
      </c>
      <c r="K537" s="1" t="s">
        <v>26</v>
      </c>
      <c r="L537" s="1" t="s">
        <v>22</v>
      </c>
      <c r="M537" s="15">
        <f t="shared" si="64"/>
        <v>41.998184457343733</v>
      </c>
      <c r="N537" s="15">
        <f t="shared" si="65"/>
        <v>40.359350393288373</v>
      </c>
      <c r="O537" s="14">
        <f t="shared" si="66"/>
        <v>3072.8138701037969</v>
      </c>
      <c r="P537" s="13">
        <f t="shared" si="67"/>
        <v>3.9021545460372745E-2</v>
      </c>
      <c r="Q537" s="15">
        <f t="shared" si="68"/>
        <v>1.6388340640553594</v>
      </c>
      <c r="R537" s="13">
        <f t="shared" si="69"/>
        <v>3.9021545460372765E-2</v>
      </c>
      <c r="S537" s="15">
        <f t="shared" si="70"/>
        <v>35.267973231772061</v>
      </c>
      <c r="T537" s="15">
        <f t="shared" si="71"/>
        <v>39.459356837490418</v>
      </c>
    </row>
    <row r="538" spans="1:20" x14ac:dyDescent="0.3">
      <c r="A538" s="5">
        <v>42174.083333333336</v>
      </c>
      <c r="B538" s="14">
        <v>141913.38242954601</v>
      </c>
      <c r="C538" s="14">
        <v>136017.75039375701</v>
      </c>
      <c r="D538" s="6">
        <v>3376</v>
      </c>
      <c r="E538" s="1">
        <v>2015</v>
      </c>
      <c r="F538" s="1">
        <v>6</v>
      </c>
      <c r="G538" s="1" t="s">
        <v>34</v>
      </c>
      <c r="H538" s="12">
        <v>42156</v>
      </c>
      <c r="I538" s="1">
        <v>19</v>
      </c>
      <c r="J538" s="1">
        <v>6</v>
      </c>
      <c r="K538" s="1" t="s">
        <v>27</v>
      </c>
      <c r="L538" s="1" t="s">
        <v>22</v>
      </c>
      <c r="M538" s="15">
        <f t="shared" si="64"/>
        <v>42.035954511121446</v>
      </c>
      <c r="N538" s="15">
        <f t="shared" si="65"/>
        <v>40.28961800762945</v>
      </c>
      <c r="O538" s="14">
        <f t="shared" si="66"/>
        <v>5895.6320357889927</v>
      </c>
      <c r="P538" s="13">
        <f t="shared" si="67"/>
        <v>4.1543876517184171E-2</v>
      </c>
      <c r="Q538" s="15">
        <f t="shared" si="68"/>
        <v>1.746336503491996</v>
      </c>
      <c r="R538" s="13">
        <f t="shared" si="69"/>
        <v>4.1543876517184067E-2</v>
      </c>
      <c r="S538" s="15">
        <f t="shared" si="70"/>
        <v>35.267973231772061</v>
      </c>
      <c r="T538" s="15">
        <f t="shared" si="71"/>
        <v>39.599925038903514</v>
      </c>
    </row>
    <row r="539" spans="1:20" x14ac:dyDescent="0.3">
      <c r="A539" s="5">
        <v>42175.083333333336</v>
      </c>
      <c r="B539" s="14">
        <v>169304.27828351501</v>
      </c>
      <c r="C539" s="14">
        <v>162287.90922482399</v>
      </c>
      <c r="D539" s="6">
        <v>4027</v>
      </c>
      <c r="E539" s="1">
        <v>2015</v>
      </c>
      <c r="F539" s="1">
        <v>6</v>
      </c>
      <c r="G539" s="1" t="s">
        <v>34</v>
      </c>
      <c r="H539" s="12">
        <v>42156</v>
      </c>
      <c r="I539" s="1">
        <v>20</v>
      </c>
      <c r="J539" s="1">
        <v>7</v>
      </c>
      <c r="K539" s="1" t="s">
        <v>28</v>
      </c>
      <c r="L539" s="1" t="s">
        <v>22</v>
      </c>
      <c r="M539" s="15">
        <f t="shared" si="64"/>
        <v>42.042284152847039</v>
      </c>
      <c r="N539" s="15">
        <f t="shared" si="65"/>
        <v>40.29995262598063</v>
      </c>
      <c r="O539" s="14">
        <f t="shared" si="66"/>
        <v>7016.3690586910234</v>
      </c>
      <c r="P539" s="13">
        <f t="shared" si="67"/>
        <v>4.1442361231660618E-2</v>
      </c>
      <c r="Q539" s="15">
        <f t="shared" si="68"/>
        <v>1.7423315268664084</v>
      </c>
      <c r="R539" s="13">
        <f t="shared" si="69"/>
        <v>4.1442361231660632E-2</v>
      </c>
      <c r="S539" s="15">
        <f t="shared" si="70"/>
        <v>35.267973231772061</v>
      </c>
      <c r="T539" s="15">
        <f t="shared" si="71"/>
        <v>39.599671529011019</v>
      </c>
    </row>
    <row r="540" spans="1:20" x14ac:dyDescent="0.3">
      <c r="A540" s="5">
        <v>42176.083333333336</v>
      </c>
      <c r="B540" s="14">
        <v>89512.242836068399</v>
      </c>
      <c r="C540" s="14">
        <v>85781.807031229706</v>
      </c>
      <c r="D540" s="6">
        <v>2128</v>
      </c>
      <c r="E540" s="1">
        <v>2015</v>
      </c>
      <c r="F540" s="1">
        <v>6</v>
      </c>
      <c r="G540" s="1" t="s">
        <v>34</v>
      </c>
      <c r="H540" s="12">
        <v>42156</v>
      </c>
      <c r="I540" s="1">
        <v>21</v>
      </c>
      <c r="J540" s="1">
        <v>1</v>
      </c>
      <c r="K540" s="1" t="s">
        <v>29</v>
      </c>
      <c r="L540" s="1" t="s">
        <v>22</v>
      </c>
      <c r="M540" s="15">
        <f t="shared" si="64"/>
        <v>42.064023889129885</v>
      </c>
      <c r="N540" s="15">
        <f t="shared" si="65"/>
        <v>40.3109995447508</v>
      </c>
      <c r="O540" s="14">
        <f t="shared" si="66"/>
        <v>3730.435804838693</v>
      </c>
      <c r="P540" s="13">
        <f t="shared" si="67"/>
        <v>4.1675146177161108E-2</v>
      </c>
      <c r="Q540" s="15">
        <f t="shared" si="68"/>
        <v>1.7530243443790852</v>
      </c>
      <c r="R540" s="13">
        <f t="shared" si="69"/>
        <v>4.1675146177161115E-2</v>
      </c>
      <c r="S540" s="15">
        <f t="shared" si="70"/>
        <v>35.267973231772061</v>
      </c>
      <c r="T540" s="15">
        <f t="shared" si="71"/>
        <v>39.743611037150671</v>
      </c>
    </row>
    <row r="541" spans="1:20" x14ac:dyDescent="0.3">
      <c r="A541" s="5">
        <v>42177.083333333336</v>
      </c>
      <c r="B541" s="14">
        <v>85984.075339139206</v>
      </c>
      <c r="C541" s="14">
        <v>82427.2315369071</v>
      </c>
      <c r="D541" s="6">
        <v>2046</v>
      </c>
      <c r="E541" s="1">
        <v>2015</v>
      </c>
      <c r="F541" s="1">
        <v>6</v>
      </c>
      <c r="G541" s="1" t="s">
        <v>34</v>
      </c>
      <c r="H541" s="12">
        <v>42156</v>
      </c>
      <c r="I541" s="1">
        <v>22</v>
      </c>
      <c r="J541" s="1">
        <v>2</v>
      </c>
      <c r="K541" s="1" t="s">
        <v>21</v>
      </c>
      <c r="L541" s="1" t="s">
        <v>22</v>
      </c>
      <c r="M541" s="15">
        <f t="shared" si="64"/>
        <v>42.02545226741897</v>
      </c>
      <c r="N541" s="15">
        <f t="shared" si="65"/>
        <v>40.28701443641598</v>
      </c>
      <c r="O541" s="14">
        <f t="shared" si="66"/>
        <v>3556.8438022321061</v>
      </c>
      <c r="P541" s="13">
        <f t="shared" si="67"/>
        <v>4.1366308682196894E-2</v>
      </c>
      <c r="Q541" s="15">
        <f t="shared" si="68"/>
        <v>1.7384378310029902</v>
      </c>
      <c r="R541" s="13">
        <f t="shared" si="69"/>
        <v>4.1366308682197032E-2</v>
      </c>
      <c r="S541" s="15">
        <f t="shared" si="70"/>
        <v>35.267973231772061</v>
      </c>
      <c r="T541" s="15">
        <f t="shared" si="71"/>
        <v>39.886602528707243</v>
      </c>
    </row>
    <row r="542" spans="1:20" x14ac:dyDescent="0.3">
      <c r="A542" s="5">
        <v>42178.083333333336</v>
      </c>
      <c r="B542" s="14">
        <v>64956.462075899602</v>
      </c>
      <c r="C542" s="14">
        <v>62169.777124857203</v>
      </c>
      <c r="D542" s="6">
        <v>1546</v>
      </c>
      <c r="E542" s="1">
        <v>2015</v>
      </c>
      <c r="F542" s="1">
        <v>6</v>
      </c>
      <c r="G542" s="1" t="s">
        <v>34</v>
      </c>
      <c r="H542" s="12">
        <v>42156</v>
      </c>
      <c r="I542" s="1">
        <v>23</v>
      </c>
      <c r="J542" s="1">
        <v>3</v>
      </c>
      <c r="K542" s="1" t="s">
        <v>23</v>
      </c>
      <c r="L542" s="1" t="s">
        <v>22</v>
      </c>
      <c r="M542" s="15">
        <f t="shared" si="64"/>
        <v>42.01582281752885</v>
      </c>
      <c r="N542" s="15">
        <f t="shared" si="65"/>
        <v>40.213309912585515</v>
      </c>
      <c r="O542" s="14">
        <f t="shared" si="66"/>
        <v>2786.6849510423999</v>
      </c>
      <c r="P542" s="13">
        <f t="shared" si="67"/>
        <v>4.2900811743506677E-2</v>
      </c>
      <c r="Q542" s="15">
        <f t="shared" si="68"/>
        <v>1.8025129049433346</v>
      </c>
      <c r="R542" s="13">
        <f t="shared" si="69"/>
        <v>4.2900811743506607E-2</v>
      </c>
      <c r="S542" s="15">
        <f t="shared" si="70"/>
        <v>35.267973231772061</v>
      </c>
      <c r="T542" s="15">
        <f t="shared" si="71"/>
        <v>40.02819132116678</v>
      </c>
    </row>
    <row r="543" spans="1:20" x14ac:dyDescent="0.3">
      <c r="A543" s="5">
        <v>42179.083333333336</v>
      </c>
      <c r="B543" s="14">
        <v>106613.43283547901</v>
      </c>
      <c r="C543" s="14">
        <v>113428.47427466699</v>
      </c>
      <c r="D543" s="6">
        <v>2822</v>
      </c>
      <c r="E543" s="1">
        <v>2015</v>
      </c>
      <c r="F543" s="1">
        <v>6</v>
      </c>
      <c r="G543" s="1" t="s">
        <v>34</v>
      </c>
      <c r="H543" s="12">
        <v>42156</v>
      </c>
      <c r="I543" s="1">
        <v>24</v>
      </c>
      <c r="J543" s="1">
        <v>4</v>
      </c>
      <c r="K543" s="1" t="s">
        <v>25</v>
      </c>
      <c r="L543" s="1" t="s">
        <v>22</v>
      </c>
      <c r="M543" s="15">
        <f t="shared" si="64"/>
        <v>37.779387964379517</v>
      </c>
      <c r="N543" s="15">
        <f t="shared" si="65"/>
        <v>40.194356582093192</v>
      </c>
      <c r="O543" s="14">
        <f t="shared" si="66"/>
        <v>-6815.0414391879895</v>
      </c>
      <c r="P543" s="13">
        <f t="shared" si="67"/>
        <v>-6.3922915320667434E-2</v>
      </c>
      <c r="Q543" s="15">
        <f t="shared" si="68"/>
        <v>-2.4149686177136758</v>
      </c>
      <c r="R543" s="13">
        <f t="shared" si="69"/>
        <v>-6.3922915320667476E-2</v>
      </c>
      <c r="S543" s="15">
        <f t="shared" si="70"/>
        <v>35.267973231772061</v>
      </c>
      <c r="T543" s="15">
        <f t="shared" si="71"/>
        <v>40.029547373567496</v>
      </c>
    </row>
    <row r="544" spans="1:20" x14ac:dyDescent="0.3">
      <c r="A544" s="5">
        <v>42180.083333333336</v>
      </c>
      <c r="B544" s="14">
        <v>183843.817295243</v>
      </c>
      <c r="C544" s="14">
        <v>195365.73071994301</v>
      </c>
      <c r="D544" s="6">
        <v>4865</v>
      </c>
      <c r="E544" s="1">
        <v>2015</v>
      </c>
      <c r="F544" s="1">
        <v>6</v>
      </c>
      <c r="G544" s="1" t="s">
        <v>34</v>
      </c>
      <c r="H544" s="12">
        <v>42156</v>
      </c>
      <c r="I544" s="1">
        <v>25</v>
      </c>
      <c r="J544" s="1">
        <v>5</v>
      </c>
      <c r="K544" s="1" t="s">
        <v>26</v>
      </c>
      <c r="L544" s="1" t="s">
        <v>22</v>
      </c>
      <c r="M544" s="15">
        <f t="shared" si="64"/>
        <v>37.789068303235972</v>
      </c>
      <c r="N544" s="15">
        <f t="shared" si="65"/>
        <v>40.157395831437412</v>
      </c>
      <c r="O544" s="14">
        <f t="shared" si="66"/>
        <v>-11521.913424700004</v>
      </c>
      <c r="P544" s="13">
        <f t="shared" si="67"/>
        <v>-6.2672292134776819E-2</v>
      </c>
      <c r="Q544" s="15">
        <f t="shared" si="68"/>
        <v>-2.3683275282014407</v>
      </c>
      <c r="R544" s="13">
        <f t="shared" si="69"/>
        <v>-6.2672292134776847E-2</v>
      </c>
      <c r="S544" s="15">
        <f t="shared" si="70"/>
        <v>35.267973231772061</v>
      </c>
      <c r="T544" s="15">
        <f t="shared" si="71"/>
        <v>40.0311483290292</v>
      </c>
    </row>
    <row r="545" spans="1:20" x14ac:dyDescent="0.3">
      <c r="A545" s="5">
        <v>42181.083333333336</v>
      </c>
      <c r="B545" s="14">
        <v>319579.79409435601</v>
      </c>
      <c r="C545" s="14">
        <v>339241.69180245697</v>
      </c>
      <c r="D545" s="6">
        <v>8450</v>
      </c>
      <c r="E545" s="1">
        <v>2015</v>
      </c>
      <c r="F545" s="1">
        <v>6</v>
      </c>
      <c r="G545" s="1" t="s">
        <v>34</v>
      </c>
      <c r="H545" s="12">
        <v>42156</v>
      </c>
      <c r="I545" s="1">
        <v>26</v>
      </c>
      <c r="J545" s="1">
        <v>6</v>
      </c>
      <c r="K545" s="1" t="s">
        <v>27</v>
      </c>
      <c r="L545" s="1" t="s">
        <v>22</v>
      </c>
      <c r="M545" s="15">
        <f t="shared" si="64"/>
        <v>37.820093975663433</v>
      </c>
      <c r="N545" s="15">
        <f t="shared" si="65"/>
        <v>40.146945775438695</v>
      </c>
      <c r="O545" s="14">
        <f t="shared" si="66"/>
        <v>-19661.897708100965</v>
      </c>
      <c r="P545" s="13">
        <f t="shared" si="67"/>
        <v>-6.1524220465251897E-2</v>
      </c>
      <c r="Q545" s="15">
        <f t="shared" si="68"/>
        <v>-2.3268517997752625</v>
      </c>
      <c r="R545" s="13">
        <f t="shared" si="69"/>
        <v>-6.1524220465251904E-2</v>
      </c>
      <c r="S545" s="15">
        <f t="shared" si="70"/>
        <v>35.267973231772061</v>
      </c>
      <c r="T545" s="15">
        <f t="shared" si="71"/>
        <v>40.033725125797638</v>
      </c>
    </row>
    <row r="546" spans="1:20" x14ac:dyDescent="0.3">
      <c r="A546" s="5">
        <v>42182.083333333336</v>
      </c>
      <c r="B546" s="14">
        <v>369245.75870665</v>
      </c>
      <c r="C546" s="14">
        <v>392017.97345098702</v>
      </c>
      <c r="D546" s="6">
        <v>9770</v>
      </c>
      <c r="E546" s="1">
        <v>2015</v>
      </c>
      <c r="F546" s="1">
        <v>6</v>
      </c>
      <c r="G546" s="1" t="s">
        <v>34</v>
      </c>
      <c r="H546" s="12">
        <v>42156</v>
      </c>
      <c r="I546" s="1">
        <v>27</v>
      </c>
      <c r="J546" s="1">
        <v>7</v>
      </c>
      <c r="K546" s="1" t="s">
        <v>28</v>
      </c>
      <c r="L546" s="1" t="s">
        <v>22</v>
      </c>
      <c r="M546" s="15">
        <f t="shared" si="64"/>
        <v>37.79383405390481</v>
      </c>
      <c r="N546" s="15">
        <f t="shared" si="65"/>
        <v>40.124664631626104</v>
      </c>
      <c r="O546" s="14">
        <f t="shared" si="66"/>
        <v>-22772.21474433702</v>
      </c>
      <c r="P546" s="13">
        <f t="shared" si="67"/>
        <v>-6.1672244588809405E-2</v>
      </c>
      <c r="Q546" s="15">
        <f t="shared" si="68"/>
        <v>-2.3308305777212937</v>
      </c>
      <c r="R546" s="13">
        <f t="shared" si="69"/>
        <v>-6.1672244588809461E-2</v>
      </c>
      <c r="S546" s="15">
        <f t="shared" si="70"/>
        <v>35.267973231772061</v>
      </c>
      <c r="T546" s="15">
        <f t="shared" si="71"/>
        <v>40.035599242326711</v>
      </c>
    </row>
    <row r="547" spans="1:20" x14ac:dyDescent="0.3">
      <c r="A547" s="5">
        <v>42183.083333333336</v>
      </c>
      <c r="B547" s="14">
        <v>185648.49109672999</v>
      </c>
      <c r="C547" s="14">
        <v>197095.10874296899</v>
      </c>
      <c r="D547" s="6">
        <v>4914</v>
      </c>
      <c r="E547" s="1">
        <v>2015</v>
      </c>
      <c r="F547" s="1">
        <v>6</v>
      </c>
      <c r="G547" s="1" t="s">
        <v>34</v>
      </c>
      <c r="H547" s="12">
        <v>42156</v>
      </c>
      <c r="I547" s="1">
        <v>28</v>
      </c>
      <c r="J547" s="1">
        <v>1</v>
      </c>
      <c r="K547" s="1" t="s">
        <v>29</v>
      </c>
      <c r="L547" s="1" t="s">
        <v>22</v>
      </c>
      <c r="M547" s="15">
        <f t="shared" si="64"/>
        <v>37.77950571769027</v>
      </c>
      <c r="N547" s="15">
        <f t="shared" si="65"/>
        <v>40.108894738088928</v>
      </c>
      <c r="O547" s="14">
        <f t="shared" si="66"/>
        <v>-11446.617646238999</v>
      </c>
      <c r="P547" s="13">
        <f t="shared" si="67"/>
        <v>-6.1657477411302376E-2</v>
      </c>
      <c r="Q547" s="15">
        <f t="shared" si="68"/>
        <v>-2.3293890203986578</v>
      </c>
      <c r="R547" s="13">
        <f t="shared" si="69"/>
        <v>-6.1657477411302404E-2</v>
      </c>
      <c r="S547" s="15">
        <f t="shared" si="70"/>
        <v>35.267973231772061</v>
      </c>
      <c r="T547" s="15">
        <f t="shared" si="71"/>
        <v>40.036525459382233</v>
      </c>
    </row>
    <row r="548" spans="1:20" x14ac:dyDescent="0.3">
      <c r="A548" s="5">
        <v>42184.083333333336</v>
      </c>
      <c r="B548" s="14">
        <v>165557.761783853</v>
      </c>
      <c r="C548" s="14">
        <v>175871.110920523</v>
      </c>
      <c r="D548" s="6">
        <v>4385</v>
      </c>
      <c r="E548" s="1">
        <v>2015</v>
      </c>
      <c r="F548" s="1">
        <v>6</v>
      </c>
      <c r="G548" s="1" t="s">
        <v>34</v>
      </c>
      <c r="H548" s="12">
        <v>42156</v>
      </c>
      <c r="I548" s="1">
        <v>29</v>
      </c>
      <c r="J548" s="1">
        <v>2</v>
      </c>
      <c r="K548" s="1" t="s">
        <v>21</v>
      </c>
      <c r="L548" s="1" t="s">
        <v>22</v>
      </c>
      <c r="M548" s="15">
        <f t="shared" si="64"/>
        <v>37.755475891414598</v>
      </c>
      <c r="N548" s="15">
        <f t="shared" si="65"/>
        <v>40.107436926002968</v>
      </c>
      <c r="O548" s="14">
        <f t="shared" si="66"/>
        <v>-10313.349136670004</v>
      </c>
      <c r="P548" s="13">
        <f t="shared" si="67"/>
        <v>-6.2294567319258566E-2</v>
      </c>
      <c r="Q548" s="15">
        <f t="shared" si="68"/>
        <v>-2.3519610345883706</v>
      </c>
      <c r="R548" s="13">
        <f t="shared" si="69"/>
        <v>-6.2294567319258566E-2</v>
      </c>
      <c r="S548" s="15">
        <f t="shared" si="70"/>
        <v>35.267973231772061</v>
      </c>
      <c r="T548" s="15">
        <f t="shared" si="71"/>
        <v>40.037389134944988</v>
      </c>
    </row>
    <row r="549" spans="1:20" x14ac:dyDescent="0.3">
      <c r="A549" s="5">
        <v>42185.083333333336</v>
      </c>
      <c r="B549" s="14">
        <v>212465.083204942</v>
      </c>
      <c r="C549" s="14">
        <v>225678.934525302</v>
      </c>
      <c r="D549" s="6">
        <v>5627</v>
      </c>
      <c r="E549" s="1">
        <v>2015</v>
      </c>
      <c r="F549" s="1">
        <v>6</v>
      </c>
      <c r="G549" s="1" t="s">
        <v>34</v>
      </c>
      <c r="H549" s="12">
        <v>42156</v>
      </c>
      <c r="I549" s="1">
        <v>30</v>
      </c>
      <c r="J549" s="1">
        <v>3</v>
      </c>
      <c r="K549" s="1" t="s">
        <v>23</v>
      </c>
      <c r="L549" s="1" t="s">
        <v>22</v>
      </c>
      <c r="M549" s="15">
        <f t="shared" si="64"/>
        <v>37.758145229241514</v>
      </c>
      <c r="N549" s="15">
        <f t="shared" si="65"/>
        <v>40.10643940382122</v>
      </c>
      <c r="O549" s="14">
        <f t="shared" si="66"/>
        <v>-13213.851320360001</v>
      </c>
      <c r="P549" s="13">
        <f t="shared" si="67"/>
        <v>-6.2193048952020193E-2</v>
      </c>
      <c r="Q549" s="15">
        <f t="shared" si="68"/>
        <v>-2.3482941745797064</v>
      </c>
      <c r="R549" s="13">
        <f t="shared" si="69"/>
        <v>-6.2193048952020227E-2</v>
      </c>
      <c r="S549" s="15">
        <f t="shared" si="70"/>
        <v>35.267973231772061</v>
      </c>
      <c r="T549" s="15">
        <f t="shared" si="71"/>
        <v>40.037434194306961</v>
      </c>
    </row>
    <row r="550" spans="1:20" x14ac:dyDescent="0.3">
      <c r="A550" s="5">
        <v>42186.083333333336</v>
      </c>
      <c r="B550" s="14">
        <v>305231.90808635799</v>
      </c>
      <c r="C550" s="14">
        <v>324248.84149134002</v>
      </c>
      <c r="D550" s="6">
        <v>8086</v>
      </c>
      <c r="E550" s="1">
        <v>2015</v>
      </c>
      <c r="F550" s="1">
        <v>7</v>
      </c>
      <c r="G550" s="1" t="s">
        <v>35</v>
      </c>
      <c r="H550" s="12">
        <v>42186</v>
      </c>
      <c r="I550" s="1">
        <v>1</v>
      </c>
      <c r="J550" s="1">
        <v>4</v>
      </c>
      <c r="K550" s="1" t="s">
        <v>25</v>
      </c>
      <c r="L550" s="1" t="s">
        <v>22</v>
      </c>
      <c r="M550" s="15">
        <f t="shared" si="64"/>
        <v>37.748195410135786</v>
      </c>
      <c r="N550" s="15">
        <f t="shared" si="65"/>
        <v>40.100029865364831</v>
      </c>
      <c r="O550" s="14">
        <f t="shared" si="66"/>
        <v>-19016.933404982032</v>
      </c>
      <c r="P550" s="13">
        <f t="shared" si="67"/>
        <v>-6.2303228794814106E-2</v>
      </c>
      <c r="Q550" s="15">
        <f t="shared" si="68"/>
        <v>-2.3518344552290458</v>
      </c>
      <c r="R550" s="13">
        <f t="shared" si="69"/>
        <v>-6.2303228794814217E-2</v>
      </c>
      <c r="S550" s="15">
        <f t="shared" si="70"/>
        <v>35.267973231772061</v>
      </c>
      <c r="T550" s="15">
        <f t="shared" si="71"/>
        <v>40.038275254219393</v>
      </c>
    </row>
    <row r="551" spans="1:20" x14ac:dyDescent="0.3">
      <c r="A551" s="5">
        <v>42187.083333333336</v>
      </c>
      <c r="B551" s="14">
        <v>250481.617657244</v>
      </c>
      <c r="C551" s="14">
        <v>266061.92835854099</v>
      </c>
      <c r="D551" s="6">
        <v>6639</v>
      </c>
      <c r="E551" s="1">
        <v>2015</v>
      </c>
      <c r="F551" s="1">
        <v>7</v>
      </c>
      <c r="G551" s="1" t="s">
        <v>35</v>
      </c>
      <c r="H551" s="12">
        <v>42186</v>
      </c>
      <c r="I551" s="1">
        <v>2</v>
      </c>
      <c r="J551" s="1">
        <v>5</v>
      </c>
      <c r="K551" s="1" t="s">
        <v>26</v>
      </c>
      <c r="L551" s="1" t="s">
        <v>22</v>
      </c>
      <c r="M551" s="15">
        <f t="shared" si="64"/>
        <v>37.728817240133154</v>
      </c>
      <c r="N551" s="15">
        <f t="shared" si="65"/>
        <v>40.075603006257118</v>
      </c>
      <c r="O551" s="14">
        <f t="shared" si="66"/>
        <v>-15580.310701296985</v>
      </c>
      <c r="P551" s="13">
        <f t="shared" si="67"/>
        <v>-6.2201413608789814E-2</v>
      </c>
      <c r="Q551" s="15">
        <f t="shared" si="68"/>
        <v>-2.3467857661239648</v>
      </c>
      <c r="R551" s="13">
        <f t="shared" si="69"/>
        <v>-6.2201413608789884E-2</v>
      </c>
      <c r="S551" s="15">
        <f t="shared" si="70"/>
        <v>35.267973231772061</v>
      </c>
      <c r="T551" s="15">
        <f t="shared" si="71"/>
        <v>40.038544573735543</v>
      </c>
    </row>
    <row r="552" spans="1:20" x14ac:dyDescent="0.3">
      <c r="A552" s="5">
        <v>42188.083333333336</v>
      </c>
      <c r="B552" s="14">
        <v>268410.48070200899</v>
      </c>
      <c r="C552" s="14">
        <v>284592.99466123199</v>
      </c>
      <c r="D552" s="6">
        <v>7104</v>
      </c>
      <c r="E552" s="1">
        <v>2015</v>
      </c>
      <c r="F552" s="1">
        <v>7</v>
      </c>
      <c r="G552" s="1" t="s">
        <v>35</v>
      </c>
      <c r="H552" s="12">
        <v>42186</v>
      </c>
      <c r="I552" s="1">
        <v>3</v>
      </c>
      <c r="J552" s="1">
        <v>6</v>
      </c>
      <c r="K552" s="1" t="s">
        <v>27</v>
      </c>
      <c r="L552" s="1" t="s">
        <v>22</v>
      </c>
      <c r="M552" s="15">
        <f t="shared" si="64"/>
        <v>37.783006855575593</v>
      </c>
      <c r="N552" s="15">
        <f t="shared" si="65"/>
        <v>40.060950825060807</v>
      </c>
      <c r="O552" s="14">
        <f t="shared" si="66"/>
        <v>-16182.513959222997</v>
      </c>
      <c r="P552" s="13">
        <f t="shared" si="67"/>
        <v>-6.0290171668776697E-2</v>
      </c>
      <c r="Q552" s="15">
        <f t="shared" si="68"/>
        <v>-2.2779439694852144</v>
      </c>
      <c r="R552" s="13">
        <f t="shared" si="69"/>
        <v>-6.0290171668776565E-2</v>
      </c>
      <c r="S552" s="15">
        <f t="shared" si="70"/>
        <v>35.267973231772061</v>
      </c>
      <c r="T552" s="15">
        <f t="shared" si="71"/>
        <v>40.039650264730007</v>
      </c>
    </row>
    <row r="553" spans="1:20" x14ac:dyDescent="0.3">
      <c r="A553" s="5">
        <v>42189.083333333336</v>
      </c>
      <c r="B553" s="14">
        <v>316365.49873839202</v>
      </c>
      <c r="C553" s="14">
        <v>335025.07636012603</v>
      </c>
      <c r="D553" s="6">
        <v>8364</v>
      </c>
      <c r="E553" s="1">
        <v>2015</v>
      </c>
      <c r="F553" s="1">
        <v>7</v>
      </c>
      <c r="G553" s="1" t="s">
        <v>35</v>
      </c>
      <c r="H553" s="12">
        <v>42186</v>
      </c>
      <c r="I553" s="1">
        <v>4</v>
      </c>
      <c r="J553" s="1">
        <v>7</v>
      </c>
      <c r="K553" s="1" t="s">
        <v>28</v>
      </c>
      <c r="L553" s="1" t="s">
        <v>22</v>
      </c>
      <c r="M553" s="15">
        <f t="shared" si="64"/>
        <v>37.824665081108563</v>
      </c>
      <c r="N553" s="15">
        <f t="shared" si="65"/>
        <v>40.055604538513393</v>
      </c>
      <c r="O553" s="14">
        <f t="shared" si="66"/>
        <v>-18659.577621734003</v>
      </c>
      <c r="P553" s="13">
        <f t="shared" si="67"/>
        <v>-5.8981076306186986E-2</v>
      </c>
      <c r="Q553" s="15">
        <f t="shared" si="68"/>
        <v>-2.2309394574048298</v>
      </c>
      <c r="R553" s="13">
        <f t="shared" si="69"/>
        <v>-5.8981076306186965E-2</v>
      </c>
      <c r="S553" s="15">
        <f t="shared" si="70"/>
        <v>35.267973231772061</v>
      </c>
      <c r="T553" s="15">
        <f t="shared" si="71"/>
        <v>40.04157589335783</v>
      </c>
    </row>
    <row r="554" spans="1:20" x14ac:dyDescent="0.3">
      <c r="A554" s="5">
        <v>42190.083333333336</v>
      </c>
      <c r="B554" s="14">
        <v>156873.04365826401</v>
      </c>
      <c r="C554" s="14">
        <v>165968.62450164001</v>
      </c>
      <c r="D554" s="6">
        <v>4146</v>
      </c>
      <c r="E554" s="1">
        <v>2015</v>
      </c>
      <c r="F554" s="1">
        <v>7</v>
      </c>
      <c r="G554" s="1" t="s">
        <v>35</v>
      </c>
      <c r="H554" s="12">
        <v>42186</v>
      </c>
      <c r="I554" s="1">
        <v>5</v>
      </c>
      <c r="J554" s="1">
        <v>1</v>
      </c>
      <c r="K554" s="1" t="s">
        <v>29</v>
      </c>
      <c r="L554" s="1" t="s">
        <v>22</v>
      </c>
      <c r="M554" s="15">
        <f t="shared" si="64"/>
        <v>37.837203004887606</v>
      </c>
      <c r="N554" s="15">
        <f t="shared" si="65"/>
        <v>40.031023758234447</v>
      </c>
      <c r="O554" s="14">
        <f t="shared" si="66"/>
        <v>-9095.5808433759958</v>
      </c>
      <c r="P554" s="13">
        <f t="shared" si="67"/>
        <v>-5.7980521262722656E-2</v>
      </c>
      <c r="Q554" s="15">
        <f t="shared" si="68"/>
        <v>-2.1938207533468415</v>
      </c>
      <c r="R554" s="13">
        <f t="shared" si="69"/>
        <v>-5.7980521262722712E-2</v>
      </c>
      <c r="S554" s="15">
        <f t="shared" si="70"/>
        <v>35.267973231772061</v>
      </c>
      <c r="T554" s="15">
        <f t="shared" si="71"/>
        <v>40.044676298180192</v>
      </c>
    </row>
    <row r="555" spans="1:20" x14ac:dyDescent="0.3">
      <c r="A555" s="5">
        <v>42191.083333333336</v>
      </c>
      <c r="B555" s="14">
        <v>173987.75154080201</v>
      </c>
      <c r="C555" s="14">
        <v>184188.97897635499</v>
      </c>
      <c r="D555" s="6">
        <v>4601</v>
      </c>
      <c r="E555" s="1">
        <v>2015</v>
      </c>
      <c r="F555" s="1">
        <v>7</v>
      </c>
      <c r="G555" s="1" t="s">
        <v>35</v>
      </c>
      <c r="H555" s="12">
        <v>42186</v>
      </c>
      <c r="I555" s="1">
        <v>6</v>
      </c>
      <c r="J555" s="1">
        <v>2</v>
      </c>
      <c r="K555" s="1" t="s">
        <v>21</v>
      </c>
      <c r="L555" s="1" t="s">
        <v>22</v>
      </c>
      <c r="M555" s="15">
        <f t="shared" si="64"/>
        <v>37.815203551576182</v>
      </c>
      <c r="N555" s="15">
        <f t="shared" si="65"/>
        <v>40.032379694926099</v>
      </c>
      <c r="O555" s="14">
        <f t="shared" si="66"/>
        <v>-10201.227435552981</v>
      </c>
      <c r="P555" s="13">
        <f t="shared" si="67"/>
        <v>-5.86318711818095E-2</v>
      </c>
      <c r="Q555" s="15">
        <f t="shared" si="68"/>
        <v>-2.2171761433499171</v>
      </c>
      <c r="R555" s="13">
        <f t="shared" si="69"/>
        <v>-5.8631871181809431E-2</v>
      </c>
      <c r="S555" s="15">
        <f t="shared" si="70"/>
        <v>35.267973231772061</v>
      </c>
      <c r="T555" s="15">
        <f t="shared" si="71"/>
        <v>40.046717353643437</v>
      </c>
    </row>
    <row r="556" spans="1:20" x14ac:dyDescent="0.3">
      <c r="A556" s="5">
        <v>42192.083333333336</v>
      </c>
      <c r="B556" s="14">
        <v>135753.76604209599</v>
      </c>
      <c r="C556" s="14">
        <v>143799.59868752901</v>
      </c>
      <c r="D556" s="6">
        <v>3593</v>
      </c>
      <c r="E556" s="1">
        <v>2015</v>
      </c>
      <c r="F556" s="1">
        <v>7</v>
      </c>
      <c r="G556" s="1" t="s">
        <v>35</v>
      </c>
      <c r="H556" s="12">
        <v>42186</v>
      </c>
      <c r="I556" s="1">
        <v>7</v>
      </c>
      <c r="J556" s="1">
        <v>3</v>
      </c>
      <c r="K556" s="1" t="s">
        <v>23</v>
      </c>
      <c r="L556" s="1" t="s">
        <v>22</v>
      </c>
      <c r="M556" s="15">
        <f t="shared" si="64"/>
        <v>37.782846101334812</v>
      </c>
      <c r="N556" s="15">
        <f t="shared" si="65"/>
        <v>40.022153823414698</v>
      </c>
      <c r="O556" s="14">
        <f t="shared" si="66"/>
        <v>-8045.8326454330236</v>
      </c>
      <c r="P556" s="13">
        <f t="shared" si="67"/>
        <v>-5.9267841180465561E-2</v>
      </c>
      <c r="Q556" s="15">
        <f t="shared" si="68"/>
        <v>-2.2393077220798858</v>
      </c>
      <c r="R556" s="13">
        <f t="shared" si="69"/>
        <v>-5.9267841180465609E-2</v>
      </c>
      <c r="S556" s="15">
        <f t="shared" si="70"/>
        <v>35.267973231772061</v>
      </c>
      <c r="T556" s="15">
        <f t="shared" si="71"/>
        <v>40.047893384097137</v>
      </c>
    </row>
    <row r="557" spans="1:20" x14ac:dyDescent="0.3">
      <c r="A557" s="5">
        <v>42193.083333333336</v>
      </c>
      <c r="B557" s="14">
        <v>84426.509412029496</v>
      </c>
      <c r="C557" s="14">
        <v>84588.963035420893</v>
      </c>
      <c r="D557" s="6">
        <v>2114</v>
      </c>
      <c r="E557" s="1">
        <v>2015</v>
      </c>
      <c r="F557" s="1">
        <v>7</v>
      </c>
      <c r="G557" s="1" t="s">
        <v>35</v>
      </c>
      <c r="H557" s="12">
        <v>42186</v>
      </c>
      <c r="I557" s="1">
        <v>8</v>
      </c>
      <c r="J557" s="1">
        <v>4</v>
      </c>
      <c r="K557" s="1" t="s">
        <v>25</v>
      </c>
      <c r="L557" s="1" t="s">
        <v>22</v>
      </c>
      <c r="M557" s="15">
        <f t="shared" si="64"/>
        <v>39.936854026504022</v>
      </c>
      <c r="N557" s="15">
        <f t="shared" si="65"/>
        <v>40.013700584399665</v>
      </c>
      <c r="O557" s="14">
        <f t="shared" si="66"/>
        <v>-162.45362339139683</v>
      </c>
      <c r="P557" s="13">
        <f t="shared" si="67"/>
        <v>-1.9242015869514279E-3</v>
      </c>
      <c r="Q557" s="15">
        <f t="shared" si="68"/>
        <v>-7.684655789564232E-2</v>
      </c>
      <c r="R557" s="13">
        <f t="shared" si="69"/>
        <v>-1.9242015869513217E-3</v>
      </c>
      <c r="S557" s="15">
        <f t="shared" si="70"/>
        <v>35.267973231772061</v>
      </c>
      <c r="T557" s="15">
        <f t="shared" si="71"/>
        <v>39.978298459942742</v>
      </c>
    </row>
    <row r="558" spans="1:20" x14ac:dyDescent="0.3">
      <c r="A558" s="5">
        <v>42194.083333333336</v>
      </c>
      <c r="B558" s="14">
        <v>70815.190285530203</v>
      </c>
      <c r="C558" s="14">
        <v>71913.068580605104</v>
      </c>
      <c r="D558" s="6">
        <v>1797</v>
      </c>
      <c r="E558" s="1">
        <v>2015</v>
      </c>
      <c r="F558" s="1">
        <v>7</v>
      </c>
      <c r="G558" s="1" t="s">
        <v>35</v>
      </c>
      <c r="H558" s="12">
        <v>42186</v>
      </c>
      <c r="I558" s="1">
        <v>9</v>
      </c>
      <c r="J558" s="1">
        <v>5</v>
      </c>
      <c r="K558" s="1" t="s">
        <v>26</v>
      </c>
      <c r="L558" s="1" t="s">
        <v>22</v>
      </c>
      <c r="M558" s="15">
        <f t="shared" si="64"/>
        <v>39.407451466627826</v>
      </c>
      <c r="N558" s="15">
        <f t="shared" si="65"/>
        <v>40.018402103842575</v>
      </c>
      <c r="O558" s="14">
        <f t="shared" si="66"/>
        <v>-1097.878295074901</v>
      </c>
      <c r="P558" s="13">
        <f t="shared" si="67"/>
        <v>-1.5503429287532853E-2</v>
      </c>
      <c r="Q558" s="15">
        <f t="shared" si="68"/>
        <v>-0.61095063721474929</v>
      </c>
      <c r="R558" s="13">
        <f t="shared" si="69"/>
        <v>-1.5503429287532903E-2</v>
      </c>
      <c r="S558" s="15">
        <f t="shared" si="70"/>
        <v>35.267973231772061</v>
      </c>
      <c r="T558" s="15">
        <f t="shared" si="71"/>
        <v>39.890114777434171</v>
      </c>
    </row>
    <row r="559" spans="1:20" x14ac:dyDescent="0.3">
      <c r="A559" s="5">
        <v>42195.083333333336</v>
      </c>
      <c r="B559" s="14">
        <v>125983.151753546</v>
      </c>
      <c r="C559" s="14">
        <v>127884.587244448</v>
      </c>
      <c r="D559" s="6">
        <v>3195</v>
      </c>
      <c r="E559" s="1">
        <v>2015</v>
      </c>
      <c r="F559" s="1">
        <v>7</v>
      </c>
      <c r="G559" s="1" t="s">
        <v>35</v>
      </c>
      <c r="H559" s="12">
        <v>42186</v>
      </c>
      <c r="I559" s="1">
        <v>10</v>
      </c>
      <c r="J559" s="1">
        <v>6</v>
      </c>
      <c r="K559" s="1" t="s">
        <v>27</v>
      </c>
      <c r="L559" s="1" t="s">
        <v>22</v>
      </c>
      <c r="M559" s="15">
        <f t="shared" si="64"/>
        <v>39.431346401735837</v>
      </c>
      <c r="N559" s="15">
        <f t="shared" si="65"/>
        <v>40.026474880891392</v>
      </c>
      <c r="O559" s="14">
        <f t="shared" si="66"/>
        <v>-1901.4354909020039</v>
      </c>
      <c r="P559" s="13">
        <f t="shared" si="67"/>
        <v>-1.5092776013586951E-2</v>
      </c>
      <c r="Q559" s="15">
        <f t="shared" si="68"/>
        <v>-0.59512847915555511</v>
      </c>
      <c r="R559" s="13">
        <f t="shared" si="69"/>
        <v>-1.5092776013586908E-2</v>
      </c>
      <c r="S559" s="15">
        <f t="shared" si="70"/>
        <v>35.267973231772061</v>
      </c>
      <c r="T559" s="15">
        <f t="shared" si="71"/>
        <v>39.80347787075376</v>
      </c>
    </row>
    <row r="560" spans="1:20" x14ac:dyDescent="0.3">
      <c r="A560" s="5">
        <v>42196.083333333336</v>
      </c>
      <c r="B560" s="14">
        <v>142378.18404122599</v>
      </c>
      <c r="C560" s="14">
        <v>143924.56511903799</v>
      </c>
      <c r="D560" s="6">
        <v>3595</v>
      </c>
      <c r="E560" s="1">
        <v>2015</v>
      </c>
      <c r="F560" s="1">
        <v>7</v>
      </c>
      <c r="G560" s="1" t="s">
        <v>35</v>
      </c>
      <c r="H560" s="12">
        <v>42186</v>
      </c>
      <c r="I560" s="1">
        <v>11</v>
      </c>
      <c r="J560" s="1">
        <v>7</v>
      </c>
      <c r="K560" s="1" t="s">
        <v>28</v>
      </c>
      <c r="L560" s="1" t="s">
        <v>22</v>
      </c>
      <c r="M560" s="15">
        <f t="shared" si="64"/>
        <v>39.604501819534349</v>
      </c>
      <c r="N560" s="15">
        <f t="shared" si="65"/>
        <v>40.034649546324893</v>
      </c>
      <c r="O560" s="14">
        <f t="shared" si="66"/>
        <v>-1546.3810778119951</v>
      </c>
      <c r="P560" s="13">
        <f t="shared" si="67"/>
        <v>-1.086108162023078E-2</v>
      </c>
      <c r="Q560" s="15">
        <f t="shared" si="68"/>
        <v>-0.43014772679054403</v>
      </c>
      <c r="R560" s="13">
        <f t="shared" si="69"/>
        <v>-1.0861081620230856E-2</v>
      </c>
      <c r="S560" s="15">
        <f t="shared" si="70"/>
        <v>35.267973231772061</v>
      </c>
      <c r="T560" s="15">
        <f t="shared" si="71"/>
        <v>39.723133683123834</v>
      </c>
    </row>
    <row r="561" spans="1:20" x14ac:dyDescent="0.3">
      <c r="A561" s="5">
        <v>42197.083333333336</v>
      </c>
      <c r="B561" s="14">
        <v>57427.680707010099</v>
      </c>
      <c r="C561" s="14">
        <v>58723.0405317517</v>
      </c>
      <c r="D561" s="6">
        <v>1467</v>
      </c>
      <c r="E561" s="1">
        <v>2015</v>
      </c>
      <c r="F561" s="1">
        <v>7</v>
      </c>
      <c r="G561" s="1" t="s">
        <v>35</v>
      </c>
      <c r="H561" s="12">
        <v>42186</v>
      </c>
      <c r="I561" s="1">
        <v>12</v>
      </c>
      <c r="J561" s="1">
        <v>1</v>
      </c>
      <c r="K561" s="1" t="s">
        <v>29</v>
      </c>
      <c r="L561" s="1" t="s">
        <v>22</v>
      </c>
      <c r="M561" s="15">
        <f t="shared" si="64"/>
        <v>39.146339950245469</v>
      </c>
      <c r="N561" s="15">
        <f t="shared" si="65"/>
        <v>40.029339149114996</v>
      </c>
      <c r="O561" s="14">
        <f t="shared" si="66"/>
        <v>-1295.3598247416012</v>
      </c>
      <c r="P561" s="13">
        <f t="shared" si="67"/>
        <v>-2.2556366699717317E-2</v>
      </c>
      <c r="Q561" s="15">
        <f t="shared" si="68"/>
        <v>-0.88299919886952694</v>
      </c>
      <c r="R561" s="13">
        <f t="shared" si="69"/>
        <v>-2.2556366699717223E-2</v>
      </c>
      <c r="S561" s="15">
        <f t="shared" si="70"/>
        <v>35.267973231772061</v>
      </c>
      <c r="T561" s="15">
        <f t="shared" si="71"/>
        <v>39.626413856460772</v>
      </c>
    </row>
    <row r="562" spans="1:20" x14ac:dyDescent="0.3">
      <c r="A562" s="5">
        <v>42198.083333333336</v>
      </c>
      <c r="B562" s="14">
        <v>63331.331002230399</v>
      </c>
      <c r="C562" s="14">
        <v>64690.059069980802</v>
      </c>
      <c r="D562" s="6">
        <v>1610</v>
      </c>
      <c r="E562" s="1">
        <v>2015</v>
      </c>
      <c r="F562" s="1">
        <v>7</v>
      </c>
      <c r="G562" s="1" t="s">
        <v>35</v>
      </c>
      <c r="H562" s="12">
        <v>42186</v>
      </c>
      <c r="I562" s="1">
        <v>13</v>
      </c>
      <c r="J562" s="1">
        <v>2</v>
      </c>
      <c r="K562" s="1" t="s">
        <v>21</v>
      </c>
      <c r="L562" s="1" t="s">
        <v>22</v>
      </c>
      <c r="M562" s="15">
        <f t="shared" si="64"/>
        <v>39.336230436167952</v>
      </c>
      <c r="N562" s="15">
        <f t="shared" si="65"/>
        <v>40.180160913031557</v>
      </c>
      <c r="O562" s="14">
        <f t="shared" si="66"/>
        <v>-1358.7280677504023</v>
      </c>
      <c r="P562" s="13">
        <f t="shared" si="67"/>
        <v>-2.1454279362967291E-2</v>
      </c>
      <c r="Q562" s="15">
        <f t="shared" si="68"/>
        <v>-0.84393047686360489</v>
      </c>
      <c r="R562" s="13">
        <f t="shared" si="69"/>
        <v>-2.1454279362967316E-2</v>
      </c>
      <c r="S562" s="15">
        <f t="shared" si="70"/>
        <v>35.267973231772061</v>
      </c>
      <c r="T562" s="15">
        <f t="shared" si="71"/>
        <v>39.536550366412854</v>
      </c>
    </row>
    <row r="563" spans="1:20" x14ac:dyDescent="0.3">
      <c r="A563" s="5">
        <v>42199.083333333336</v>
      </c>
      <c r="B563" s="14">
        <v>51241.028553300399</v>
      </c>
      <c r="C563" s="14">
        <v>52509.916219996201</v>
      </c>
      <c r="D563" s="6">
        <v>1307</v>
      </c>
      <c r="E563" s="1">
        <v>2015</v>
      </c>
      <c r="F563" s="1">
        <v>7</v>
      </c>
      <c r="G563" s="1" t="s">
        <v>35</v>
      </c>
      <c r="H563" s="12">
        <v>42186</v>
      </c>
      <c r="I563" s="1">
        <v>14</v>
      </c>
      <c r="J563" s="1">
        <v>3</v>
      </c>
      <c r="K563" s="1" t="s">
        <v>23</v>
      </c>
      <c r="L563" s="1" t="s">
        <v>22</v>
      </c>
      <c r="M563" s="15">
        <f t="shared" si="64"/>
        <v>39.205071578653708</v>
      </c>
      <c r="N563" s="15">
        <f t="shared" si="65"/>
        <v>40.175911415452333</v>
      </c>
      <c r="O563" s="14">
        <f t="shared" si="66"/>
        <v>-1268.8876666958022</v>
      </c>
      <c r="P563" s="13">
        <f t="shared" si="67"/>
        <v>-2.4763118589157869E-2</v>
      </c>
      <c r="Q563" s="15">
        <f t="shared" si="68"/>
        <v>-0.97083983679862484</v>
      </c>
      <c r="R563" s="13">
        <f t="shared" si="69"/>
        <v>-2.4763118589157879E-2</v>
      </c>
      <c r="S563" s="15">
        <f t="shared" si="70"/>
        <v>35.267973231772061</v>
      </c>
      <c r="T563" s="15">
        <f t="shared" si="71"/>
        <v>39.441452618318301</v>
      </c>
    </row>
    <row r="564" spans="1:20" x14ac:dyDescent="0.3">
      <c r="A564" s="5">
        <v>42200.083333333336</v>
      </c>
      <c r="B564" s="14">
        <v>80326.4408092503</v>
      </c>
      <c r="C564" s="14">
        <v>81730.270702131005</v>
      </c>
      <c r="D564" s="6">
        <v>2050</v>
      </c>
      <c r="E564" s="1">
        <v>2015</v>
      </c>
      <c r="F564" s="1">
        <v>7</v>
      </c>
      <c r="G564" s="1" t="s">
        <v>35</v>
      </c>
      <c r="H564" s="12">
        <v>42186</v>
      </c>
      <c r="I564" s="1">
        <v>15</v>
      </c>
      <c r="J564" s="1">
        <v>4</v>
      </c>
      <c r="K564" s="1" t="s">
        <v>25</v>
      </c>
      <c r="L564" s="1" t="s">
        <v>22</v>
      </c>
      <c r="M564" s="15">
        <f t="shared" si="64"/>
        <v>39.183629663048926</v>
      </c>
      <c r="N564" s="15">
        <f t="shared" si="65"/>
        <v>39.868424732746831</v>
      </c>
      <c r="O564" s="14">
        <f t="shared" si="66"/>
        <v>-1403.8298928807053</v>
      </c>
      <c r="P564" s="13">
        <f t="shared" si="67"/>
        <v>-1.7476560379593487E-2</v>
      </c>
      <c r="Q564" s="15">
        <f t="shared" si="68"/>
        <v>-0.68479506969790549</v>
      </c>
      <c r="R564" s="13">
        <f t="shared" si="69"/>
        <v>-1.7476560379593501E-2</v>
      </c>
      <c r="S564" s="15">
        <f t="shared" si="70"/>
        <v>35.267973231772061</v>
      </c>
      <c r="T564" s="15">
        <f t="shared" si="71"/>
        <v>39.346565505402054</v>
      </c>
    </row>
    <row r="565" spans="1:20" x14ac:dyDescent="0.3">
      <c r="A565" s="5">
        <v>42201.083333333336</v>
      </c>
      <c r="B565" s="14">
        <v>71912.565728060203</v>
      </c>
      <c r="C565" s="14">
        <v>73762.629173268797</v>
      </c>
      <c r="D565" s="6">
        <v>1849</v>
      </c>
      <c r="E565" s="1">
        <v>2015</v>
      </c>
      <c r="F565" s="1">
        <v>7</v>
      </c>
      <c r="G565" s="1" t="s">
        <v>35</v>
      </c>
      <c r="H565" s="12">
        <v>42186</v>
      </c>
      <c r="I565" s="1">
        <v>16</v>
      </c>
      <c r="J565" s="1">
        <v>5</v>
      </c>
      <c r="K565" s="1" t="s">
        <v>26</v>
      </c>
      <c r="L565" s="1" t="s">
        <v>22</v>
      </c>
      <c r="M565" s="15">
        <f t="shared" si="64"/>
        <v>38.892680220692377</v>
      </c>
      <c r="N565" s="15">
        <f t="shared" si="65"/>
        <v>39.893255366830068</v>
      </c>
      <c r="O565" s="14">
        <f t="shared" si="66"/>
        <v>-1850.0634452085942</v>
      </c>
      <c r="P565" s="13">
        <f t="shared" si="67"/>
        <v>-2.572656706763421E-2</v>
      </c>
      <c r="Q565" s="15">
        <f t="shared" si="68"/>
        <v>-1.0005751461376917</v>
      </c>
      <c r="R565" s="13">
        <f t="shared" si="69"/>
        <v>-2.5726567067634178E-2</v>
      </c>
      <c r="S565" s="15">
        <f t="shared" si="70"/>
        <v>35.267973231772061</v>
      </c>
      <c r="T565" s="15">
        <f t="shared" si="71"/>
        <v>39.244556769646373</v>
      </c>
    </row>
    <row r="566" spans="1:20" x14ac:dyDescent="0.3">
      <c r="A566" s="5">
        <v>42202.083333333336</v>
      </c>
      <c r="B566" s="14">
        <v>119204.309534746</v>
      </c>
      <c r="C566" s="14">
        <v>122669.69942792501</v>
      </c>
      <c r="D566" s="6">
        <v>3070</v>
      </c>
      <c r="E566" s="1">
        <v>2015</v>
      </c>
      <c r="F566" s="1">
        <v>7</v>
      </c>
      <c r="G566" s="1" t="s">
        <v>35</v>
      </c>
      <c r="H566" s="12">
        <v>42186</v>
      </c>
      <c r="I566" s="1">
        <v>17</v>
      </c>
      <c r="J566" s="1">
        <v>6</v>
      </c>
      <c r="K566" s="1" t="s">
        <v>27</v>
      </c>
      <c r="L566" s="1" t="s">
        <v>22</v>
      </c>
      <c r="M566" s="15">
        <f t="shared" si="64"/>
        <v>38.82876532076417</v>
      </c>
      <c r="N566" s="15">
        <f t="shared" si="65"/>
        <v>39.95755681691368</v>
      </c>
      <c r="O566" s="14">
        <f t="shared" si="66"/>
        <v>-3465.3898931790027</v>
      </c>
      <c r="P566" s="13">
        <f t="shared" si="67"/>
        <v>-2.9071011834256723E-2</v>
      </c>
      <c r="Q566" s="15">
        <f t="shared" si="68"/>
        <v>-1.1287914961495105</v>
      </c>
      <c r="R566" s="13">
        <f t="shared" si="69"/>
        <v>-2.9071011834256678E-2</v>
      </c>
      <c r="S566" s="15">
        <f t="shared" si="70"/>
        <v>35.267973231772061</v>
      </c>
      <c r="T566" s="15">
        <f t="shared" si="71"/>
        <v>39.138334711988215</v>
      </c>
    </row>
    <row r="567" spans="1:20" x14ac:dyDescent="0.3">
      <c r="A567" s="5">
        <v>42203.083333333336</v>
      </c>
      <c r="B567" s="14">
        <v>129441.278656736</v>
      </c>
      <c r="C567" s="14">
        <v>132493.431520894</v>
      </c>
      <c r="D567" s="6">
        <v>3322</v>
      </c>
      <c r="E567" s="1">
        <v>2015</v>
      </c>
      <c r="F567" s="1">
        <v>7</v>
      </c>
      <c r="G567" s="1" t="s">
        <v>35</v>
      </c>
      <c r="H567" s="12">
        <v>42186</v>
      </c>
      <c r="I567" s="1">
        <v>18</v>
      </c>
      <c r="J567" s="1">
        <v>7</v>
      </c>
      <c r="K567" s="1" t="s">
        <v>28</v>
      </c>
      <c r="L567" s="1" t="s">
        <v>22</v>
      </c>
      <c r="M567" s="15">
        <f t="shared" si="64"/>
        <v>38.96486413508007</v>
      </c>
      <c r="N567" s="15">
        <f t="shared" si="65"/>
        <v>39.883633811226368</v>
      </c>
      <c r="O567" s="14">
        <f t="shared" si="66"/>
        <v>-3052.1528641579935</v>
      </c>
      <c r="P567" s="13">
        <f t="shared" si="67"/>
        <v>-2.3579440004235175E-2</v>
      </c>
      <c r="Q567" s="15">
        <f t="shared" si="68"/>
        <v>-0.91876967614629734</v>
      </c>
      <c r="R567" s="13">
        <f t="shared" si="69"/>
        <v>-2.3579440004235223E-2</v>
      </c>
      <c r="S567" s="15">
        <f t="shared" si="70"/>
        <v>35.267973231772061</v>
      </c>
      <c r="T567" s="15">
        <f t="shared" si="71"/>
        <v>39.037224034579417</v>
      </c>
    </row>
    <row r="568" spans="1:20" x14ac:dyDescent="0.3">
      <c r="A568" s="5">
        <v>42204.083333333336</v>
      </c>
      <c r="B568" s="14">
        <v>77645.749935120199</v>
      </c>
      <c r="C568" s="14">
        <v>79555.634736242297</v>
      </c>
      <c r="D568" s="6">
        <v>1982</v>
      </c>
      <c r="E568" s="1">
        <v>2015</v>
      </c>
      <c r="F568" s="1">
        <v>7</v>
      </c>
      <c r="G568" s="1" t="s">
        <v>35</v>
      </c>
      <c r="H568" s="12">
        <v>42186</v>
      </c>
      <c r="I568" s="1">
        <v>19</v>
      </c>
      <c r="J568" s="1">
        <v>1</v>
      </c>
      <c r="K568" s="1" t="s">
        <v>29</v>
      </c>
      <c r="L568" s="1" t="s">
        <v>22</v>
      </c>
      <c r="M568" s="15">
        <f t="shared" si="64"/>
        <v>39.175454054046519</v>
      </c>
      <c r="N568" s="15">
        <f t="shared" si="65"/>
        <v>40.139068989022348</v>
      </c>
      <c r="O568" s="14">
        <f t="shared" si="66"/>
        <v>-1909.884801122098</v>
      </c>
      <c r="P568" s="13">
        <f t="shared" si="67"/>
        <v>-2.4597415862657949E-2</v>
      </c>
      <c r="Q568" s="15">
        <f t="shared" si="68"/>
        <v>-0.96361493497582984</v>
      </c>
      <c r="R568" s="13">
        <f t="shared" si="69"/>
        <v>-2.4597415862657908E-2</v>
      </c>
      <c r="S568" s="15">
        <f t="shared" si="70"/>
        <v>35.267973231772061</v>
      </c>
      <c r="T568" s="15">
        <f t="shared" si="71"/>
        <v>38.94187401934358</v>
      </c>
    </row>
    <row r="569" spans="1:20" x14ac:dyDescent="0.3">
      <c r="A569" s="5">
        <v>42205.083333333336</v>
      </c>
      <c r="B569" s="14">
        <v>69926.650362450004</v>
      </c>
      <c r="C569" s="14">
        <v>71362.517838136904</v>
      </c>
      <c r="D569" s="6">
        <v>1787</v>
      </c>
      <c r="E569" s="1">
        <v>2015</v>
      </c>
      <c r="F569" s="1">
        <v>7</v>
      </c>
      <c r="G569" s="1" t="s">
        <v>35</v>
      </c>
      <c r="H569" s="12">
        <v>42186</v>
      </c>
      <c r="I569" s="1">
        <v>20</v>
      </c>
      <c r="J569" s="1">
        <v>2</v>
      </c>
      <c r="K569" s="1" t="s">
        <v>21</v>
      </c>
      <c r="L569" s="1" t="s">
        <v>22</v>
      </c>
      <c r="M569" s="15">
        <f t="shared" si="64"/>
        <v>39.130750062926694</v>
      </c>
      <c r="N569" s="15">
        <f t="shared" si="65"/>
        <v>39.934257324083326</v>
      </c>
      <c r="O569" s="14">
        <f t="shared" si="66"/>
        <v>-1435.8674756869004</v>
      </c>
      <c r="P569" s="13">
        <f t="shared" si="67"/>
        <v>-2.053390900671468E-2</v>
      </c>
      <c r="Q569" s="15">
        <f t="shared" si="68"/>
        <v>-0.80350726115663207</v>
      </c>
      <c r="R569" s="13">
        <f t="shared" si="69"/>
        <v>-2.0533909006714694E-2</v>
      </c>
      <c r="S569" s="15">
        <f t="shared" si="70"/>
        <v>35.267973231772061</v>
      </c>
      <c r="T569" s="15">
        <f t="shared" si="71"/>
        <v>38.844822883012895</v>
      </c>
    </row>
    <row r="570" spans="1:20" x14ac:dyDescent="0.3">
      <c r="A570" s="5">
        <v>42206.083333333336</v>
      </c>
      <c r="B570" s="14">
        <v>71973.044300340101</v>
      </c>
      <c r="C570" s="14">
        <v>73851.788398734701</v>
      </c>
      <c r="D570" s="6">
        <v>1846</v>
      </c>
      <c r="E570" s="1">
        <v>2015</v>
      </c>
      <c r="F570" s="1">
        <v>7</v>
      </c>
      <c r="G570" s="1" t="s">
        <v>35</v>
      </c>
      <c r="H570" s="12">
        <v>42186</v>
      </c>
      <c r="I570" s="1">
        <v>21</v>
      </c>
      <c r="J570" s="1">
        <v>3</v>
      </c>
      <c r="K570" s="1" t="s">
        <v>23</v>
      </c>
      <c r="L570" s="1" t="s">
        <v>22</v>
      </c>
      <c r="M570" s="15">
        <f t="shared" si="64"/>
        <v>38.988648050021723</v>
      </c>
      <c r="N570" s="15">
        <f t="shared" si="65"/>
        <v>40.006385914807531</v>
      </c>
      <c r="O570" s="14">
        <f t="shared" si="66"/>
        <v>-1878.7440983945999</v>
      </c>
      <c r="P570" s="13">
        <f t="shared" si="67"/>
        <v>-2.6103440762553963E-2</v>
      </c>
      <c r="Q570" s="15">
        <f t="shared" si="68"/>
        <v>-1.0177378647858077</v>
      </c>
      <c r="R570" s="13">
        <f t="shared" si="69"/>
        <v>-2.610344076255398E-2</v>
      </c>
      <c r="S570" s="15">
        <f t="shared" si="70"/>
        <v>35.267973231772061</v>
      </c>
      <c r="T570" s="15">
        <f t="shared" si="71"/>
        <v>38.742310355042626</v>
      </c>
    </row>
    <row r="571" spans="1:20" x14ac:dyDescent="0.3">
      <c r="A571" s="5">
        <v>42207.083333333336</v>
      </c>
      <c r="B571" s="14">
        <v>44304.898362210202</v>
      </c>
      <c r="C571" s="14">
        <v>45468.836976009399</v>
      </c>
      <c r="D571" s="6">
        <v>1142</v>
      </c>
      <c r="E571" s="1">
        <v>2015</v>
      </c>
      <c r="F571" s="1">
        <v>7</v>
      </c>
      <c r="G571" s="1" t="s">
        <v>35</v>
      </c>
      <c r="H571" s="12">
        <v>42186</v>
      </c>
      <c r="I571" s="1">
        <v>22</v>
      </c>
      <c r="J571" s="1">
        <v>4</v>
      </c>
      <c r="K571" s="1" t="s">
        <v>25</v>
      </c>
      <c r="L571" s="1" t="s">
        <v>22</v>
      </c>
      <c r="M571" s="15">
        <f t="shared" si="64"/>
        <v>38.795882979168304</v>
      </c>
      <c r="N571" s="15">
        <f t="shared" si="65"/>
        <v>39.81509367426392</v>
      </c>
      <c r="O571" s="14">
        <f t="shared" si="66"/>
        <v>-1163.9386137991969</v>
      </c>
      <c r="P571" s="13">
        <f t="shared" si="67"/>
        <v>-2.6271104478866759E-2</v>
      </c>
      <c r="Q571" s="15">
        <f t="shared" si="68"/>
        <v>-1.0192106950956159</v>
      </c>
      <c r="R571" s="13">
        <f t="shared" si="69"/>
        <v>-2.6271104478866675E-2</v>
      </c>
      <c r="S571" s="15">
        <f t="shared" si="70"/>
        <v>35.267973231772061</v>
      </c>
      <c r="T571" s="15">
        <f t="shared" si="71"/>
        <v>38.634658045434286</v>
      </c>
    </row>
    <row r="572" spans="1:20" x14ac:dyDescent="0.3">
      <c r="A572" s="5">
        <v>42208.083333333336</v>
      </c>
      <c r="B572" s="14">
        <v>66799.723730490499</v>
      </c>
      <c r="C572" s="14">
        <v>69323.647871911598</v>
      </c>
      <c r="D572" s="6">
        <v>1734</v>
      </c>
      <c r="E572" s="1">
        <v>2015</v>
      </c>
      <c r="F572" s="1">
        <v>7</v>
      </c>
      <c r="G572" s="1" t="s">
        <v>35</v>
      </c>
      <c r="H572" s="12">
        <v>42186</v>
      </c>
      <c r="I572" s="1">
        <v>23</v>
      </c>
      <c r="J572" s="1">
        <v>5</v>
      </c>
      <c r="K572" s="1" t="s">
        <v>26</v>
      </c>
      <c r="L572" s="1" t="s">
        <v>22</v>
      </c>
      <c r="M572" s="15">
        <f t="shared" si="64"/>
        <v>38.523485427041813</v>
      </c>
      <c r="N572" s="15">
        <f t="shared" si="65"/>
        <v>39.979035681609922</v>
      </c>
      <c r="O572" s="14">
        <f t="shared" si="66"/>
        <v>-2523.9241414210992</v>
      </c>
      <c r="P572" s="13">
        <f t="shared" si="67"/>
        <v>-3.7783451793963974E-2</v>
      </c>
      <c r="Q572" s="15">
        <f t="shared" si="68"/>
        <v>-1.4555502545681094</v>
      </c>
      <c r="R572" s="13">
        <f t="shared" si="69"/>
        <v>-3.7783451793964008E-2</v>
      </c>
      <c r="S572" s="15">
        <f t="shared" si="70"/>
        <v>35.267973231772061</v>
      </c>
      <c r="T572" s="15">
        <f t="shared" si="71"/>
        <v>38.518246799084714</v>
      </c>
    </row>
    <row r="573" spans="1:20" x14ac:dyDescent="0.3">
      <c r="A573" s="5">
        <v>42209.083333333336</v>
      </c>
      <c r="B573" s="14">
        <v>125689.592840906</v>
      </c>
      <c r="C573" s="14">
        <v>130428.226395117</v>
      </c>
      <c r="D573" s="6">
        <v>3259</v>
      </c>
      <c r="E573" s="1">
        <v>2015</v>
      </c>
      <c r="F573" s="1">
        <v>7</v>
      </c>
      <c r="G573" s="1" t="s">
        <v>35</v>
      </c>
      <c r="H573" s="12">
        <v>42186</v>
      </c>
      <c r="I573" s="1">
        <v>24</v>
      </c>
      <c r="J573" s="1">
        <v>6</v>
      </c>
      <c r="K573" s="1" t="s">
        <v>27</v>
      </c>
      <c r="L573" s="1" t="s">
        <v>22</v>
      </c>
      <c r="M573" s="15">
        <f t="shared" si="64"/>
        <v>38.566920172109846</v>
      </c>
      <c r="N573" s="15">
        <f t="shared" si="65"/>
        <v>40.020934763767109</v>
      </c>
      <c r="O573" s="14">
        <f t="shared" si="66"/>
        <v>-4738.6335542110028</v>
      </c>
      <c r="P573" s="13">
        <f t="shared" si="67"/>
        <v>-3.7701081267794534E-2</v>
      </c>
      <c r="Q573" s="15">
        <f t="shared" si="68"/>
        <v>-1.4540145916572627</v>
      </c>
      <c r="R573" s="13">
        <f t="shared" si="69"/>
        <v>-3.7701081267794666E-2</v>
      </c>
      <c r="S573" s="15">
        <f t="shared" si="70"/>
        <v>35.267973231772061</v>
      </c>
      <c r="T573" s="15">
        <f t="shared" si="71"/>
        <v>38.54449787267572</v>
      </c>
    </row>
    <row r="574" spans="1:20" x14ac:dyDescent="0.3">
      <c r="A574" s="5">
        <v>42210.083333333336</v>
      </c>
      <c r="B574" s="14">
        <v>138624.94500363499</v>
      </c>
      <c r="C574" s="14">
        <v>143537.395218836</v>
      </c>
      <c r="D574" s="6">
        <v>3572</v>
      </c>
      <c r="E574" s="1">
        <v>2015</v>
      </c>
      <c r="F574" s="1">
        <v>7</v>
      </c>
      <c r="G574" s="1" t="s">
        <v>35</v>
      </c>
      <c r="H574" s="12">
        <v>42186</v>
      </c>
      <c r="I574" s="1">
        <v>25</v>
      </c>
      <c r="J574" s="1">
        <v>7</v>
      </c>
      <c r="K574" s="1" t="s">
        <v>28</v>
      </c>
      <c r="L574" s="1" t="s">
        <v>22</v>
      </c>
      <c r="M574" s="15">
        <f t="shared" si="64"/>
        <v>38.808775196986282</v>
      </c>
      <c r="N574" s="15">
        <f t="shared" si="65"/>
        <v>40.184041214679731</v>
      </c>
      <c r="O574" s="14">
        <f t="shared" si="66"/>
        <v>-4912.45021520101</v>
      </c>
      <c r="P574" s="13">
        <f t="shared" si="67"/>
        <v>-3.5436985854690128E-2</v>
      </c>
      <c r="Q574" s="15">
        <f t="shared" si="68"/>
        <v>-1.3752660176934484</v>
      </c>
      <c r="R574" s="13">
        <f t="shared" si="69"/>
        <v>-3.5436985854690038E-2</v>
      </c>
      <c r="S574" s="15">
        <f t="shared" si="70"/>
        <v>35.267973231772061</v>
      </c>
      <c r="T574" s="15">
        <f t="shared" si="71"/>
        <v>38.578488102467411</v>
      </c>
    </row>
    <row r="575" spans="1:20" x14ac:dyDescent="0.3">
      <c r="A575" s="5">
        <v>42211.083333333336</v>
      </c>
      <c r="B575" s="14">
        <v>81715.045331780406</v>
      </c>
      <c r="C575" s="14">
        <v>85089.223430056896</v>
      </c>
      <c r="D575" s="6">
        <v>2109</v>
      </c>
      <c r="E575" s="1">
        <v>2015</v>
      </c>
      <c r="F575" s="1">
        <v>7</v>
      </c>
      <c r="G575" s="1" t="s">
        <v>35</v>
      </c>
      <c r="H575" s="12">
        <v>42186</v>
      </c>
      <c r="I575" s="1">
        <v>26</v>
      </c>
      <c r="J575" s="1">
        <v>1</v>
      </c>
      <c r="K575" s="1" t="s">
        <v>29</v>
      </c>
      <c r="L575" s="1" t="s">
        <v>22</v>
      </c>
      <c r="M575" s="15">
        <f t="shared" si="64"/>
        <v>38.745872608715224</v>
      </c>
      <c r="N575" s="15">
        <f t="shared" si="65"/>
        <v>40.345767392155949</v>
      </c>
      <c r="O575" s="14">
        <f t="shared" si="66"/>
        <v>-3374.1780982764903</v>
      </c>
      <c r="P575" s="13">
        <f t="shared" si="67"/>
        <v>-4.129200546333435E-2</v>
      </c>
      <c r="Q575" s="15">
        <f t="shared" si="68"/>
        <v>-1.5998947834407247</v>
      </c>
      <c r="R575" s="13">
        <f t="shared" si="69"/>
        <v>-4.1292005463334322E-2</v>
      </c>
      <c r="S575" s="15">
        <f t="shared" si="70"/>
        <v>35.267973231772061</v>
      </c>
      <c r="T575" s="15">
        <f t="shared" si="71"/>
        <v>38.609347390235804</v>
      </c>
    </row>
    <row r="576" spans="1:20" x14ac:dyDescent="0.3">
      <c r="A576" s="5">
        <v>42212.083333333336</v>
      </c>
      <c r="B576" s="14">
        <v>86842.861357880101</v>
      </c>
      <c r="C576" s="14">
        <v>90242.794097153601</v>
      </c>
      <c r="D576" s="6">
        <v>2242</v>
      </c>
      <c r="E576" s="1">
        <v>2015</v>
      </c>
      <c r="F576" s="1">
        <v>7</v>
      </c>
      <c r="G576" s="1" t="s">
        <v>35</v>
      </c>
      <c r="H576" s="12">
        <v>42186</v>
      </c>
      <c r="I576" s="1">
        <v>27</v>
      </c>
      <c r="J576" s="1">
        <v>2</v>
      </c>
      <c r="K576" s="1" t="s">
        <v>21</v>
      </c>
      <c r="L576" s="1" t="s">
        <v>22</v>
      </c>
      <c r="M576" s="15">
        <f t="shared" si="64"/>
        <v>38.734550115022344</v>
      </c>
      <c r="N576" s="15">
        <f t="shared" si="65"/>
        <v>40.251023236910619</v>
      </c>
      <c r="O576" s="14">
        <f t="shared" si="66"/>
        <v>-3399.9327392734995</v>
      </c>
      <c r="P576" s="13">
        <f t="shared" si="67"/>
        <v>-3.9150399769329922E-2</v>
      </c>
      <c r="Q576" s="15">
        <f t="shared" si="68"/>
        <v>-1.516473121888275</v>
      </c>
      <c r="R576" s="13">
        <f t="shared" si="69"/>
        <v>-3.9150399769330074E-2</v>
      </c>
      <c r="S576" s="15">
        <f t="shared" si="70"/>
        <v>35.267973231772061</v>
      </c>
      <c r="T576" s="15">
        <f t="shared" si="71"/>
        <v>38.640704592273053</v>
      </c>
    </row>
    <row r="577" spans="1:20" x14ac:dyDescent="0.3">
      <c r="A577" s="5">
        <v>42213.083333333336</v>
      </c>
      <c r="B577" s="14">
        <v>56976.785283900397</v>
      </c>
      <c r="C577" s="14">
        <v>59094.076857821397</v>
      </c>
      <c r="D577" s="6">
        <v>1474</v>
      </c>
      <c r="E577" s="1">
        <v>2015</v>
      </c>
      <c r="F577" s="1">
        <v>7</v>
      </c>
      <c r="G577" s="1" t="s">
        <v>35</v>
      </c>
      <c r="H577" s="12">
        <v>42186</v>
      </c>
      <c r="I577" s="1">
        <v>28</v>
      </c>
      <c r="J577" s="1">
        <v>3</v>
      </c>
      <c r="K577" s="1" t="s">
        <v>23</v>
      </c>
      <c r="L577" s="1" t="s">
        <v>22</v>
      </c>
      <c r="M577" s="15">
        <f t="shared" si="64"/>
        <v>38.654535470760109</v>
      </c>
      <c r="N577" s="15">
        <f t="shared" si="65"/>
        <v>40.090961233257396</v>
      </c>
      <c r="O577" s="14">
        <f t="shared" si="66"/>
        <v>-2117.2915739210002</v>
      </c>
      <c r="P577" s="13">
        <f t="shared" si="67"/>
        <v>-3.7160600819633662E-2</v>
      </c>
      <c r="Q577" s="15">
        <f t="shared" si="68"/>
        <v>-1.4364257624972865</v>
      </c>
      <c r="R577" s="13">
        <f t="shared" si="69"/>
        <v>-3.7160600819633662E-2</v>
      </c>
      <c r="S577" s="15">
        <f t="shared" si="70"/>
        <v>35.267973231772061</v>
      </c>
      <c r="T577" s="15">
        <f t="shared" si="71"/>
        <v>38.669872250708714</v>
      </c>
    </row>
    <row r="578" spans="1:20" x14ac:dyDescent="0.3">
      <c r="A578" s="5">
        <v>42214.083333333336</v>
      </c>
      <c r="B578" s="14">
        <v>53433.668027530402</v>
      </c>
      <c r="C578" s="14">
        <v>55516.525562079602</v>
      </c>
      <c r="D578" s="6">
        <v>1381</v>
      </c>
      <c r="E578" s="1">
        <v>2015</v>
      </c>
      <c r="F578" s="1">
        <v>7</v>
      </c>
      <c r="G578" s="1" t="s">
        <v>35</v>
      </c>
      <c r="H578" s="12">
        <v>42186</v>
      </c>
      <c r="I578" s="1">
        <v>29</v>
      </c>
      <c r="J578" s="1">
        <v>4</v>
      </c>
      <c r="K578" s="1" t="s">
        <v>25</v>
      </c>
      <c r="L578" s="1" t="s">
        <v>22</v>
      </c>
      <c r="M578" s="15">
        <f t="shared" si="64"/>
        <v>38.692011605742508</v>
      </c>
      <c r="N578" s="15">
        <f t="shared" si="65"/>
        <v>40.200235743721649</v>
      </c>
      <c r="O578" s="14">
        <f t="shared" si="66"/>
        <v>-2082.857534549199</v>
      </c>
      <c r="P578" s="13">
        <f t="shared" si="67"/>
        <v>-3.8980246190024936E-2</v>
      </c>
      <c r="Q578" s="15">
        <f t="shared" si="68"/>
        <v>-1.5082241379791412</v>
      </c>
      <c r="R578" s="13">
        <f t="shared" si="69"/>
        <v>-3.8980246190024839E-2</v>
      </c>
      <c r="S578" s="15">
        <f t="shared" si="70"/>
        <v>35.267973231772061</v>
      </c>
      <c r="T578" s="15">
        <f t="shared" si="71"/>
        <v>38.701090107852977</v>
      </c>
    </row>
    <row r="579" spans="1:20" x14ac:dyDescent="0.3">
      <c r="A579" s="5">
        <v>42215.083333333336</v>
      </c>
      <c r="B579" s="14">
        <v>55134.0818183804</v>
      </c>
      <c r="C579" s="14">
        <v>57064.750696012401</v>
      </c>
      <c r="D579" s="6">
        <v>1423</v>
      </c>
      <c r="E579" s="1">
        <v>2015</v>
      </c>
      <c r="F579" s="1">
        <v>7</v>
      </c>
      <c r="G579" s="1" t="s">
        <v>35</v>
      </c>
      <c r="H579" s="12">
        <v>42186</v>
      </c>
      <c r="I579" s="1">
        <v>30</v>
      </c>
      <c r="J579" s="1">
        <v>5</v>
      </c>
      <c r="K579" s="1" t="s">
        <v>26</v>
      </c>
      <c r="L579" s="1" t="s">
        <v>22</v>
      </c>
      <c r="M579" s="15">
        <f t="shared" ref="M579:M642" si="72">IFERROR(B579/D579,0)</f>
        <v>38.744962627112017</v>
      </c>
      <c r="N579" s="15">
        <f t="shared" ref="N579:N642" si="73">IFERROR(C579/D579,0)</f>
        <v>40.101722203803511</v>
      </c>
      <c r="O579" s="14">
        <f t="shared" ref="O579:O642" si="74">B579-C579</f>
        <v>-1930.6688776320007</v>
      </c>
      <c r="P579" s="13">
        <f t="shared" ref="P579:P642" si="75">IFERROR(O579/B579,0)</f>
        <v>-3.5017702552695117E-2</v>
      </c>
      <c r="Q579" s="15">
        <f t="shared" ref="Q579:Q642" si="76">M579-N579</f>
        <v>-1.3567595766914948</v>
      </c>
      <c r="R579" s="13">
        <f t="shared" ref="R579:R642" si="77">IFERROR(Q579/M579,0)</f>
        <v>-3.5017702552695054E-2</v>
      </c>
      <c r="S579" s="15">
        <f t="shared" ref="S579:S642" si="78">IFERROR(SUM($B$2:$B$1001)/SUM($D$2:$D$1001),0)</f>
        <v>35.267973231772061</v>
      </c>
      <c r="T579" s="15">
        <f t="shared" ref="T579:T642" si="79">AVERAGEIFS($M$2:$M$1001,$A$2:$A$1001,"&gt;="&amp;A579-29,$A$2:$A$1001,"&lt;="&amp;A579)</f>
        <v>38.733984021115326</v>
      </c>
    </row>
    <row r="580" spans="1:20" x14ac:dyDescent="0.3">
      <c r="A580" s="5">
        <v>42216.083333333336</v>
      </c>
      <c r="B580" s="14">
        <v>145033.61079266499</v>
      </c>
      <c r="C580" s="14">
        <v>149876.87328204</v>
      </c>
      <c r="D580" s="6">
        <v>3740</v>
      </c>
      <c r="E580" s="1">
        <v>2015</v>
      </c>
      <c r="F580" s="1">
        <v>7</v>
      </c>
      <c r="G580" s="1" t="s">
        <v>35</v>
      </c>
      <c r="H580" s="12">
        <v>42186</v>
      </c>
      <c r="I580" s="1">
        <v>31</v>
      </c>
      <c r="J580" s="1">
        <v>6</v>
      </c>
      <c r="K580" s="1" t="s">
        <v>27</v>
      </c>
      <c r="L580" s="1" t="s">
        <v>22</v>
      </c>
      <c r="M580" s="15">
        <f t="shared" si="72"/>
        <v>38.779040318894381</v>
      </c>
      <c r="N580" s="15">
        <f t="shared" si="73"/>
        <v>40.074030289315509</v>
      </c>
      <c r="O580" s="14">
        <f t="shared" si="74"/>
        <v>-4843.262489375018</v>
      </c>
      <c r="P580" s="13">
        <f t="shared" si="75"/>
        <v>-3.3394069573974672E-2</v>
      </c>
      <c r="Q580" s="15">
        <f t="shared" si="76"/>
        <v>-1.2949899704211276</v>
      </c>
      <c r="R580" s="13">
        <f t="shared" si="77"/>
        <v>-3.3394069573974665E-2</v>
      </c>
      <c r="S580" s="15">
        <f t="shared" si="78"/>
        <v>35.267973231772061</v>
      </c>
      <c r="T580" s="15">
        <f t="shared" si="79"/>
        <v>38.76834551807395</v>
      </c>
    </row>
    <row r="581" spans="1:20" x14ac:dyDescent="0.3">
      <c r="A581" s="5">
        <v>42217.083333333336</v>
      </c>
      <c r="B581" s="14">
        <v>173306.90648994301</v>
      </c>
      <c r="C581" s="14">
        <v>178699.97587509899</v>
      </c>
      <c r="D581" s="6">
        <v>4453</v>
      </c>
      <c r="E581" s="1">
        <v>2015</v>
      </c>
      <c r="F581" s="1">
        <v>8</v>
      </c>
      <c r="G581" s="1" t="s">
        <v>36</v>
      </c>
      <c r="H581" s="12">
        <v>42217</v>
      </c>
      <c r="I581" s="1">
        <v>1</v>
      </c>
      <c r="J581" s="1">
        <v>7</v>
      </c>
      <c r="K581" s="1" t="s">
        <v>28</v>
      </c>
      <c r="L581" s="1" t="s">
        <v>22</v>
      </c>
      <c r="M581" s="15">
        <f t="shared" si="72"/>
        <v>38.91913462608197</v>
      </c>
      <c r="N581" s="15">
        <f t="shared" si="73"/>
        <v>40.130243852481243</v>
      </c>
      <c r="O581" s="14">
        <f t="shared" si="74"/>
        <v>-5393.0693851559772</v>
      </c>
      <c r="P581" s="13">
        <f t="shared" si="75"/>
        <v>-3.1118606259750742E-2</v>
      </c>
      <c r="Q581" s="15">
        <f t="shared" si="76"/>
        <v>-1.2111092263992731</v>
      </c>
      <c r="R581" s="13">
        <f t="shared" si="77"/>
        <v>-3.1118606259750662E-2</v>
      </c>
      <c r="S581" s="15">
        <f t="shared" si="78"/>
        <v>35.267973231772061</v>
      </c>
      <c r="T581" s="15">
        <f t="shared" si="79"/>
        <v>38.808022764272245</v>
      </c>
    </row>
    <row r="582" spans="1:20" x14ac:dyDescent="0.3">
      <c r="A582" s="5">
        <v>42218.083333333336</v>
      </c>
      <c r="B582" s="14">
        <v>88154.338712390003</v>
      </c>
      <c r="C582" s="14">
        <v>90828.661699823395</v>
      </c>
      <c r="D582" s="6">
        <v>2258</v>
      </c>
      <c r="E582" s="1">
        <v>2015</v>
      </c>
      <c r="F582" s="1">
        <v>8</v>
      </c>
      <c r="G582" s="1" t="s">
        <v>36</v>
      </c>
      <c r="H582" s="12">
        <v>42217</v>
      </c>
      <c r="I582" s="1">
        <v>2</v>
      </c>
      <c r="J582" s="1">
        <v>1</v>
      </c>
      <c r="K582" s="1" t="s">
        <v>29</v>
      </c>
      <c r="L582" s="1" t="s">
        <v>22</v>
      </c>
      <c r="M582" s="15">
        <f t="shared" si="72"/>
        <v>39.040894026744908</v>
      </c>
      <c r="N582" s="15">
        <f t="shared" si="73"/>
        <v>40.22527090337617</v>
      </c>
      <c r="O582" s="14">
        <f t="shared" si="74"/>
        <v>-2674.322987433392</v>
      </c>
      <c r="P582" s="13">
        <f t="shared" si="75"/>
        <v>-3.0336827732989603E-2</v>
      </c>
      <c r="Q582" s="15">
        <f t="shared" si="76"/>
        <v>-1.1843768766312621</v>
      </c>
      <c r="R582" s="13">
        <f t="shared" si="77"/>
        <v>-3.0336827732989579E-2</v>
      </c>
      <c r="S582" s="15">
        <f t="shared" si="78"/>
        <v>35.267973231772061</v>
      </c>
      <c r="T582" s="15">
        <f t="shared" si="79"/>
        <v>38.849952336644556</v>
      </c>
    </row>
    <row r="583" spans="1:20" x14ac:dyDescent="0.3">
      <c r="A583" s="5">
        <v>42219.083333333336</v>
      </c>
      <c r="B583" s="14">
        <v>81142.027847790407</v>
      </c>
      <c r="C583" s="14">
        <v>83114.576809338396</v>
      </c>
      <c r="D583" s="6">
        <v>2074</v>
      </c>
      <c r="E583" s="1">
        <v>2015</v>
      </c>
      <c r="F583" s="1">
        <v>8</v>
      </c>
      <c r="G583" s="1" t="s">
        <v>36</v>
      </c>
      <c r="H583" s="12">
        <v>42217</v>
      </c>
      <c r="I583" s="1">
        <v>3</v>
      </c>
      <c r="J583" s="1">
        <v>2</v>
      </c>
      <c r="K583" s="1" t="s">
        <v>21</v>
      </c>
      <c r="L583" s="1" t="s">
        <v>22</v>
      </c>
      <c r="M583" s="15">
        <f t="shared" si="72"/>
        <v>39.123446406842049</v>
      </c>
      <c r="N583" s="15">
        <f t="shared" si="73"/>
        <v>40.074530766315526</v>
      </c>
      <c r="O583" s="14">
        <f t="shared" si="74"/>
        <v>-1972.5489615479892</v>
      </c>
      <c r="P583" s="13">
        <f t="shared" si="75"/>
        <v>-2.4309830723582341E-2</v>
      </c>
      <c r="Q583" s="15">
        <f t="shared" si="76"/>
        <v>-0.95108435947347658</v>
      </c>
      <c r="R583" s="13">
        <f t="shared" si="77"/>
        <v>-2.4309830723582355E-2</v>
      </c>
      <c r="S583" s="15">
        <f t="shared" si="78"/>
        <v>35.267973231772061</v>
      </c>
      <c r="T583" s="15">
        <f t="shared" si="79"/>
        <v>38.893245047502333</v>
      </c>
    </row>
    <row r="584" spans="1:20" x14ac:dyDescent="0.3">
      <c r="A584" s="5">
        <v>42220.083333333336</v>
      </c>
      <c r="B584" s="14">
        <v>77672.882777740495</v>
      </c>
      <c r="C584" s="14">
        <v>80417.746442173302</v>
      </c>
      <c r="D584" s="6">
        <v>2007</v>
      </c>
      <c r="E584" s="1">
        <v>2015</v>
      </c>
      <c r="F584" s="1">
        <v>8</v>
      </c>
      <c r="G584" s="1" t="s">
        <v>36</v>
      </c>
      <c r="H584" s="12">
        <v>42217</v>
      </c>
      <c r="I584" s="1">
        <v>4</v>
      </c>
      <c r="J584" s="1">
        <v>3</v>
      </c>
      <c r="K584" s="1" t="s">
        <v>23</v>
      </c>
      <c r="L584" s="1" t="s">
        <v>22</v>
      </c>
      <c r="M584" s="15">
        <f t="shared" si="72"/>
        <v>38.700987931111356</v>
      </c>
      <c r="N584" s="15">
        <f t="shared" si="73"/>
        <v>40.068633005567165</v>
      </c>
      <c r="O584" s="14">
        <f t="shared" si="74"/>
        <v>-2744.8636644328071</v>
      </c>
      <c r="P584" s="13">
        <f t="shared" si="75"/>
        <v>-3.5338763880918174E-2</v>
      </c>
      <c r="Q584" s="15">
        <f t="shared" si="76"/>
        <v>-1.3676450744558082</v>
      </c>
      <c r="R584" s="13">
        <f t="shared" si="77"/>
        <v>-3.5338763880918174E-2</v>
      </c>
      <c r="S584" s="15">
        <f t="shared" si="78"/>
        <v>35.267973231772061</v>
      </c>
      <c r="T584" s="15">
        <f t="shared" si="79"/>
        <v>38.922037878376457</v>
      </c>
    </row>
    <row r="585" spans="1:20" x14ac:dyDescent="0.3">
      <c r="A585" s="5">
        <v>42221.083333333336</v>
      </c>
      <c r="B585" s="14">
        <v>75483.422554300501</v>
      </c>
      <c r="C585" s="14">
        <v>78024.284675030605</v>
      </c>
      <c r="D585" s="6">
        <v>1948</v>
      </c>
      <c r="E585" s="1">
        <v>2015</v>
      </c>
      <c r="F585" s="1">
        <v>8</v>
      </c>
      <c r="G585" s="1" t="s">
        <v>36</v>
      </c>
      <c r="H585" s="12">
        <v>42217</v>
      </c>
      <c r="I585" s="1">
        <v>5</v>
      </c>
      <c r="J585" s="1">
        <v>4</v>
      </c>
      <c r="K585" s="1" t="s">
        <v>25</v>
      </c>
      <c r="L585" s="1" t="s">
        <v>22</v>
      </c>
      <c r="M585" s="15">
        <f t="shared" si="72"/>
        <v>38.749190222946872</v>
      </c>
      <c r="N585" s="15">
        <f t="shared" si="73"/>
        <v>40.053534227428443</v>
      </c>
      <c r="O585" s="14">
        <f t="shared" si="74"/>
        <v>-2540.8621207301039</v>
      </c>
      <c r="P585" s="13">
        <f t="shared" si="75"/>
        <v>-3.3661193872101973E-2</v>
      </c>
      <c r="Q585" s="15">
        <f t="shared" si="76"/>
        <v>-1.3043440044815711</v>
      </c>
      <c r="R585" s="13">
        <f t="shared" si="77"/>
        <v>-3.3661193872101924E-2</v>
      </c>
      <c r="S585" s="15">
        <f t="shared" si="78"/>
        <v>35.267973231772061</v>
      </c>
      <c r="T585" s="15">
        <f t="shared" si="79"/>
        <v>38.953170767422151</v>
      </c>
    </row>
    <row r="586" spans="1:20" x14ac:dyDescent="0.3">
      <c r="A586" s="5">
        <v>42222.083333333336</v>
      </c>
      <c r="B586" s="14">
        <v>74354.570102040496</v>
      </c>
      <c r="C586" s="14">
        <v>76978.305238407396</v>
      </c>
      <c r="D586" s="6">
        <v>1922</v>
      </c>
      <c r="E586" s="1">
        <v>2015</v>
      </c>
      <c r="F586" s="1">
        <v>8</v>
      </c>
      <c r="G586" s="1" t="s">
        <v>36</v>
      </c>
      <c r="H586" s="12">
        <v>42217</v>
      </c>
      <c r="I586" s="1">
        <v>6</v>
      </c>
      <c r="J586" s="1">
        <v>5</v>
      </c>
      <c r="K586" s="1" t="s">
        <v>26</v>
      </c>
      <c r="L586" s="1" t="s">
        <v>22</v>
      </c>
      <c r="M586" s="15">
        <f t="shared" si="72"/>
        <v>38.686040635817115</v>
      </c>
      <c r="N586" s="15">
        <f t="shared" si="73"/>
        <v>40.051147366497084</v>
      </c>
      <c r="O586" s="14">
        <f t="shared" si="74"/>
        <v>-2623.7351363669004</v>
      </c>
      <c r="P586" s="13">
        <f t="shared" si="75"/>
        <v>-3.5286803928342499E-2</v>
      </c>
      <c r="Q586" s="15">
        <f t="shared" si="76"/>
        <v>-1.3651067306799689</v>
      </c>
      <c r="R586" s="13">
        <f t="shared" si="77"/>
        <v>-3.5286803928342499E-2</v>
      </c>
      <c r="S586" s="15">
        <f t="shared" si="78"/>
        <v>35.267973231772061</v>
      </c>
      <c r="T586" s="15">
        <f t="shared" si="79"/>
        <v>38.983277251904887</v>
      </c>
    </row>
    <row r="587" spans="1:20" x14ac:dyDescent="0.3">
      <c r="A587" s="5">
        <v>42223.083333333336</v>
      </c>
      <c r="B587" s="14">
        <v>120326.876292698</v>
      </c>
      <c r="C587" s="14">
        <v>123707.76157316699</v>
      </c>
      <c r="D587" s="6">
        <v>3088</v>
      </c>
      <c r="E587" s="1">
        <v>2015</v>
      </c>
      <c r="F587" s="1">
        <v>8</v>
      </c>
      <c r="G587" s="1" t="s">
        <v>36</v>
      </c>
      <c r="H587" s="12">
        <v>42217</v>
      </c>
      <c r="I587" s="1">
        <v>7</v>
      </c>
      <c r="J587" s="1">
        <v>6</v>
      </c>
      <c r="K587" s="1" t="s">
        <v>27</v>
      </c>
      <c r="L587" s="1" t="s">
        <v>22</v>
      </c>
      <c r="M587" s="15">
        <f t="shared" si="72"/>
        <v>38.96595734867163</v>
      </c>
      <c r="N587" s="15">
        <f t="shared" si="73"/>
        <v>40.060803618253559</v>
      </c>
      <c r="O587" s="14">
        <f t="shared" si="74"/>
        <v>-3380.8852804689959</v>
      </c>
      <c r="P587" s="13">
        <f t="shared" si="75"/>
        <v>-2.8097507262175674E-2</v>
      </c>
      <c r="Q587" s="15">
        <f t="shared" si="76"/>
        <v>-1.0948462695819288</v>
      </c>
      <c r="R587" s="13">
        <f t="shared" si="77"/>
        <v>-2.8097507262175674E-2</v>
      </c>
      <c r="S587" s="15">
        <f t="shared" si="78"/>
        <v>35.267973231772061</v>
      </c>
      <c r="T587" s="15">
        <f t="shared" si="79"/>
        <v>38.950914029310489</v>
      </c>
    </row>
    <row r="588" spans="1:20" x14ac:dyDescent="0.3">
      <c r="A588" s="5">
        <v>42224.083333333336</v>
      </c>
      <c r="B588" s="14">
        <v>131867.99350401599</v>
      </c>
      <c r="C588" s="14">
        <v>135721.426030331</v>
      </c>
      <c r="D588" s="6">
        <v>3388</v>
      </c>
      <c r="E588" s="1">
        <v>2015</v>
      </c>
      <c r="F588" s="1">
        <v>8</v>
      </c>
      <c r="G588" s="1" t="s">
        <v>36</v>
      </c>
      <c r="H588" s="12">
        <v>42217</v>
      </c>
      <c r="I588" s="1">
        <v>8</v>
      </c>
      <c r="J588" s="1">
        <v>7</v>
      </c>
      <c r="K588" s="1" t="s">
        <v>28</v>
      </c>
      <c r="L588" s="1" t="s">
        <v>22</v>
      </c>
      <c r="M588" s="15">
        <f t="shared" si="72"/>
        <v>38.922076004727273</v>
      </c>
      <c r="N588" s="15">
        <f t="shared" si="73"/>
        <v>40.059452783450709</v>
      </c>
      <c r="O588" s="14">
        <f t="shared" si="74"/>
        <v>-3853.4325263150095</v>
      </c>
      <c r="P588" s="13">
        <f t="shared" si="75"/>
        <v>-2.9221893985955393E-2</v>
      </c>
      <c r="Q588" s="15">
        <f t="shared" si="76"/>
        <v>-1.1373767787234357</v>
      </c>
      <c r="R588" s="13">
        <f t="shared" si="77"/>
        <v>-2.9221893985955316E-2</v>
      </c>
      <c r="S588" s="15">
        <f t="shared" si="78"/>
        <v>35.267973231772061</v>
      </c>
      <c r="T588" s="15">
        <f t="shared" si="79"/>
        <v>38.934734847247135</v>
      </c>
    </row>
    <row r="589" spans="1:20" x14ac:dyDescent="0.3">
      <c r="A589" s="5">
        <v>42225.083333333336</v>
      </c>
      <c r="B589" s="14">
        <v>75504.002742620505</v>
      </c>
      <c r="C589" s="14">
        <v>77978.694471478797</v>
      </c>
      <c r="D589" s="6">
        <v>1944</v>
      </c>
      <c r="E589" s="1">
        <v>2015</v>
      </c>
      <c r="F589" s="1">
        <v>8</v>
      </c>
      <c r="G589" s="1" t="s">
        <v>36</v>
      </c>
      <c r="H589" s="12">
        <v>42217</v>
      </c>
      <c r="I589" s="1">
        <v>9</v>
      </c>
      <c r="J589" s="1">
        <v>1</v>
      </c>
      <c r="K589" s="1" t="s">
        <v>29</v>
      </c>
      <c r="L589" s="1" t="s">
        <v>22</v>
      </c>
      <c r="M589" s="15">
        <f t="shared" si="72"/>
        <v>38.839507583652527</v>
      </c>
      <c r="N589" s="15">
        <f t="shared" si="73"/>
        <v>40.112497156110493</v>
      </c>
      <c r="O589" s="14">
        <f t="shared" si="74"/>
        <v>-2474.6917288582918</v>
      </c>
      <c r="P589" s="13">
        <f t="shared" si="75"/>
        <v>-3.2775636244002433E-2</v>
      </c>
      <c r="Q589" s="15">
        <f t="shared" si="76"/>
        <v>-1.2729895724579663</v>
      </c>
      <c r="R589" s="13">
        <f t="shared" si="77"/>
        <v>-3.2775636244002364E-2</v>
      </c>
      <c r="S589" s="15">
        <f t="shared" si="78"/>
        <v>35.267973231772061</v>
      </c>
      <c r="T589" s="15">
        <f t="shared" si="79"/>
        <v>38.915006886644356</v>
      </c>
    </row>
    <row r="590" spans="1:20" x14ac:dyDescent="0.3">
      <c r="A590" s="5">
        <v>42226.083333333336</v>
      </c>
      <c r="B590" s="14">
        <v>69968.077699080502</v>
      </c>
      <c r="C590" s="14">
        <v>72665.725527117203</v>
      </c>
      <c r="D590" s="6">
        <v>1812</v>
      </c>
      <c r="E590" s="1">
        <v>2015</v>
      </c>
      <c r="F590" s="1">
        <v>8</v>
      </c>
      <c r="G590" s="1" t="s">
        <v>36</v>
      </c>
      <c r="H590" s="12">
        <v>42217</v>
      </c>
      <c r="I590" s="1">
        <v>10</v>
      </c>
      <c r="J590" s="1">
        <v>2</v>
      </c>
      <c r="K590" s="1" t="s">
        <v>21</v>
      </c>
      <c r="L590" s="1" t="s">
        <v>22</v>
      </c>
      <c r="M590" s="15">
        <f t="shared" si="72"/>
        <v>38.613729414503588</v>
      </c>
      <c r="N590" s="15">
        <f t="shared" si="73"/>
        <v>40.102497531521635</v>
      </c>
      <c r="O590" s="14">
        <f t="shared" si="74"/>
        <v>-2697.647828036701</v>
      </c>
      <c r="P590" s="13">
        <f t="shared" si="75"/>
        <v>-3.8555408648480741E-2</v>
      </c>
      <c r="Q590" s="15">
        <f t="shared" si="76"/>
        <v>-1.4887681170180471</v>
      </c>
      <c r="R590" s="13">
        <f t="shared" si="77"/>
        <v>-3.8555408648480748E-2</v>
      </c>
      <c r="S590" s="15">
        <f t="shared" si="78"/>
        <v>35.267973231772061</v>
      </c>
      <c r="T590" s="15">
        <f t="shared" si="79"/>
        <v>38.881981139809987</v>
      </c>
    </row>
    <row r="591" spans="1:20" x14ac:dyDescent="0.3">
      <c r="A591" s="5">
        <v>42227.083333333336</v>
      </c>
      <c r="B591" s="14">
        <v>60187.1490472804</v>
      </c>
      <c r="C591" s="14">
        <v>62538.493277925001</v>
      </c>
      <c r="D591" s="6">
        <v>1563</v>
      </c>
      <c r="E591" s="1">
        <v>2015</v>
      </c>
      <c r="F591" s="1">
        <v>8</v>
      </c>
      <c r="G591" s="1" t="s">
        <v>36</v>
      </c>
      <c r="H591" s="12">
        <v>42217</v>
      </c>
      <c r="I591" s="1">
        <v>11</v>
      </c>
      <c r="J591" s="1">
        <v>3</v>
      </c>
      <c r="K591" s="1" t="s">
        <v>23</v>
      </c>
      <c r="L591" s="1" t="s">
        <v>22</v>
      </c>
      <c r="M591" s="15">
        <f t="shared" si="72"/>
        <v>38.507453005297762</v>
      </c>
      <c r="N591" s="15">
        <f t="shared" si="73"/>
        <v>40.011831911660266</v>
      </c>
      <c r="O591" s="14">
        <f t="shared" si="74"/>
        <v>-2351.3442306446013</v>
      </c>
      <c r="P591" s="13">
        <f t="shared" si="75"/>
        <v>-3.9067213979474054E-2</v>
      </c>
      <c r="Q591" s="15">
        <f t="shared" si="76"/>
        <v>-1.5043789063625042</v>
      </c>
      <c r="R591" s="13">
        <f t="shared" si="77"/>
        <v>-3.9067213979473929E-2</v>
      </c>
      <c r="S591" s="15">
        <f t="shared" si="78"/>
        <v>35.267973231772061</v>
      </c>
      <c r="T591" s="15">
        <f t="shared" si="79"/>
        <v>38.860684908311732</v>
      </c>
    </row>
    <row r="592" spans="1:20" x14ac:dyDescent="0.3">
      <c r="A592" s="5">
        <v>42228.083333333336</v>
      </c>
      <c r="B592" s="14">
        <v>44698.700751095203</v>
      </c>
      <c r="C592" s="14">
        <v>46849.567146474801</v>
      </c>
      <c r="D592" s="6">
        <v>1171</v>
      </c>
      <c r="E592" s="1">
        <v>2015</v>
      </c>
      <c r="F592" s="1">
        <v>8</v>
      </c>
      <c r="G592" s="1" t="s">
        <v>36</v>
      </c>
      <c r="H592" s="12">
        <v>42217</v>
      </c>
      <c r="I592" s="1">
        <v>12</v>
      </c>
      <c r="J592" s="1">
        <v>4</v>
      </c>
      <c r="K592" s="1" t="s">
        <v>25</v>
      </c>
      <c r="L592" s="1" t="s">
        <v>22</v>
      </c>
      <c r="M592" s="15">
        <f t="shared" si="72"/>
        <v>38.171392614086422</v>
      </c>
      <c r="N592" s="15">
        <f t="shared" si="73"/>
        <v>40.008170065307262</v>
      </c>
      <c r="O592" s="14">
        <f t="shared" si="74"/>
        <v>-2150.8663953795985</v>
      </c>
      <c r="P592" s="13">
        <f t="shared" si="75"/>
        <v>-4.8119215083156489E-2</v>
      </c>
      <c r="Q592" s="15">
        <f t="shared" si="76"/>
        <v>-1.8367774512208399</v>
      </c>
      <c r="R592" s="13">
        <f t="shared" si="77"/>
        <v>-4.8119215083156607E-2</v>
      </c>
      <c r="S592" s="15">
        <f t="shared" si="78"/>
        <v>35.267973231772061</v>
      </c>
      <c r="T592" s="15">
        <f t="shared" si="79"/>
        <v>38.821856980909018</v>
      </c>
    </row>
    <row r="593" spans="1:20" x14ac:dyDescent="0.3">
      <c r="A593" s="5">
        <v>42229.083333333336</v>
      </c>
      <c r="B593" s="14">
        <v>39463.409059930302</v>
      </c>
      <c r="C593" s="14">
        <v>41414.4183701398</v>
      </c>
      <c r="D593" s="6">
        <v>1035</v>
      </c>
      <c r="E593" s="1">
        <v>2015</v>
      </c>
      <c r="F593" s="1">
        <v>8</v>
      </c>
      <c r="G593" s="1" t="s">
        <v>36</v>
      </c>
      <c r="H593" s="12">
        <v>42217</v>
      </c>
      <c r="I593" s="1">
        <v>13</v>
      </c>
      <c r="J593" s="1">
        <v>5</v>
      </c>
      <c r="K593" s="1" t="s">
        <v>26</v>
      </c>
      <c r="L593" s="1" t="s">
        <v>22</v>
      </c>
      <c r="M593" s="15">
        <f t="shared" si="72"/>
        <v>38.128897642444734</v>
      </c>
      <c r="N593" s="15">
        <f t="shared" si="73"/>
        <v>40.013930792405603</v>
      </c>
      <c r="O593" s="14">
        <f t="shared" si="74"/>
        <v>-1951.0093102094979</v>
      </c>
      <c r="P593" s="13">
        <f t="shared" si="75"/>
        <v>-4.9438438206051517E-2</v>
      </c>
      <c r="Q593" s="15">
        <f t="shared" si="76"/>
        <v>-1.8850331499608686</v>
      </c>
      <c r="R593" s="13">
        <f t="shared" si="77"/>
        <v>-4.9438438206051552E-2</v>
      </c>
      <c r="S593" s="15">
        <f t="shared" si="78"/>
        <v>35.267973231772061</v>
      </c>
      <c r="T593" s="15">
        <f t="shared" si="79"/>
        <v>38.785984516368721</v>
      </c>
    </row>
    <row r="594" spans="1:20" x14ac:dyDescent="0.3">
      <c r="A594" s="5">
        <v>42230.083333333336</v>
      </c>
      <c r="B594" s="14">
        <v>85794.096902620295</v>
      </c>
      <c r="C594" s="14">
        <v>89898.894227500001</v>
      </c>
      <c r="D594" s="6">
        <v>2247</v>
      </c>
      <c r="E594" s="1">
        <v>2015</v>
      </c>
      <c r="F594" s="1">
        <v>8</v>
      </c>
      <c r="G594" s="1" t="s">
        <v>36</v>
      </c>
      <c r="H594" s="12">
        <v>42217</v>
      </c>
      <c r="I594" s="1">
        <v>14</v>
      </c>
      <c r="J594" s="1">
        <v>6</v>
      </c>
      <c r="K594" s="1" t="s">
        <v>27</v>
      </c>
      <c r="L594" s="1" t="s">
        <v>22</v>
      </c>
      <c r="M594" s="15">
        <f t="shared" si="72"/>
        <v>38.181618559243567</v>
      </c>
      <c r="N594" s="15">
        <f t="shared" si="73"/>
        <v>40.008408645972409</v>
      </c>
      <c r="O594" s="14">
        <f t="shared" si="74"/>
        <v>-4104.7973248797061</v>
      </c>
      <c r="P594" s="13">
        <f t="shared" si="75"/>
        <v>-4.7844752413896428E-2</v>
      </c>
      <c r="Q594" s="15">
        <f t="shared" si="76"/>
        <v>-1.8267900867288418</v>
      </c>
      <c r="R594" s="13">
        <f t="shared" si="77"/>
        <v>-4.7844752413896442E-2</v>
      </c>
      <c r="S594" s="15">
        <f t="shared" si="78"/>
        <v>35.267973231772061</v>
      </c>
      <c r="T594" s="15">
        <f t="shared" si="79"/>
        <v>38.752584146241887</v>
      </c>
    </row>
    <row r="595" spans="1:20" x14ac:dyDescent="0.3">
      <c r="A595" s="5">
        <v>42231.083333333336</v>
      </c>
      <c r="B595" s="14">
        <v>117288.01005380201</v>
      </c>
      <c r="C595" s="14">
        <v>122504.357202297</v>
      </c>
      <c r="D595" s="6">
        <v>3068</v>
      </c>
      <c r="E595" s="1">
        <v>2015</v>
      </c>
      <c r="F595" s="1">
        <v>8</v>
      </c>
      <c r="G595" s="1" t="s">
        <v>36</v>
      </c>
      <c r="H595" s="12">
        <v>42217</v>
      </c>
      <c r="I595" s="1">
        <v>15</v>
      </c>
      <c r="J595" s="1">
        <v>7</v>
      </c>
      <c r="K595" s="1" t="s">
        <v>28</v>
      </c>
      <c r="L595" s="1" t="s">
        <v>22</v>
      </c>
      <c r="M595" s="15">
        <f t="shared" si="72"/>
        <v>38.22946872679335</v>
      </c>
      <c r="N595" s="15">
        <f t="shared" si="73"/>
        <v>39.929712256289768</v>
      </c>
      <c r="O595" s="14">
        <f t="shared" si="74"/>
        <v>-5216.3471484949987</v>
      </c>
      <c r="P595" s="13">
        <f t="shared" si="75"/>
        <v>-4.4474683696161026E-2</v>
      </c>
      <c r="Q595" s="15">
        <f t="shared" si="76"/>
        <v>-1.7002435294964187</v>
      </c>
      <c r="R595" s="13">
        <f t="shared" si="77"/>
        <v>-4.4474683696161151E-2</v>
      </c>
      <c r="S595" s="15">
        <f t="shared" si="78"/>
        <v>35.267973231772061</v>
      </c>
      <c r="T595" s="15">
        <f t="shared" si="79"/>
        <v>38.730477096445242</v>
      </c>
    </row>
    <row r="596" spans="1:20" x14ac:dyDescent="0.3">
      <c r="A596" s="5">
        <v>42232.083333333336</v>
      </c>
      <c r="B596" s="14">
        <v>71056.061003780502</v>
      </c>
      <c r="C596" s="14">
        <v>74589.172866250301</v>
      </c>
      <c r="D596" s="6">
        <v>1866</v>
      </c>
      <c r="E596" s="1">
        <v>2015</v>
      </c>
      <c r="F596" s="1">
        <v>8</v>
      </c>
      <c r="G596" s="1" t="s">
        <v>36</v>
      </c>
      <c r="H596" s="12">
        <v>42217</v>
      </c>
      <c r="I596" s="1">
        <v>16</v>
      </c>
      <c r="J596" s="1">
        <v>1</v>
      </c>
      <c r="K596" s="1" t="s">
        <v>29</v>
      </c>
      <c r="L596" s="1" t="s">
        <v>22</v>
      </c>
      <c r="M596" s="15">
        <f t="shared" si="72"/>
        <v>38.079346733001344</v>
      </c>
      <c r="N596" s="15">
        <f t="shared" si="73"/>
        <v>39.972761450294911</v>
      </c>
      <c r="O596" s="14">
        <f t="shared" si="74"/>
        <v>-3533.1118624697992</v>
      </c>
      <c r="P596" s="13">
        <f t="shared" si="75"/>
        <v>-4.9722878140990981E-2</v>
      </c>
      <c r="Q596" s="15">
        <f t="shared" si="76"/>
        <v>-1.8934147172935667</v>
      </c>
      <c r="R596" s="13">
        <f t="shared" si="77"/>
        <v>-4.9722878140990925E-2</v>
      </c>
      <c r="S596" s="15">
        <f t="shared" si="78"/>
        <v>35.267973231772061</v>
      </c>
      <c r="T596" s="15">
        <f t="shared" si="79"/>
        <v>38.705496476853142</v>
      </c>
    </row>
    <row r="597" spans="1:20" x14ac:dyDescent="0.3">
      <c r="A597" s="5">
        <v>42233.083333333336</v>
      </c>
      <c r="B597" s="14">
        <v>64394.074453330402</v>
      </c>
      <c r="C597" s="14">
        <v>67505.254139283701</v>
      </c>
      <c r="D597" s="6">
        <v>1690</v>
      </c>
      <c r="E597" s="1">
        <v>2015</v>
      </c>
      <c r="F597" s="1">
        <v>8</v>
      </c>
      <c r="G597" s="1" t="s">
        <v>36</v>
      </c>
      <c r="H597" s="12">
        <v>42217</v>
      </c>
      <c r="I597" s="1">
        <v>17</v>
      </c>
      <c r="J597" s="1">
        <v>2</v>
      </c>
      <c r="K597" s="1" t="s">
        <v>21</v>
      </c>
      <c r="L597" s="1" t="s">
        <v>22</v>
      </c>
      <c r="M597" s="15">
        <f t="shared" si="72"/>
        <v>38.103002635106748</v>
      </c>
      <c r="N597" s="15">
        <f t="shared" si="73"/>
        <v>39.943937360522902</v>
      </c>
      <c r="O597" s="14">
        <f t="shared" si="74"/>
        <v>-3111.1796859532988</v>
      </c>
      <c r="P597" s="13">
        <f t="shared" si="75"/>
        <v>-4.8314689082271475E-2</v>
      </c>
      <c r="Q597" s="15">
        <f t="shared" si="76"/>
        <v>-1.8409347254161545</v>
      </c>
      <c r="R597" s="13">
        <f t="shared" si="77"/>
        <v>-4.831468908227151E-2</v>
      </c>
      <c r="S597" s="15">
        <f t="shared" si="78"/>
        <v>35.267973231772061</v>
      </c>
      <c r="T597" s="15">
        <f t="shared" si="79"/>
        <v>38.676767760187367</v>
      </c>
    </row>
    <row r="598" spans="1:20" x14ac:dyDescent="0.3">
      <c r="A598" s="5">
        <v>42234.083333333336</v>
      </c>
      <c r="B598" s="14">
        <v>35165.972082725202</v>
      </c>
      <c r="C598" s="14">
        <v>36841.967322813798</v>
      </c>
      <c r="D598" s="6">
        <v>922</v>
      </c>
      <c r="E598" s="1">
        <v>2015</v>
      </c>
      <c r="F598" s="1">
        <v>8</v>
      </c>
      <c r="G598" s="1" t="s">
        <v>36</v>
      </c>
      <c r="H598" s="12">
        <v>42217</v>
      </c>
      <c r="I598" s="1">
        <v>18</v>
      </c>
      <c r="J598" s="1">
        <v>3</v>
      </c>
      <c r="K598" s="1" t="s">
        <v>23</v>
      </c>
      <c r="L598" s="1" t="s">
        <v>22</v>
      </c>
      <c r="M598" s="15">
        <f t="shared" si="72"/>
        <v>38.140967551762692</v>
      </c>
      <c r="N598" s="15">
        <f t="shared" si="73"/>
        <v>39.958749807824077</v>
      </c>
      <c r="O598" s="14">
        <f t="shared" si="74"/>
        <v>-1675.9952400885959</v>
      </c>
      <c r="P598" s="13">
        <f t="shared" si="75"/>
        <v>-4.7659573753455413E-2</v>
      </c>
      <c r="Q598" s="15">
        <f t="shared" si="76"/>
        <v>-1.8177822560613848</v>
      </c>
      <c r="R598" s="13">
        <f t="shared" si="77"/>
        <v>-4.7659573753455441E-2</v>
      </c>
      <c r="S598" s="15">
        <f t="shared" si="78"/>
        <v>35.267973231772061</v>
      </c>
      <c r="T598" s="15">
        <f t="shared" si="79"/>
        <v>38.642284876777907</v>
      </c>
    </row>
    <row r="599" spans="1:20" x14ac:dyDescent="0.3">
      <c r="A599" s="5">
        <v>42235.083333333336</v>
      </c>
      <c r="B599" s="14">
        <v>23234.183195130099</v>
      </c>
      <c r="C599" s="14">
        <v>24104.085977912498</v>
      </c>
      <c r="D599" s="6">
        <v>604</v>
      </c>
      <c r="E599" s="1">
        <v>2015</v>
      </c>
      <c r="F599" s="1">
        <v>8</v>
      </c>
      <c r="G599" s="1" t="s">
        <v>36</v>
      </c>
      <c r="H599" s="12">
        <v>42217</v>
      </c>
      <c r="I599" s="1">
        <v>19</v>
      </c>
      <c r="J599" s="1">
        <v>4</v>
      </c>
      <c r="K599" s="1" t="s">
        <v>25</v>
      </c>
      <c r="L599" s="1" t="s">
        <v>22</v>
      </c>
      <c r="M599" s="15">
        <f t="shared" si="72"/>
        <v>38.467190720414074</v>
      </c>
      <c r="N599" s="15">
        <f t="shared" si="73"/>
        <v>39.907427115749172</v>
      </c>
      <c r="O599" s="14">
        <f t="shared" si="74"/>
        <v>-869.9027827823993</v>
      </c>
      <c r="P599" s="13">
        <f t="shared" si="75"/>
        <v>-3.7440644049184027E-2</v>
      </c>
      <c r="Q599" s="15">
        <f t="shared" si="76"/>
        <v>-1.4402363953350985</v>
      </c>
      <c r="R599" s="13">
        <f t="shared" si="77"/>
        <v>-3.7440644049184034E-2</v>
      </c>
      <c r="S599" s="15">
        <f t="shared" si="78"/>
        <v>35.267973231772061</v>
      </c>
      <c r="T599" s="15">
        <f t="shared" si="79"/>
        <v>38.620166232027486</v>
      </c>
    </row>
    <row r="600" spans="1:20" x14ac:dyDescent="0.3">
      <c r="A600" s="5">
        <v>42236.083333333336</v>
      </c>
      <c r="B600" s="14">
        <v>24754.957181800099</v>
      </c>
      <c r="C600" s="14">
        <v>25407.174070346198</v>
      </c>
      <c r="D600" s="6">
        <v>643</v>
      </c>
      <c r="E600" s="1">
        <v>2015</v>
      </c>
      <c r="F600" s="1">
        <v>8</v>
      </c>
      <c r="G600" s="1" t="s">
        <v>36</v>
      </c>
      <c r="H600" s="12">
        <v>42217</v>
      </c>
      <c r="I600" s="1">
        <v>20</v>
      </c>
      <c r="J600" s="1">
        <v>5</v>
      </c>
      <c r="K600" s="1" t="s">
        <v>26</v>
      </c>
      <c r="L600" s="1" t="s">
        <v>22</v>
      </c>
      <c r="M600" s="15">
        <f t="shared" si="72"/>
        <v>38.499155803732656</v>
      </c>
      <c r="N600" s="15">
        <f t="shared" si="73"/>
        <v>39.513490000538411</v>
      </c>
      <c r="O600" s="14">
        <f t="shared" si="74"/>
        <v>-652.21688854609965</v>
      </c>
      <c r="P600" s="13">
        <f t="shared" si="75"/>
        <v>-2.634692048773209E-2</v>
      </c>
      <c r="Q600" s="15">
        <f t="shared" si="76"/>
        <v>-1.0143341968057555</v>
      </c>
      <c r="R600" s="13">
        <f t="shared" si="77"/>
        <v>-2.6346920487732139E-2</v>
      </c>
      <c r="S600" s="15">
        <f t="shared" si="78"/>
        <v>35.267973231772061</v>
      </c>
      <c r="T600" s="15">
        <f t="shared" si="79"/>
        <v>38.603849823817853</v>
      </c>
    </row>
    <row r="601" spans="1:20" x14ac:dyDescent="0.3">
      <c r="A601" s="5">
        <v>42237.083333333336</v>
      </c>
      <c r="B601" s="14">
        <v>76691.283029055499</v>
      </c>
      <c r="C601" s="14">
        <v>78691.956315552306</v>
      </c>
      <c r="D601" s="6">
        <v>2006</v>
      </c>
      <c r="E601" s="1">
        <v>2015</v>
      </c>
      <c r="F601" s="1">
        <v>8</v>
      </c>
      <c r="G601" s="1" t="s">
        <v>36</v>
      </c>
      <c r="H601" s="12">
        <v>42217</v>
      </c>
      <c r="I601" s="1">
        <v>21</v>
      </c>
      <c r="J601" s="1">
        <v>6</v>
      </c>
      <c r="K601" s="1" t="s">
        <v>27</v>
      </c>
      <c r="L601" s="1" t="s">
        <v>22</v>
      </c>
      <c r="M601" s="15">
        <f t="shared" si="72"/>
        <v>38.230948668522181</v>
      </c>
      <c r="N601" s="15">
        <f t="shared" si="73"/>
        <v>39.228293277942328</v>
      </c>
      <c r="O601" s="14">
        <f t="shared" si="74"/>
        <v>-2000.6732864968071</v>
      </c>
      <c r="P601" s="13">
        <f t="shared" si="75"/>
        <v>-2.608736231129196E-2</v>
      </c>
      <c r="Q601" s="15">
        <f t="shared" si="76"/>
        <v>-0.99734460942014636</v>
      </c>
      <c r="R601" s="13">
        <f t="shared" si="77"/>
        <v>-2.6087362311292047E-2</v>
      </c>
      <c r="S601" s="15">
        <f t="shared" si="78"/>
        <v>35.267973231772061</v>
      </c>
      <c r="T601" s="15">
        <f t="shared" si="79"/>
        <v>38.58501868012965</v>
      </c>
    </row>
    <row r="602" spans="1:20" x14ac:dyDescent="0.3">
      <c r="A602" s="5">
        <v>42238.083333333336</v>
      </c>
      <c r="B602" s="14">
        <v>102231.21179235799</v>
      </c>
      <c r="C602" s="14">
        <v>104713.00749977599</v>
      </c>
      <c r="D602" s="6">
        <v>2677</v>
      </c>
      <c r="E602" s="1">
        <v>2015</v>
      </c>
      <c r="F602" s="1">
        <v>8</v>
      </c>
      <c r="G602" s="1" t="s">
        <v>36</v>
      </c>
      <c r="H602" s="12">
        <v>42217</v>
      </c>
      <c r="I602" s="1">
        <v>22</v>
      </c>
      <c r="J602" s="1">
        <v>7</v>
      </c>
      <c r="K602" s="1" t="s">
        <v>28</v>
      </c>
      <c r="L602" s="1" t="s">
        <v>22</v>
      </c>
      <c r="M602" s="15">
        <f t="shared" si="72"/>
        <v>38.188723120044074</v>
      </c>
      <c r="N602" s="15">
        <f t="shared" si="73"/>
        <v>39.115804071638401</v>
      </c>
      <c r="O602" s="14">
        <f t="shared" si="74"/>
        <v>-2481.7957074180013</v>
      </c>
      <c r="P602" s="13">
        <f t="shared" si="75"/>
        <v>-2.4276301375149315E-2</v>
      </c>
      <c r="Q602" s="15">
        <f t="shared" si="76"/>
        <v>-0.92708095159432702</v>
      </c>
      <c r="R602" s="13">
        <f t="shared" si="77"/>
        <v>-2.4276301375149436E-2</v>
      </c>
      <c r="S602" s="15">
        <f t="shared" si="78"/>
        <v>35.267973231772061</v>
      </c>
      <c r="T602" s="15">
        <f t="shared" si="79"/>
        <v>38.573859936563061</v>
      </c>
    </row>
    <row r="603" spans="1:20" x14ac:dyDescent="0.3">
      <c r="A603" s="5">
        <v>42239.083333333336</v>
      </c>
      <c r="B603" s="14">
        <v>56974.868025790398</v>
      </c>
      <c r="C603" s="14">
        <v>57548.985153409601</v>
      </c>
      <c r="D603" s="6">
        <v>1467</v>
      </c>
      <c r="E603" s="1">
        <v>2015</v>
      </c>
      <c r="F603" s="1">
        <v>8</v>
      </c>
      <c r="G603" s="1" t="s">
        <v>36</v>
      </c>
      <c r="H603" s="12">
        <v>42217</v>
      </c>
      <c r="I603" s="1">
        <v>23</v>
      </c>
      <c r="J603" s="1">
        <v>1</v>
      </c>
      <c r="K603" s="1" t="s">
        <v>29</v>
      </c>
      <c r="L603" s="1" t="s">
        <v>22</v>
      </c>
      <c r="M603" s="15">
        <f t="shared" si="72"/>
        <v>38.837674182542877</v>
      </c>
      <c r="N603" s="15">
        <f t="shared" si="73"/>
        <v>39.229028734430543</v>
      </c>
      <c r="O603" s="14">
        <f t="shared" si="74"/>
        <v>-574.11712761920353</v>
      </c>
      <c r="P603" s="13">
        <f t="shared" si="75"/>
        <v>-1.0076673233526791E-2</v>
      </c>
      <c r="Q603" s="15">
        <f t="shared" si="76"/>
        <v>-0.39135455188766599</v>
      </c>
      <c r="R603" s="13">
        <f t="shared" si="77"/>
        <v>-1.0076673233526835E-2</v>
      </c>
      <c r="S603" s="15">
        <f t="shared" si="78"/>
        <v>35.267973231772061</v>
      </c>
      <c r="T603" s="15">
        <f t="shared" si="79"/>
        <v>38.582885070244167</v>
      </c>
    </row>
    <row r="604" spans="1:20" x14ac:dyDescent="0.3">
      <c r="A604" s="5">
        <v>42240.083333333336</v>
      </c>
      <c r="B604" s="14">
        <v>59442.731115165399</v>
      </c>
      <c r="C604" s="14">
        <v>59785.428614563803</v>
      </c>
      <c r="D604" s="6">
        <v>1528</v>
      </c>
      <c r="E604" s="1">
        <v>2015</v>
      </c>
      <c r="F604" s="1">
        <v>8</v>
      </c>
      <c r="G604" s="1" t="s">
        <v>36</v>
      </c>
      <c r="H604" s="12">
        <v>42217</v>
      </c>
      <c r="I604" s="1">
        <v>24</v>
      </c>
      <c r="J604" s="1">
        <v>2</v>
      </c>
      <c r="K604" s="1" t="s">
        <v>21</v>
      </c>
      <c r="L604" s="1" t="s">
        <v>22</v>
      </c>
      <c r="M604" s="15">
        <f t="shared" si="72"/>
        <v>38.902310939244373</v>
      </c>
      <c r="N604" s="15">
        <f t="shared" si="73"/>
        <v>39.126589407437045</v>
      </c>
      <c r="O604" s="14">
        <f t="shared" si="74"/>
        <v>-342.69749939840403</v>
      </c>
      <c r="P604" s="13">
        <f t="shared" si="75"/>
        <v>-5.7651708286157958E-3</v>
      </c>
      <c r="Q604" s="15">
        <f t="shared" si="76"/>
        <v>-0.22427846819267216</v>
      </c>
      <c r="R604" s="13">
        <f t="shared" si="77"/>
        <v>-5.7651708286157793E-3</v>
      </c>
      <c r="S604" s="15">
        <f t="shared" si="78"/>
        <v>35.267973231772061</v>
      </c>
      <c r="T604" s="15">
        <f t="shared" si="79"/>
        <v>38.586002928319431</v>
      </c>
    </row>
    <row r="605" spans="1:20" x14ac:dyDescent="0.3">
      <c r="A605" s="5">
        <v>42241.083333333336</v>
      </c>
      <c r="B605" s="14">
        <v>217683.362264025</v>
      </c>
      <c r="C605" s="14">
        <v>246975.73076564301</v>
      </c>
      <c r="D605" s="6">
        <v>6360</v>
      </c>
      <c r="E605" s="1">
        <v>2015</v>
      </c>
      <c r="F605" s="1">
        <v>8</v>
      </c>
      <c r="G605" s="1" t="s">
        <v>36</v>
      </c>
      <c r="H605" s="12">
        <v>42217</v>
      </c>
      <c r="I605" s="1">
        <v>25</v>
      </c>
      <c r="J605" s="1">
        <v>3</v>
      </c>
      <c r="K605" s="1" t="s">
        <v>23</v>
      </c>
      <c r="L605" s="1" t="s">
        <v>22</v>
      </c>
      <c r="M605" s="15">
        <f t="shared" si="72"/>
        <v>34.226943752205187</v>
      </c>
      <c r="N605" s="15">
        <f t="shared" si="73"/>
        <v>38.832662070069652</v>
      </c>
      <c r="O605" s="14">
        <f t="shared" si="74"/>
        <v>-29292.36850161801</v>
      </c>
      <c r="P605" s="13">
        <f t="shared" si="75"/>
        <v>-0.13456411274137581</v>
      </c>
      <c r="Q605" s="15">
        <f t="shared" si="76"/>
        <v>-4.605718317864465</v>
      </c>
      <c r="R605" s="13">
        <f t="shared" si="77"/>
        <v>-0.13456411274137575</v>
      </c>
      <c r="S605" s="15">
        <f t="shared" si="78"/>
        <v>35.267973231772061</v>
      </c>
      <c r="T605" s="15">
        <f t="shared" si="79"/>
        <v>38.435371966435767</v>
      </c>
    </row>
    <row r="606" spans="1:20" x14ac:dyDescent="0.3">
      <c r="A606" s="5">
        <v>42242.083333333336</v>
      </c>
      <c r="B606" s="14">
        <v>275458.80689619598</v>
      </c>
      <c r="C606" s="14">
        <v>307092.27437902801</v>
      </c>
      <c r="D606" s="6">
        <v>8035</v>
      </c>
      <c r="E606" s="1">
        <v>2015</v>
      </c>
      <c r="F606" s="1">
        <v>8</v>
      </c>
      <c r="G606" s="1" t="s">
        <v>36</v>
      </c>
      <c r="H606" s="12">
        <v>42217</v>
      </c>
      <c r="I606" s="1">
        <v>26</v>
      </c>
      <c r="J606" s="1">
        <v>4</v>
      </c>
      <c r="K606" s="1" t="s">
        <v>25</v>
      </c>
      <c r="L606" s="1" t="s">
        <v>22</v>
      </c>
      <c r="M606" s="15">
        <f t="shared" si="72"/>
        <v>34.282365512905535</v>
      </c>
      <c r="N606" s="15">
        <f t="shared" si="73"/>
        <v>38.219324751590293</v>
      </c>
      <c r="O606" s="14">
        <f t="shared" si="74"/>
        <v>-31633.467482832028</v>
      </c>
      <c r="P606" s="13">
        <f t="shared" si="75"/>
        <v>-0.11483919443081302</v>
      </c>
      <c r="Q606" s="15">
        <f t="shared" si="76"/>
        <v>-3.9369592386847572</v>
      </c>
      <c r="R606" s="13">
        <f t="shared" si="77"/>
        <v>-0.114839194430813</v>
      </c>
      <c r="S606" s="15">
        <f t="shared" si="78"/>
        <v>35.267973231772061</v>
      </c>
      <c r="T606" s="15">
        <f t="shared" si="79"/>
        <v>38.286965813031863</v>
      </c>
    </row>
    <row r="607" spans="1:20" x14ac:dyDescent="0.3">
      <c r="A607" s="5">
        <v>42243.083333333336</v>
      </c>
      <c r="B607" s="14">
        <v>228731.86548652701</v>
      </c>
      <c r="C607" s="14">
        <v>252845.44555357701</v>
      </c>
      <c r="D607" s="6">
        <v>6675</v>
      </c>
      <c r="E607" s="1">
        <v>2015</v>
      </c>
      <c r="F607" s="1">
        <v>8</v>
      </c>
      <c r="G607" s="1" t="s">
        <v>36</v>
      </c>
      <c r="H607" s="12">
        <v>42217</v>
      </c>
      <c r="I607" s="1">
        <v>27</v>
      </c>
      <c r="J607" s="1">
        <v>5</v>
      </c>
      <c r="K607" s="1" t="s">
        <v>26</v>
      </c>
      <c r="L607" s="1" t="s">
        <v>22</v>
      </c>
      <c r="M607" s="15">
        <f t="shared" si="72"/>
        <v>34.266946140303673</v>
      </c>
      <c r="N607" s="15">
        <f t="shared" si="73"/>
        <v>37.879467498663224</v>
      </c>
      <c r="O607" s="14">
        <f t="shared" si="74"/>
        <v>-24113.580067050003</v>
      </c>
      <c r="P607" s="13">
        <f t="shared" si="75"/>
        <v>-0.10542291523640096</v>
      </c>
      <c r="Q607" s="15">
        <f t="shared" si="76"/>
        <v>-3.612521358359551</v>
      </c>
      <c r="R607" s="13">
        <f t="shared" si="77"/>
        <v>-0.10542291523640096</v>
      </c>
      <c r="S607" s="15">
        <f t="shared" si="78"/>
        <v>35.267973231772061</v>
      </c>
      <c r="T607" s="15">
        <f t="shared" si="79"/>
        <v>38.14071283534998</v>
      </c>
    </row>
    <row r="608" spans="1:20" x14ac:dyDescent="0.3">
      <c r="A608" s="5">
        <v>42244.083333333336</v>
      </c>
      <c r="B608" s="14">
        <v>387639.11999952199</v>
      </c>
      <c r="C608" s="14">
        <v>426783.302218144</v>
      </c>
      <c r="D608" s="6">
        <v>11330</v>
      </c>
      <c r="E608" s="1">
        <v>2015</v>
      </c>
      <c r="F608" s="1">
        <v>8</v>
      </c>
      <c r="G608" s="1" t="s">
        <v>36</v>
      </c>
      <c r="H608" s="12">
        <v>42217</v>
      </c>
      <c r="I608" s="1">
        <v>28</v>
      </c>
      <c r="J608" s="1">
        <v>6</v>
      </c>
      <c r="K608" s="1" t="s">
        <v>27</v>
      </c>
      <c r="L608" s="1" t="s">
        <v>22</v>
      </c>
      <c r="M608" s="15">
        <f t="shared" si="72"/>
        <v>34.213514563064606</v>
      </c>
      <c r="N608" s="15">
        <f t="shared" si="73"/>
        <v>37.668429145467258</v>
      </c>
      <c r="O608" s="14">
        <f t="shared" si="74"/>
        <v>-39144.182218622009</v>
      </c>
      <c r="P608" s="13">
        <f t="shared" si="75"/>
        <v>-0.10098099030528776</v>
      </c>
      <c r="Q608" s="15">
        <f t="shared" si="76"/>
        <v>-3.454914582402651</v>
      </c>
      <c r="R608" s="13">
        <f t="shared" si="77"/>
        <v>-0.10098099030528783</v>
      </c>
      <c r="S608" s="15">
        <f t="shared" si="78"/>
        <v>35.267973231772061</v>
      </c>
      <c r="T608" s="15">
        <f t="shared" si="79"/>
        <v>37.991429600594046</v>
      </c>
    </row>
    <row r="609" spans="1:20" x14ac:dyDescent="0.3">
      <c r="A609" s="5">
        <v>42245.083333333336</v>
      </c>
      <c r="B609" s="14">
        <v>461188.00485173502</v>
      </c>
      <c r="C609" s="14">
        <v>504578.18875722698</v>
      </c>
      <c r="D609" s="6">
        <v>13484</v>
      </c>
      <c r="E609" s="1">
        <v>2015</v>
      </c>
      <c r="F609" s="1">
        <v>8</v>
      </c>
      <c r="G609" s="1" t="s">
        <v>36</v>
      </c>
      <c r="H609" s="12">
        <v>42217</v>
      </c>
      <c r="I609" s="1">
        <v>29</v>
      </c>
      <c r="J609" s="1">
        <v>7</v>
      </c>
      <c r="K609" s="1" t="s">
        <v>28</v>
      </c>
      <c r="L609" s="1" t="s">
        <v>22</v>
      </c>
      <c r="M609" s="15">
        <f t="shared" si="72"/>
        <v>34.20261086114914</v>
      </c>
      <c r="N609" s="15">
        <f t="shared" si="73"/>
        <v>37.420512367044424</v>
      </c>
      <c r="O609" s="14">
        <f t="shared" si="74"/>
        <v>-43390.183905491955</v>
      </c>
      <c r="P609" s="13">
        <f t="shared" si="75"/>
        <v>-9.4083504880924304E-2</v>
      </c>
      <c r="Q609" s="15">
        <f t="shared" si="76"/>
        <v>-3.2179015058952842</v>
      </c>
      <c r="R609" s="13">
        <f t="shared" si="77"/>
        <v>-9.4083504880924443E-2</v>
      </c>
      <c r="S609" s="15">
        <f t="shared" si="78"/>
        <v>35.267973231772061</v>
      </c>
      <c r="T609" s="15">
        <f t="shared" si="79"/>
        <v>37.840017875061953</v>
      </c>
    </row>
    <row r="610" spans="1:20" x14ac:dyDescent="0.3">
      <c r="A610" s="5">
        <v>42246.083333333336</v>
      </c>
      <c r="B610" s="14">
        <v>202249.67716942501</v>
      </c>
      <c r="C610" s="14">
        <v>220152.186753958</v>
      </c>
      <c r="D610" s="6">
        <v>5913</v>
      </c>
      <c r="E610" s="1">
        <v>2015</v>
      </c>
      <c r="F610" s="1">
        <v>8</v>
      </c>
      <c r="G610" s="1" t="s">
        <v>36</v>
      </c>
      <c r="H610" s="12">
        <v>42217</v>
      </c>
      <c r="I610" s="1">
        <v>30</v>
      </c>
      <c r="J610" s="1">
        <v>1</v>
      </c>
      <c r="K610" s="1" t="s">
        <v>29</v>
      </c>
      <c r="L610" s="1" t="s">
        <v>22</v>
      </c>
      <c r="M610" s="15">
        <f t="shared" si="72"/>
        <v>34.204241023072044</v>
      </c>
      <c r="N610" s="15">
        <f t="shared" si="73"/>
        <v>37.231893582607476</v>
      </c>
      <c r="O610" s="14">
        <f t="shared" si="74"/>
        <v>-17902.509584532992</v>
      </c>
      <c r="P610" s="13">
        <f t="shared" si="75"/>
        <v>-8.8516875948019533E-2</v>
      </c>
      <c r="Q610" s="15">
        <f t="shared" si="76"/>
        <v>-3.0276525595354329</v>
      </c>
      <c r="R610" s="13">
        <f t="shared" si="77"/>
        <v>-8.8516875948019658E-2</v>
      </c>
      <c r="S610" s="15">
        <f t="shared" si="78"/>
        <v>35.267973231772061</v>
      </c>
      <c r="T610" s="15">
        <f t="shared" si="79"/>
        <v>37.687524565201208</v>
      </c>
    </row>
    <row r="611" spans="1:20" x14ac:dyDescent="0.3">
      <c r="A611" s="5">
        <v>42247.083333333336</v>
      </c>
      <c r="B611" s="14">
        <v>332559.764979086</v>
      </c>
      <c r="C611" s="14">
        <v>361970.285938652</v>
      </c>
      <c r="D611" s="6">
        <v>9721</v>
      </c>
      <c r="E611" s="1">
        <v>2015</v>
      </c>
      <c r="F611" s="1">
        <v>8</v>
      </c>
      <c r="G611" s="1" t="s">
        <v>36</v>
      </c>
      <c r="H611" s="12">
        <v>42217</v>
      </c>
      <c r="I611" s="1">
        <v>31</v>
      </c>
      <c r="J611" s="1">
        <v>2</v>
      </c>
      <c r="K611" s="1" t="s">
        <v>21</v>
      </c>
      <c r="L611" s="1" t="s">
        <v>22</v>
      </c>
      <c r="M611" s="15">
        <f t="shared" si="72"/>
        <v>34.210447997025618</v>
      </c>
      <c r="N611" s="15">
        <f t="shared" si="73"/>
        <v>37.235910496723797</v>
      </c>
      <c r="O611" s="14">
        <f t="shared" si="74"/>
        <v>-29410.520959565998</v>
      </c>
      <c r="P611" s="13">
        <f t="shared" si="75"/>
        <v>-8.843679860495321E-2</v>
      </c>
      <c r="Q611" s="15">
        <f t="shared" si="76"/>
        <v>-3.0254624996981789</v>
      </c>
      <c r="R611" s="13">
        <f t="shared" si="77"/>
        <v>-8.8436798604953196E-2</v>
      </c>
      <c r="S611" s="15">
        <f t="shared" si="78"/>
        <v>35.267973231772061</v>
      </c>
      <c r="T611" s="15">
        <f t="shared" si="79"/>
        <v>37.530568344232655</v>
      </c>
    </row>
    <row r="612" spans="1:20" x14ac:dyDescent="0.3">
      <c r="A612" s="5">
        <v>42248.083333333336</v>
      </c>
      <c r="B612" s="14">
        <v>384806.77158197801</v>
      </c>
      <c r="C612" s="14">
        <v>418101.59754836001</v>
      </c>
      <c r="D612" s="6">
        <v>11257</v>
      </c>
      <c r="E612" s="1">
        <v>2015</v>
      </c>
      <c r="F612" s="1">
        <v>9</v>
      </c>
      <c r="G612" s="1" t="s">
        <v>37</v>
      </c>
      <c r="H612" s="12">
        <v>42248</v>
      </c>
      <c r="I612" s="1">
        <v>1</v>
      </c>
      <c r="J612" s="1">
        <v>3</v>
      </c>
      <c r="K612" s="1" t="s">
        <v>23</v>
      </c>
      <c r="L612" s="1" t="s">
        <v>22</v>
      </c>
      <c r="M612" s="15">
        <f t="shared" si="72"/>
        <v>34.183776457491163</v>
      </c>
      <c r="N612" s="15">
        <f t="shared" si="73"/>
        <v>37.141476196887268</v>
      </c>
      <c r="O612" s="14">
        <f t="shared" si="74"/>
        <v>-33294.825966381992</v>
      </c>
      <c r="P612" s="13">
        <f t="shared" si="75"/>
        <v>-8.6523492893598855E-2</v>
      </c>
      <c r="Q612" s="15">
        <f t="shared" si="76"/>
        <v>-2.9576997393961051</v>
      </c>
      <c r="R612" s="13">
        <f t="shared" si="77"/>
        <v>-8.6523492893598758E-2</v>
      </c>
      <c r="S612" s="15">
        <f t="shared" si="78"/>
        <v>35.267973231772061</v>
      </c>
      <c r="T612" s="15">
        <f t="shared" si="79"/>
        <v>37.368664425257535</v>
      </c>
    </row>
    <row r="613" spans="1:20" x14ac:dyDescent="0.3">
      <c r="A613" s="5">
        <v>42249.083333333336</v>
      </c>
      <c r="B613" s="14">
        <v>345776.250280376</v>
      </c>
      <c r="C613" s="14">
        <v>373816.16840063402</v>
      </c>
      <c r="D613" s="6">
        <v>10102</v>
      </c>
      <c r="E613" s="1">
        <v>2015</v>
      </c>
      <c r="F613" s="1">
        <v>9</v>
      </c>
      <c r="G613" s="1" t="s">
        <v>37</v>
      </c>
      <c r="H613" s="12">
        <v>42248</v>
      </c>
      <c r="I613" s="1">
        <v>2</v>
      </c>
      <c r="J613" s="1">
        <v>4</v>
      </c>
      <c r="K613" s="1" t="s">
        <v>25</v>
      </c>
      <c r="L613" s="1" t="s">
        <v>22</v>
      </c>
      <c r="M613" s="15">
        <f t="shared" si="72"/>
        <v>34.228494385307464</v>
      </c>
      <c r="N613" s="15">
        <f t="shared" si="73"/>
        <v>37.004174262585032</v>
      </c>
      <c r="O613" s="14">
        <f t="shared" si="74"/>
        <v>-28039.918120258022</v>
      </c>
      <c r="P613" s="13">
        <f t="shared" si="75"/>
        <v>-8.1092666420905388E-2</v>
      </c>
      <c r="Q613" s="15">
        <f t="shared" si="76"/>
        <v>-2.7756798772775682</v>
      </c>
      <c r="R613" s="13">
        <f t="shared" si="77"/>
        <v>-8.1092666420905304E-2</v>
      </c>
      <c r="S613" s="15">
        <f t="shared" si="78"/>
        <v>35.267973231772061</v>
      </c>
      <c r="T613" s="15">
        <f t="shared" si="79"/>
        <v>37.205499357873052</v>
      </c>
    </row>
    <row r="614" spans="1:20" x14ac:dyDescent="0.3">
      <c r="A614" s="5">
        <v>42250.083333333336</v>
      </c>
      <c r="B614" s="14">
        <v>271551.09510075598</v>
      </c>
      <c r="C614" s="14">
        <v>293343.87397356197</v>
      </c>
      <c r="D614" s="6">
        <v>7938</v>
      </c>
      <c r="E614" s="1">
        <v>2015</v>
      </c>
      <c r="F614" s="1">
        <v>9</v>
      </c>
      <c r="G614" s="1" t="s">
        <v>37</v>
      </c>
      <c r="H614" s="12">
        <v>42248</v>
      </c>
      <c r="I614" s="1">
        <v>3</v>
      </c>
      <c r="J614" s="1">
        <v>5</v>
      </c>
      <c r="K614" s="1" t="s">
        <v>26</v>
      </c>
      <c r="L614" s="1" t="s">
        <v>22</v>
      </c>
      <c r="M614" s="15">
        <f t="shared" si="72"/>
        <v>34.209006689437636</v>
      </c>
      <c r="N614" s="15">
        <f t="shared" si="73"/>
        <v>36.954380697097754</v>
      </c>
      <c r="O614" s="14">
        <f t="shared" si="74"/>
        <v>-21792.778872805997</v>
      </c>
      <c r="P614" s="13">
        <f t="shared" si="75"/>
        <v>-8.0252958894236948E-2</v>
      </c>
      <c r="Q614" s="15">
        <f t="shared" si="76"/>
        <v>-2.7453740076601179</v>
      </c>
      <c r="R614" s="13">
        <f t="shared" si="77"/>
        <v>-8.0252958894237017E-2</v>
      </c>
      <c r="S614" s="15">
        <f t="shared" si="78"/>
        <v>35.267973231772061</v>
      </c>
      <c r="T614" s="15">
        <f t="shared" si="79"/>
        <v>37.055766649817272</v>
      </c>
    </row>
    <row r="615" spans="1:20" x14ac:dyDescent="0.3">
      <c r="A615" s="5">
        <v>42251.083333333336</v>
      </c>
      <c r="B615" s="14">
        <v>340440.20546208601</v>
      </c>
      <c r="C615" s="14">
        <v>366359.65859248501</v>
      </c>
      <c r="D615" s="6">
        <v>9936</v>
      </c>
      <c r="E615" s="1">
        <v>2015</v>
      </c>
      <c r="F615" s="1">
        <v>9</v>
      </c>
      <c r="G615" s="1" t="s">
        <v>37</v>
      </c>
      <c r="H615" s="12">
        <v>42248</v>
      </c>
      <c r="I615" s="1">
        <v>4</v>
      </c>
      <c r="J615" s="1">
        <v>6</v>
      </c>
      <c r="K615" s="1" t="s">
        <v>27</v>
      </c>
      <c r="L615" s="1" t="s">
        <v>22</v>
      </c>
      <c r="M615" s="15">
        <f t="shared" si="72"/>
        <v>34.263305702705921</v>
      </c>
      <c r="N615" s="15">
        <f t="shared" si="73"/>
        <v>36.871946315668779</v>
      </c>
      <c r="O615" s="14">
        <f t="shared" si="74"/>
        <v>-25919.453130398993</v>
      </c>
      <c r="P615" s="13">
        <f t="shared" si="75"/>
        <v>-7.6135111877335473E-2</v>
      </c>
      <c r="Q615" s="15">
        <f t="shared" si="76"/>
        <v>-2.6086406129628585</v>
      </c>
      <c r="R615" s="13">
        <f t="shared" si="77"/>
        <v>-7.6135111877335376E-2</v>
      </c>
      <c r="S615" s="15">
        <f t="shared" si="78"/>
        <v>35.267973231772061</v>
      </c>
      <c r="T615" s="15">
        <f t="shared" si="79"/>
        <v>36.906237165809237</v>
      </c>
    </row>
    <row r="616" spans="1:20" x14ac:dyDescent="0.3">
      <c r="A616" s="5">
        <v>42252.083333333336</v>
      </c>
      <c r="B616" s="14">
        <v>364416.73158213799</v>
      </c>
      <c r="C616" s="14">
        <v>392128.30126516899</v>
      </c>
      <c r="D616" s="6">
        <v>10643</v>
      </c>
      <c r="E616" s="1">
        <v>2015</v>
      </c>
      <c r="F616" s="1">
        <v>9</v>
      </c>
      <c r="G616" s="1" t="s">
        <v>37</v>
      </c>
      <c r="H616" s="12">
        <v>42248</v>
      </c>
      <c r="I616" s="1">
        <v>5</v>
      </c>
      <c r="J616" s="1">
        <v>7</v>
      </c>
      <c r="K616" s="1" t="s">
        <v>28</v>
      </c>
      <c r="L616" s="1" t="s">
        <v>22</v>
      </c>
      <c r="M616" s="15">
        <f t="shared" si="72"/>
        <v>34.240038671628113</v>
      </c>
      <c r="N616" s="15">
        <f t="shared" si="73"/>
        <v>36.843775370212249</v>
      </c>
      <c r="O616" s="14">
        <f t="shared" si="74"/>
        <v>-27711.569683031004</v>
      </c>
      <c r="P616" s="13">
        <f t="shared" si="75"/>
        <v>-7.604362610552895E-2</v>
      </c>
      <c r="Q616" s="15">
        <f t="shared" si="76"/>
        <v>-2.6037366985841359</v>
      </c>
      <c r="R616" s="13">
        <f t="shared" si="77"/>
        <v>-7.6043626105528825E-2</v>
      </c>
      <c r="S616" s="15">
        <f t="shared" si="78"/>
        <v>35.267973231772061</v>
      </c>
      <c r="T616" s="15">
        <f t="shared" si="79"/>
        <v>36.758037100336274</v>
      </c>
    </row>
    <row r="617" spans="1:20" x14ac:dyDescent="0.3">
      <c r="A617" s="5">
        <v>42253.083333333336</v>
      </c>
      <c r="B617" s="14">
        <v>164719.604491615</v>
      </c>
      <c r="C617" s="14">
        <v>176647.842651849</v>
      </c>
      <c r="D617" s="6">
        <v>4800</v>
      </c>
      <c r="E617" s="1">
        <v>2015</v>
      </c>
      <c r="F617" s="1">
        <v>9</v>
      </c>
      <c r="G617" s="1" t="s">
        <v>37</v>
      </c>
      <c r="H617" s="12">
        <v>42248</v>
      </c>
      <c r="I617" s="1">
        <v>6</v>
      </c>
      <c r="J617" s="1">
        <v>1</v>
      </c>
      <c r="K617" s="1" t="s">
        <v>29</v>
      </c>
      <c r="L617" s="1" t="s">
        <v>22</v>
      </c>
      <c r="M617" s="15">
        <f t="shared" si="72"/>
        <v>34.316584269086455</v>
      </c>
      <c r="N617" s="15">
        <f t="shared" si="73"/>
        <v>36.801633885801877</v>
      </c>
      <c r="O617" s="14">
        <f t="shared" si="74"/>
        <v>-11928.238160234003</v>
      </c>
      <c r="P617" s="13">
        <f t="shared" si="75"/>
        <v>-7.2415412828660639E-2</v>
      </c>
      <c r="Q617" s="15">
        <f t="shared" si="76"/>
        <v>-2.4850496167154219</v>
      </c>
      <c r="R617" s="13">
        <f t="shared" si="77"/>
        <v>-7.2415412828660777E-2</v>
      </c>
      <c r="S617" s="15">
        <f t="shared" si="78"/>
        <v>35.267973231772061</v>
      </c>
      <c r="T617" s="15">
        <f t="shared" si="79"/>
        <v>36.603057997683429</v>
      </c>
    </row>
    <row r="618" spans="1:20" x14ac:dyDescent="0.3">
      <c r="A618" s="5">
        <v>42254.083333333336</v>
      </c>
      <c r="B618" s="14">
        <v>178921.099348736</v>
      </c>
      <c r="C618" s="14">
        <v>192507.52873248901</v>
      </c>
      <c r="D618" s="6">
        <v>5228</v>
      </c>
      <c r="E618" s="1">
        <v>2015</v>
      </c>
      <c r="F618" s="1">
        <v>9</v>
      </c>
      <c r="G618" s="1" t="s">
        <v>37</v>
      </c>
      <c r="H618" s="12">
        <v>42248</v>
      </c>
      <c r="I618" s="1">
        <v>7</v>
      </c>
      <c r="J618" s="1">
        <v>2</v>
      </c>
      <c r="K618" s="1" t="s">
        <v>21</v>
      </c>
      <c r="L618" s="1" t="s">
        <v>22</v>
      </c>
      <c r="M618" s="15">
        <f t="shared" si="72"/>
        <v>34.223622675733743</v>
      </c>
      <c r="N618" s="15">
        <f t="shared" si="73"/>
        <v>36.822404118685732</v>
      </c>
      <c r="O618" s="14">
        <f t="shared" si="74"/>
        <v>-13586.429383753013</v>
      </c>
      <c r="P618" s="13">
        <f t="shared" si="75"/>
        <v>-7.5935311336711817E-2</v>
      </c>
      <c r="Q618" s="15">
        <f t="shared" si="76"/>
        <v>-2.5987814429519887</v>
      </c>
      <c r="R618" s="13">
        <f t="shared" si="77"/>
        <v>-7.5935311336711719E-2</v>
      </c>
      <c r="S618" s="15">
        <f t="shared" si="78"/>
        <v>35.267973231772061</v>
      </c>
      <c r="T618" s="15">
        <f t="shared" si="79"/>
        <v>36.446442886716987</v>
      </c>
    </row>
    <row r="619" spans="1:20" x14ac:dyDescent="0.3">
      <c r="A619" s="5">
        <v>42255.083333333336</v>
      </c>
      <c r="B619" s="14">
        <v>70286.997810770496</v>
      </c>
      <c r="C619" s="14">
        <v>66639.698052811495</v>
      </c>
      <c r="D619" s="6">
        <v>1810</v>
      </c>
      <c r="E619" s="1">
        <v>2015</v>
      </c>
      <c r="F619" s="1">
        <v>9</v>
      </c>
      <c r="G619" s="1" t="s">
        <v>37</v>
      </c>
      <c r="H619" s="12">
        <v>42248</v>
      </c>
      <c r="I619" s="1">
        <v>8</v>
      </c>
      <c r="J619" s="1">
        <v>3</v>
      </c>
      <c r="K619" s="1" t="s">
        <v>23</v>
      </c>
      <c r="L619" s="1" t="s">
        <v>22</v>
      </c>
      <c r="M619" s="15">
        <f t="shared" si="72"/>
        <v>38.832595475563807</v>
      </c>
      <c r="N619" s="15">
        <f t="shared" si="73"/>
        <v>36.817512736359944</v>
      </c>
      <c r="O619" s="14">
        <f t="shared" si="74"/>
        <v>3647.299757959001</v>
      </c>
      <c r="P619" s="13">
        <f t="shared" si="75"/>
        <v>5.1891528612139748E-2</v>
      </c>
      <c r="Q619" s="15">
        <f t="shared" si="76"/>
        <v>2.0150827392038622</v>
      </c>
      <c r="R619" s="13">
        <f t="shared" si="77"/>
        <v>5.1891528612139602E-2</v>
      </c>
      <c r="S619" s="15">
        <f t="shared" si="78"/>
        <v>35.267973231772061</v>
      </c>
      <c r="T619" s="15">
        <f t="shared" si="79"/>
        <v>36.446212483114017</v>
      </c>
    </row>
    <row r="620" spans="1:20" x14ac:dyDescent="0.3">
      <c r="A620" s="5">
        <v>42256.083333333336</v>
      </c>
      <c r="B620" s="14">
        <v>76013.6779017105</v>
      </c>
      <c r="C620" s="14">
        <v>72211.103174650707</v>
      </c>
      <c r="D620" s="6">
        <v>1961</v>
      </c>
      <c r="E620" s="1">
        <v>2015</v>
      </c>
      <c r="F620" s="1">
        <v>9</v>
      </c>
      <c r="G620" s="1" t="s">
        <v>37</v>
      </c>
      <c r="H620" s="12">
        <v>42248</v>
      </c>
      <c r="I620" s="1">
        <v>9</v>
      </c>
      <c r="J620" s="1">
        <v>4</v>
      </c>
      <c r="K620" s="1" t="s">
        <v>25</v>
      </c>
      <c r="L620" s="1" t="s">
        <v>22</v>
      </c>
      <c r="M620" s="15">
        <f t="shared" si="72"/>
        <v>38.762711831570883</v>
      </c>
      <c r="N620" s="15">
        <f t="shared" si="73"/>
        <v>36.823612021749469</v>
      </c>
      <c r="O620" s="14">
        <f t="shared" si="74"/>
        <v>3802.5747270597931</v>
      </c>
      <c r="P620" s="13">
        <f t="shared" si="75"/>
        <v>5.0024874891288817E-2</v>
      </c>
      <c r="Q620" s="15">
        <f t="shared" si="76"/>
        <v>1.9390998098214141</v>
      </c>
      <c r="R620" s="13">
        <f t="shared" si="77"/>
        <v>5.0024874891288811E-2</v>
      </c>
      <c r="S620" s="15">
        <f t="shared" si="78"/>
        <v>35.267973231772061</v>
      </c>
      <c r="T620" s="15">
        <f t="shared" si="79"/>
        <v>36.451178563682923</v>
      </c>
    </row>
    <row r="621" spans="1:20" x14ac:dyDescent="0.3">
      <c r="A621" s="5">
        <v>42257.083333333336</v>
      </c>
      <c r="B621" s="14">
        <v>48406.7871467402</v>
      </c>
      <c r="C621" s="14">
        <v>45316.542733610797</v>
      </c>
      <c r="D621" s="6">
        <v>1232</v>
      </c>
      <c r="E621" s="1">
        <v>2015</v>
      </c>
      <c r="F621" s="1">
        <v>9</v>
      </c>
      <c r="G621" s="1" t="s">
        <v>37</v>
      </c>
      <c r="H621" s="12">
        <v>42248</v>
      </c>
      <c r="I621" s="1">
        <v>10</v>
      </c>
      <c r="J621" s="1">
        <v>5</v>
      </c>
      <c r="K621" s="1" t="s">
        <v>26</v>
      </c>
      <c r="L621" s="1" t="s">
        <v>22</v>
      </c>
      <c r="M621" s="15">
        <f t="shared" si="72"/>
        <v>39.29122333339302</v>
      </c>
      <c r="N621" s="15">
        <f t="shared" si="73"/>
        <v>36.78290806299578</v>
      </c>
      <c r="O621" s="14">
        <f t="shared" si="74"/>
        <v>3090.2444131294033</v>
      </c>
      <c r="P621" s="13">
        <f t="shared" si="75"/>
        <v>6.3839072892023285E-2</v>
      </c>
      <c r="Q621" s="15">
        <f t="shared" si="76"/>
        <v>2.5083152703972402</v>
      </c>
      <c r="R621" s="13">
        <f t="shared" si="77"/>
        <v>6.3839072892023216E-2</v>
      </c>
      <c r="S621" s="15">
        <f t="shared" si="78"/>
        <v>35.267973231772061</v>
      </c>
      <c r="T621" s="15">
        <f t="shared" si="79"/>
        <v>36.477304241286106</v>
      </c>
    </row>
    <row r="622" spans="1:20" x14ac:dyDescent="0.3">
      <c r="A622" s="5">
        <v>42258.083333333336</v>
      </c>
      <c r="B622" s="14">
        <v>85940.026940790005</v>
      </c>
      <c r="C622" s="14">
        <v>81559.845623272005</v>
      </c>
      <c r="D622" s="6">
        <v>2194</v>
      </c>
      <c r="E622" s="1">
        <v>2015</v>
      </c>
      <c r="F622" s="1">
        <v>9</v>
      </c>
      <c r="G622" s="1" t="s">
        <v>37</v>
      </c>
      <c r="H622" s="12">
        <v>42248</v>
      </c>
      <c r="I622" s="1">
        <v>11</v>
      </c>
      <c r="J622" s="1">
        <v>6</v>
      </c>
      <c r="K622" s="1" t="s">
        <v>27</v>
      </c>
      <c r="L622" s="1" t="s">
        <v>22</v>
      </c>
      <c r="M622" s="15">
        <f t="shared" si="72"/>
        <v>39.17047718358706</v>
      </c>
      <c r="N622" s="15">
        <f t="shared" si="73"/>
        <v>37.174040849257977</v>
      </c>
      <c r="O622" s="14">
        <f t="shared" si="74"/>
        <v>4380.1813175179996</v>
      </c>
      <c r="P622" s="13">
        <f t="shared" si="75"/>
        <v>5.0967883923701905E-2</v>
      </c>
      <c r="Q622" s="15">
        <f t="shared" si="76"/>
        <v>1.9964363343290827</v>
      </c>
      <c r="R622" s="13">
        <f t="shared" si="77"/>
        <v>5.0967883923701995E-2</v>
      </c>
      <c r="S622" s="15">
        <f t="shared" si="78"/>
        <v>35.267973231772061</v>
      </c>
      <c r="T622" s="15">
        <f t="shared" si="79"/>
        <v>36.510607060269457</v>
      </c>
    </row>
    <row r="623" spans="1:20" x14ac:dyDescent="0.3">
      <c r="A623" s="5">
        <v>42259.083333333336</v>
      </c>
      <c r="B623" s="14">
        <v>57381.751454185403</v>
      </c>
      <c r="C623" s="14">
        <v>54340.891509322901</v>
      </c>
      <c r="D623" s="6">
        <v>1469</v>
      </c>
      <c r="E623" s="1">
        <v>2015</v>
      </c>
      <c r="F623" s="1">
        <v>9</v>
      </c>
      <c r="G623" s="1" t="s">
        <v>37</v>
      </c>
      <c r="H623" s="12">
        <v>42248</v>
      </c>
      <c r="I623" s="1">
        <v>12</v>
      </c>
      <c r="J623" s="1">
        <v>7</v>
      </c>
      <c r="K623" s="1" t="s">
        <v>28</v>
      </c>
      <c r="L623" s="1" t="s">
        <v>22</v>
      </c>
      <c r="M623" s="15">
        <f t="shared" si="72"/>
        <v>39.061777708771551</v>
      </c>
      <c r="N623" s="15">
        <f t="shared" si="73"/>
        <v>36.991757324249761</v>
      </c>
      <c r="O623" s="14">
        <f t="shared" si="74"/>
        <v>3040.8599448625027</v>
      </c>
      <c r="P623" s="13">
        <f t="shared" si="75"/>
        <v>5.2993501728339165E-2</v>
      </c>
      <c r="Q623" s="15">
        <f t="shared" si="76"/>
        <v>2.0700203845217899</v>
      </c>
      <c r="R623" s="13">
        <f t="shared" si="77"/>
        <v>5.2993501728339283E-2</v>
      </c>
      <c r="S623" s="15">
        <f t="shared" si="78"/>
        <v>35.267973231772061</v>
      </c>
      <c r="T623" s="15">
        <f t="shared" si="79"/>
        <v>36.541703062480352</v>
      </c>
    </row>
    <row r="624" spans="1:20" x14ac:dyDescent="0.3">
      <c r="A624" s="5">
        <v>42260.083333333336</v>
      </c>
      <c r="B624" s="14">
        <v>32479.7963942551</v>
      </c>
      <c r="C624" s="14">
        <v>30763.688117313301</v>
      </c>
      <c r="D624" s="6">
        <v>829</v>
      </c>
      <c r="E624" s="1">
        <v>2015</v>
      </c>
      <c r="F624" s="1">
        <v>9</v>
      </c>
      <c r="G624" s="1" t="s">
        <v>37</v>
      </c>
      <c r="H624" s="12">
        <v>42248</v>
      </c>
      <c r="I624" s="1">
        <v>13</v>
      </c>
      <c r="J624" s="1">
        <v>1</v>
      </c>
      <c r="K624" s="1" t="s">
        <v>29</v>
      </c>
      <c r="L624" s="1" t="s">
        <v>22</v>
      </c>
      <c r="M624" s="15">
        <f t="shared" si="72"/>
        <v>39.179489015989262</v>
      </c>
      <c r="N624" s="15">
        <f t="shared" si="73"/>
        <v>37.109394592657779</v>
      </c>
      <c r="O624" s="14">
        <f t="shared" si="74"/>
        <v>1716.108276941799</v>
      </c>
      <c r="P624" s="13">
        <f t="shared" si="75"/>
        <v>5.2836177176447376E-2</v>
      </c>
      <c r="Q624" s="15">
        <f t="shared" si="76"/>
        <v>2.0700944233314829</v>
      </c>
      <c r="R624" s="13">
        <f t="shared" si="77"/>
        <v>5.2836177176447383E-2</v>
      </c>
      <c r="S624" s="15">
        <f t="shared" si="78"/>
        <v>35.267973231772061</v>
      </c>
      <c r="T624" s="15">
        <f t="shared" si="79"/>
        <v>36.574965411038541</v>
      </c>
    </row>
    <row r="625" spans="1:20" x14ac:dyDescent="0.3">
      <c r="A625" s="5">
        <v>42261.083333333336</v>
      </c>
      <c r="B625" s="14">
        <v>52160.183933415399</v>
      </c>
      <c r="C625" s="14">
        <v>49656.007748568802</v>
      </c>
      <c r="D625" s="6">
        <v>1329</v>
      </c>
      <c r="E625" s="1">
        <v>2015</v>
      </c>
      <c r="F625" s="1">
        <v>9</v>
      </c>
      <c r="G625" s="1" t="s">
        <v>37</v>
      </c>
      <c r="H625" s="12">
        <v>42248</v>
      </c>
      <c r="I625" s="1">
        <v>14</v>
      </c>
      <c r="J625" s="1">
        <v>2</v>
      </c>
      <c r="K625" s="1" t="s">
        <v>21</v>
      </c>
      <c r="L625" s="1" t="s">
        <v>22</v>
      </c>
      <c r="M625" s="15">
        <f t="shared" si="72"/>
        <v>39.247692952156058</v>
      </c>
      <c r="N625" s="15">
        <f t="shared" si="73"/>
        <v>37.363436981616857</v>
      </c>
      <c r="O625" s="14">
        <f t="shared" si="74"/>
        <v>2504.1761848465976</v>
      </c>
      <c r="P625" s="13">
        <f t="shared" si="75"/>
        <v>4.8009343449464836E-2</v>
      </c>
      <c r="Q625" s="15">
        <f t="shared" si="76"/>
        <v>1.8842559705392006</v>
      </c>
      <c r="R625" s="13">
        <f t="shared" si="77"/>
        <v>4.8009343449464836E-2</v>
      </c>
      <c r="S625" s="15">
        <f t="shared" si="78"/>
        <v>35.267973231772061</v>
      </c>
      <c r="T625" s="15">
        <f t="shared" si="79"/>
        <v>36.608906218550636</v>
      </c>
    </row>
    <row r="626" spans="1:20" x14ac:dyDescent="0.3">
      <c r="A626" s="5">
        <v>42262.083333333336</v>
      </c>
      <c r="B626" s="14">
        <v>51002.839569495198</v>
      </c>
      <c r="C626" s="14">
        <v>48601.967504707303</v>
      </c>
      <c r="D626" s="6">
        <v>1300</v>
      </c>
      <c r="E626" s="1">
        <v>2015</v>
      </c>
      <c r="F626" s="1">
        <v>9</v>
      </c>
      <c r="G626" s="1" t="s">
        <v>37</v>
      </c>
      <c r="H626" s="12">
        <v>42248</v>
      </c>
      <c r="I626" s="1">
        <v>15</v>
      </c>
      <c r="J626" s="1">
        <v>3</v>
      </c>
      <c r="K626" s="1" t="s">
        <v>23</v>
      </c>
      <c r="L626" s="1" t="s">
        <v>22</v>
      </c>
      <c r="M626" s="15">
        <f t="shared" si="72"/>
        <v>39.232953514996304</v>
      </c>
      <c r="N626" s="15">
        <f t="shared" si="73"/>
        <v>37.386128849774849</v>
      </c>
      <c r="O626" s="14">
        <f t="shared" si="74"/>
        <v>2400.8720647878945</v>
      </c>
      <c r="P626" s="13">
        <f t="shared" si="75"/>
        <v>4.7073301899525147E-2</v>
      </c>
      <c r="Q626" s="15">
        <f t="shared" si="76"/>
        <v>1.8468246652214546</v>
      </c>
      <c r="R626" s="13">
        <f t="shared" si="77"/>
        <v>4.7073301899525077E-2</v>
      </c>
      <c r="S626" s="15">
        <f t="shared" si="78"/>
        <v>35.267973231772061</v>
      </c>
      <c r="T626" s="15">
        <f t="shared" si="79"/>
        <v>36.647359777950463</v>
      </c>
    </row>
    <row r="627" spans="1:20" x14ac:dyDescent="0.3">
      <c r="A627" s="5">
        <v>42263.083333333336</v>
      </c>
      <c r="B627" s="14">
        <v>30194.715956215099</v>
      </c>
      <c r="C627" s="14">
        <v>28605.4607976138</v>
      </c>
      <c r="D627" s="6">
        <v>773</v>
      </c>
      <c r="E627" s="1">
        <v>2015</v>
      </c>
      <c r="F627" s="1">
        <v>9</v>
      </c>
      <c r="G627" s="1" t="s">
        <v>37</v>
      </c>
      <c r="H627" s="12">
        <v>42248</v>
      </c>
      <c r="I627" s="1">
        <v>16</v>
      </c>
      <c r="J627" s="1">
        <v>4</v>
      </c>
      <c r="K627" s="1" t="s">
        <v>25</v>
      </c>
      <c r="L627" s="1" t="s">
        <v>22</v>
      </c>
      <c r="M627" s="15">
        <f t="shared" si="72"/>
        <v>39.06172827453441</v>
      </c>
      <c r="N627" s="15">
        <f t="shared" si="73"/>
        <v>37.005770760173093</v>
      </c>
      <c r="O627" s="14">
        <f t="shared" si="74"/>
        <v>1589.2551586012996</v>
      </c>
      <c r="P627" s="13">
        <f t="shared" si="75"/>
        <v>5.2633552205155844E-2</v>
      </c>
      <c r="Q627" s="15">
        <f t="shared" si="76"/>
        <v>2.0559575143613174</v>
      </c>
      <c r="R627" s="13">
        <f t="shared" si="77"/>
        <v>5.2633552205155802E-2</v>
      </c>
      <c r="S627" s="15">
        <f t="shared" si="78"/>
        <v>35.267973231772061</v>
      </c>
      <c r="T627" s="15">
        <f t="shared" si="79"/>
        <v>36.679317299264717</v>
      </c>
    </row>
    <row r="628" spans="1:20" x14ac:dyDescent="0.3">
      <c r="A628" s="5">
        <v>42264.083333333336</v>
      </c>
      <c r="B628" s="14">
        <v>29751.2226055551</v>
      </c>
      <c r="C628" s="14">
        <v>28084.2351283641</v>
      </c>
      <c r="D628" s="6">
        <v>760</v>
      </c>
      <c r="E628" s="1">
        <v>2015</v>
      </c>
      <c r="F628" s="1">
        <v>9</v>
      </c>
      <c r="G628" s="1" t="s">
        <v>37</v>
      </c>
      <c r="H628" s="12">
        <v>42248</v>
      </c>
      <c r="I628" s="1">
        <v>17</v>
      </c>
      <c r="J628" s="1">
        <v>5</v>
      </c>
      <c r="K628" s="1" t="s">
        <v>26</v>
      </c>
      <c r="L628" s="1" t="s">
        <v>22</v>
      </c>
      <c r="M628" s="15">
        <f t="shared" si="72"/>
        <v>39.14634553362513</v>
      </c>
      <c r="N628" s="15">
        <f t="shared" si="73"/>
        <v>36.952940958373816</v>
      </c>
      <c r="O628" s="14">
        <f t="shared" si="74"/>
        <v>1666.9874771909999</v>
      </c>
      <c r="P628" s="13">
        <f t="shared" si="75"/>
        <v>5.6030889866009834E-2</v>
      </c>
      <c r="Q628" s="15">
        <f t="shared" si="76"/>
        <v>2.1934045752513143</v>
      </c>
      <c r="R628" s="13">
        <f t="shared" si="77"/>
        <v>5.6030889866009799E-2</v>
      </c>
      <c r="S628" s="15">
        <f t="shared" si="78"/>
        <v>35.267973231772061</v>
      </c>
      <c r="T628" s="15">
        <f t="shared" si="79"/>
        <v>36.712829898660139</v>
      </c>
    </row>
    <row r="629" spans="1:20" x14ac:dyDescent="0.3">
      <c r="A629" s="5">
        <v>42265.083333333336</v>
      </c>
      <c r="B629" s="14">
        <v>68504.639437535399</v>
      </c>
      <c r="C629" s="14">
        <v>64881.975648256899</v>
      </c>
      <c r="D629" s="6">
        <v>1755</v>
      </c>
      <c r="E629" s="1">
        <v>2015</v>
      </c>
      <c r="F629" s="1">
        <v>9</v>
      </c>
      <c r="G629" s="1" t="s">
        <v>37</v>
      </c>
      <c r="H629" s="12">
        <v>42248</v>
      </c>
      <c r="I629" s="1">
        <v>18</v>
      </c>
      <c r="J629" s="1">
        <v>6</v>
      </c>
      <c r="K629" s="1" t="s">
        <v>27</v>
      </c>
      <c r="L629" s="1" t="s">
        <v>22</v>
      </c>
      <c r="M629" s="15">
        <f t="shared" si="72"/>
        <v>39.033982585490257</v>
      </c>
      <c r="N629" s="15">
        <f t="shared" si="73"/>
        <v>36.969786694163474</v>
      </c>
      <c r="O629" s="14">
        <f t="shared" si="74"/>
        <v>3622.6637892785002</v>
      </c>
      <c r="P629" s="13">
        <f t="shared" si="75"/>
        <v>5.2882021115982288E-2</v>
      </c>
      <c r="Q629" s="15">
        <f t="shared" si="76"/>
        <v>2.0641958913267828</v>
      </c>
      <c r="R629" s="13">
        <f t="shared" si="77"/>
        <v>5.2882021115982343E-2</v>
      </c>
      <c r="S629" s="15">
        <f t="shared" si="78"/>
        <v>35.267973231772061</v>
      </c>
      <c r="T629" s="15">
        <f t="shared" si="79"/>
        <v>36.731722960829337</v>
      </c>
    </row>
    <row r="630" spans="1:20" x14ac:dyDescent="0.3">
      <c r="A630" s="5">
        <v>42266.083333333336</v>
      </c>
      <c r="B630" s="14">
        <v>68996.561757290503</v>
      </c>
      <c r="C630" s="14">
        <v>65211.571770941198</v>
      </c>
      <c r="D630" s="6">
        <v>1766</v>
      </c>
      <c r="E630" s="1">
        <v>2015</v>
      </c>
      <c r="F630" s="1">
        <v>9</v>
      </c>
      <c r="G630" s="1" t="s">
        <v>37</v>
      </c>
      <c r="H630" s="12">
        <v>42248</v>
      </c>
      <c r="I630" s="1">
        <v>19</v>
      </c>
      <c r="J630" s="1">
        <v>7</v>
      </c>
      <c r="K630" s="1" t="s">
        <v>28</v>
      </c>
      <c r="L630" s="1" t="s">
        <v>22</v>
      </c>
      <c r="M630" s="15">
        <f t="shared" si="72"/>
        <v>39.069400768567668</v>
      </c>
      <c r="N630" s="15">
        <f t="shared" si="73"/>
        <v>36.926144830657528</v>
      </c>
      <c r="O630" s="14">
        <f t="shared" si="74"/>
        <v>3784.9899863493047</v>
      </c>
      <c r="P630" s="13">
        <f t="shared" si="75"/>
        <v>5.4857660873940069E-2</v>
      </c>
      <c r="Q630" s="15">
        <f t="shared" si="76"/>
        <v>2.1432559379101406</v>
      </c>
      <c r="R630" s="13">
        <f t="shared" si="77"/>
        <v>5.4857660873940117E-2</v>
      </c>
      <c r="S630" s="15">
        <f t="shared" si="78"/>
        <v>35.267973231772061</v>
      </c>
      <c r="T630" s="15">
        <f t="shared" si="79"/>
        <v>36.750731126323849</v>
      </c>
    </row>
    <row r="631" spans="1:20" x14ac:dyDescent="0.3">
      <c r="A631" s="5">
        <v>42267.083333333336</v>
      </c>
      <c r="B631" s="14">
        <v>41855.928759400202</v>
      </c>
      <c r="C631" s="14">
        <v>39629.451872277503</v>
      </c>
      <c r="D631" s="6">
        <v>1078</v>
      </c>
      <c r="E631" s="1">
        <v>2015</v>
      </c>
      <c r="F631" s="1">
        <v>9</v>
      </c>
      <c r="G631" s="1" t="s">
        <v>37</v>
      </c>
      <c r="H631" s="12">
        <v>42248</v>
      </c>
      <c r="I631" s="1">
        <v>20</v>
      </c>
      <c r="J631" s="1">
        <v>1</v>
      </c>
      <c r="K631" s="1" t="s">
        <v>29</v>
      </c>
      <c r="L631" s="1" t="s">
        <v>22</v>
      </c>
      <c r="M631" s="15">
        <f t="shared" si="72"/>
        <v>38.827392170130054</v>
      </c>
      <c r="N631" s="15">
        <f t="shared" si="73"/>
        <v>36.762014723819576</v>
      </c>
      <c r="O631" s="14">
        <f t="shared" si="74"/>
        <v>2226.4768871226988</v>
      </c>
      <c r="P631" s="13">
        <f t="shared" si="75"/>
        <v>5.3193823506369239E-2</v>
      </c>
      <c r="Q631" s="15">
        <f t="shared" si="76"/>
        <v>2.0653774463104781</v>
      </c>
      <c r="R631" s="13">
        <f t="shared" si="77"/>
        <v>5.3193823506369163E-2</v>
      </c>
      <c r="S631" s="15">
        <f t="shared" si="78"/>
        <v>35.267973231772061</v>
      </c>
      <c r="T631" s="15">
        <f t="shared" si="79"/>
        <v>36.770612576377424</v>
      </c>
    </row>
    <row r="632" spans="1:20" x14ac:dyDescent="0.3">
      <c r="A632" s="5">
        <v>42268.083333333336</v>
      </c>
      <c r="B632" s="14">
        <v>44303.4664859002</v>
      </c>
      <c r="C632" s="14">
        <v>41485.458718801397</v>
      </c>
      <c r="D632" s="6">
        <v>1124</v>
      </c>
      <c r="E632" s="1">
        <v>2015</v>
      </c>
      <c r="F632" s="1">
        <v>9</v>
      </c>
      <c r="G632" s="1" t="s">
        <v>37</v>
      </c>
      <c r="H632" s="12">
        <v>42248</v>
      </c>
      <c r="I632" s="1">
        <v>21</v>
      </c>
      <c r="J632" s="1">
        <v>2</v>
      </c>
      <c r="K632" s="1" t="s">
        <v>21</v>
      </c>
      <c r="L632" s="1" t="s">
        <v>22</v>
      </c>
      <c r="M632" s="15">
        <f t="shared" si="72"/>
        <v>39.415895450089145</v>
      </c>
      <c r="N632" s="15">
        <f t="shared" si="73"/>
        <v>36.908771102136477</v>
      </c>
      <c r="O632" s="14">
        <f t="shared" si="74"/>
        <v>2818.007767098803</v>
      </c>
      <c r="P632" s="13">
        <f t="shared" si="75"/>
        <v>6.3606936220118301E-2</v>
      </c>
      <c r="Q632" s="15">
        <f t="shared" si="76"/>
        <v>2.5071243479526686</v>
      </c>
      <c r="R632" s="13">
        <f t="shared" si="77"/>
        <v>6.3606936220118232E-2</v>
      </c>
      <c r="S632" s="15">
        <f t="shared" si="78"/>
        <v>35.267973231772061</v>
      </c>
      <c r="T632" s="15">
        <f t="shared" si="79"/>
        <v>36.811518320712267</v>
      </c>
    </row>
    <row r="633" spans="1:20" x14ac:dyDescent="0.3">
      <c r="A633" s="5">
        <v>42269.083333333336</v>
      </c>
      <c r="B633" s="14">
        <v>46599.298130810203</v>
      </c>
      <c r="C633" s="14">
        <v>43806.732010435902</v>
      </c>
      <c r="D633" s="6">
        <v>1182</v>
      </c>
      <c r="E633" s="1">
        <v>2015</v>
      </c>
      <c r="F633" s="1">
        <v>9</v>
      </c>
      <c r="G633" s="1" t="s">
        <v>37</v>
      </c>
      <c r="H633" s="12">
        <v>42248</v>
      </c>
      <c r="I633" s="1">
        <v>22</v>
      </c>
      <c r="J633" s="1">
        <v>3</v>
      </c>
      <c r="K633" s="1" t="s">
        <v>23</v>
      </c>
      <c r="L633" s="1" t="s">
        <v>22</v>
      </c>
      <c r="M633" s="15">
        <f t="shared" si="72"/>
        <v>39.424110093748055</v>
      </c>
      <c r="N633" s="15">
        <f t="shared" si="73"/>
        <v>37.061533003752878</v>
      </c>
      <c r="O633" s="14">
        <f t="shared" si="74"/>
        <v>2792.5661203743002</v>
      </c>
      <c r="P633" s="13">
        <f t="shared" si="75"/>
        <v>5.992721419398226E-2</v>
      </c>
      <c r="Q633" s="15">
        <f t="shared" si="76"/>
        <v>2.3625770899951775</v>
      </c>
      <c r="R633" s="13">
        <f t="shared" si="77"/>
        <v>5.9927214193982253E-2</v>
      </c>
      <c r="S633" s="15">
        <f t="shared" si="78"/>
        <v>35.267973231772061</v>
      </c>
      <c r="T633" s="15">
        <f t="shared" si="79"/>
        <v>36.831066184419107</v>
      </c>
    </row>
    <row r="634" spans="1:20" x14ac:dyDescent="0.3">
      <c r="A634" s="5">
        <v>42270.083333333336</v>
      </c>
      <c r="B634" s="14">
        <v>125182.757165348</v>
      </c>
      <c r="C634" s="14">
        <v>138583.83781621599</v>
      </c>
      <c r="D634" s="6">
        <v>3725</v>
      </c>
      <c r="E634" s="1">
        <v>2015</v>
      </c>
      <c r="F634" s="1">
        <v>9</v>
      </c>
      <c r="G634" s="1" t="s">
        <v>37</v>
      </c>
      <c r="H634" s="12">
        <v>42248</v>
      </c>
      <c r="I634" s="1">
        <v>23</v>
      </c>
      <c r="J634" s="1">
        <v>4</v>
      </c>
      <c r="K634" s="1" t="s">
        <v>25</v>
      </c>
      <c r="L634" s="1" t="s">
        <v>22</v>
      </c>
      <c r="M634" s="15">
        <f t="shared" si="72"/>
        <v>33.606109306133689</v>
      </c>
      <c r="N634" s="15">
        <f t="shared" si="73"/>
        <v>37.203714849990874</v>
      </c>
      <c r="O634" s="14">
        <f t="shared" si="74"/>
        <v>-13401.080650867996</v>
      </c>
      <c r="P634" s="13">
        <f t="shared" si="75"/>
        <v>-0.10705212885802748</v>
      </c>
      <c r="Q634" s="15">
        <f t="shared" si="76"/>
        <v>-3.5976055438571848</v>
      </c>
      <c r="R634" s="13">
        <f t="shared" si="77"/>
        <v>-0.10705212885802762</v>
      </c>
      <c r="S634" s="15">
        <f t="shared" si="78"/>
        <v>35.267973231772061</v>
      </c>
      <c r="T634" s="15">
        <f t="shared" si="79"/>
        <v>36.654526129982081</v>
      </c>
    </row>
    <row r="635" spans="1:20" x14ac:dyDescent="0.3">
      <c r="A635" s="5">
        <v>42271.083333333336</v>
      </c>
      <c r="B635" s="14">
        <v>150036.805041618</v>
      </c>
      <c r="C635" s="14">
        <v>167704.855406774</v>
      </c>
      <c r="D635" s="6">
        <v>4492</v>
      </c>
      <c r="E635" s="1">
        <v>2015</v>
      </c>
      <c r="F635" s="1">
        <v>9</v>
      </c>
      <c r="G635" s="1" t="s">
        <v>37</v>
      </c>
      <c r="H635" s="12">
        <v>42248</v>
      </c>
      <c r="I635" s="1">
        <v>24</v>
      </c>
      <c r="J635" s="1">
        <v>5</v>
      </c>
      <c r="K635" s="1" t="s">
        <v>26</v>
      </c>
      <c r="L635" s="1" t="s">
        <v>22</v>
      </c>
      <c r="M635" s="15">
        <f t="shared" si="72"/>
        <v>33.400891594304987</v>
      </c>
      <c r="N635" s="15">
        <f t="shared" si="73"/>
        <v>37.33411741023464</v>
      </c>
      <c r="O635" s="14">
        <f t="shared" si="74"/>
        <v>-17668.050365155999</v>
      </c>
      <c r="P635" s="13">
        <f t="shared" si="75"/>
        <v>-0.11775810848714849</v>
      </c>
      <c r="Q635" s="15">
        <f t="shared" si="76"/>
        <v>-3.9332258159296529</v>
      </c>
      <c r="R635" s="13">
        <f t="shared" si="77"/>
        <v>-0.11775810848714849</v>
      </c>
      <c r="S635" s="15">
        <f t="shared" si="78"/>
        <v>35.267973231772061</v>
      </c>
      <c r="T635" s="15">
        <f t="shared" si="79"/>
        <v>36.626991058052077</v>
      </c>
    </row>
    <row r="636" spans="1:20" x14ac:dyDescent="0.3">
      <c r="A636" s="5">
        <v>42272.083333333336</v>
      </c>
      <c r="B636" s="14">
        <v>368037.69194465899</v>
      </c>
      <c r="C636" s="14">
        <v>413540.807164328</v>
      </c>
      <c r="D636" s="6">
        <v>11030</v>
      </c>
      <c r="E636" s="1">
        <v>2015</v>
      </c>
      <c r="F636" s="1">
        <v>9</v>
      </c>
      <c r="G636" s="1" t="s">
        <v>37</v>
      </c>
      <c r="H636" s="12">
        <v>42248</v>
      </c>
      <c r="I636" s="1">
        <v>25</v>
      </c>
      <c r="J636" s="1">
        <v>6</v>
      </c>
      <c r="K636" s="1" t="s">
        <v>27</v>
      </c>
      <c r="L636" s="1" t="s">
        <v>22</v>
      </c>
      <c r="M636" s="15">
        <f t="shared" si="72"/>
        <v>33.366971164520308</v>
      </c>
      <c r="N636" s="15">
        <f t="shared" si="73"/>
        <v>37.492366923329826</v>
      </c>
      <c r="O636" s="14">
        <f t="shared" si="74"/>
        <v>-45503.115219669009</v>
      </c>
      <c r="P636" s="13">
        <f t="shared" si="75"/>
        <v>-0.12363710624104014</v>
      </c>
      <c r="Q636" s="15">
        <f t="shared" si="76"/>
        <v>-4.1253957588095176</v>
      </c>
      <c r="R636" s="13">
        <f t="shared" si="77"/>
        <v>-0.12363710624104006</v>
      </c>
      <c r="S636" s="15">
        <f t="shared" si="78"/>
        <v>35.267973231772061</v>
      </c>
      <c r="T636" s="15">
        <f t="shared" si="79"/>
        <v>36.5964779131059</v>
      </c>
    </row>
    <row r="637" spans="1:20" x14ac:dyDescent="0.3">
      <c r="A637" s="5">
        <v>42273.083333333336</v>
      </c>
      <c r="B637" s="14">
        <v>351319.63806908001</v>
      </c>
      <c r="C637" s="14">
        <v>397626.585058456</v>
      </c>
      <c r="D637" s="6">
        <v>10528</v>
      </c>
      <c r="E637" s="1">
        <v>2015</v>
      </c>
      <c r="F637" s="1">
        <v>9</v>
      </c>
      <c r="G637" s="1" t="s">
        <v>37</v>
      </c>
      <c r="H637" s="12">
        <v>42248</v>
      </c>
      <c r="I637" s="1">
        <v>26</v>
      </c>
      <c r="J637" s="1">
        <v>7</v>
      </c>
      <c r="K637" s="1" t="s">
        <v>28</v>
      </c>
      <c r="L637" s="1" t="s">
        <v>22</v>
      </c>
      <c r="M637" s="15">
        <f t="shared" si="72"/>
        <v>33.370026412336628</v>
      </c>
      <c r="N637" s="15">
        <f t="shared" si="73"/>
        <v>37.76848262333359</v>
      </c>
      <c r="O637" s="14">
        <f t="shared" si="74"/>
        <v>-46306.946989375982</v>
      </c>
      <c r="P637" s="13">
        <f t="shared" si="75"/>
        <v>-0.1318085924370406</v>
      </c>
      <c r="Q637" s="15">
        <f t="shared" si="76"/>
        <v>-4.3984562109969616</v>
      </c>
      <c r="R637" s="13">
        <f t="shared" si="77"/>
        <v>-0.13180859243704068</v>
      </c>
      <c r="S637" s="15">
        <f t="shared" si="78"/>
        <v>35.267973231772061</v>
      </c>
      <c r="T637" s="15">
        <f t="shared" si="79"/>
        <v>36.566580588840324</v>
      </c>
    </row>
    <row r="638" spans="1:20" x14ac:dyDescent="0.3">
      <c r="A638" s="5">
        <v>42274.083333333336</v>
      </c>
      <c r="B638" s="14">
        <v>163289.936668804</v>
      </c>
      <c r="C638" s="14">
        <v>185404.04401051</v>
      </c>
      <c r="D638" s="6">
        <v>4895</v>
      </c>
      <c r="E638" s="1">
        <v>2015</v>
      </c>
      <c r="F638" s="1">
        <v>9</v>
      </c>
      <c r="G638" s="1" t="s">
        <v>37</v>
      </c>
      <c r="H638" s="12">
        <v>42248</v>
      </c>
      <c r="I638" s="1">
        <v>27</v>
      </c>
      <c r="J638" s="1">
        <v>1</v>
      </c>
      <c r="K638" s="1" t="s">
        <v>29</v>
      </c>
      <c r="L638" s="1" t="s">
        <v>22</v>
      </c>
      <c r="M638" s="15">
        <f t="shared" si="72"/>
        <v>33.358516173402251</v>
      </c>
      <c r="N638" s="15">
        <f t="shared" si="73"/>
        <v>37.876209195201227</v>
      </c>
      <c r="O638" s="14">
        <f t="shared" si="74"/>
        <v>-22114.107341705996</v>
      </c>
      <c r="P638" s="13">
        <f t="shared" si="75"/>
        <v>-0.13542847644407729</v>
      </c>
      <c r="Q638" s="15">
        <f t="shared" si="76"/>
        <v>-4.5176930217989764</v>
      </c>
      <c r="R638" s="13">
        <f t="shared" si="77"/>
        <v>-0.13542847644407724</v>
      </c>
      <c r="S638" s="15">
        <f t="shared" si="78"/>
        <v>35.267973231772061</v>
      </c>
      <c r="T638" s="15">
        <f t="shared" si="79"/>
        <v>36.538080642518253</v>
      </c>
    </row>
    <row r="639" spans="1:20" x14ac:dyDescent="0.3">
      <c r="A639" s="5">
        <v>42275.083333333336</v>
      </c>
      <c r="B639" s="14">
        <v>190892.45898757601</v>
      </c>
      <c r="C639" s="14">
        <v>216571.05952146201</v>
      </c>
      <c r="D639" s="6">
        <v>5720</v>
      </c>
      <c r="E639" s="1">
        <v>2015</v>
      </c>
      <c r="F639" s="1">
        <v>9</v>
      </c>
      <c r="G639" s="1" t="s">
        <v>37</v>
      </c>
      <c r="H639" s="12">
        <v>42248</v>
      </c>
      <c r="I639" s="1">
        <v>28</v>
      </c>
      <c r="J639" s="1">
        <v>2</v>
      </c>
      <c r="K639" s="1" t="s">
        <v>21</v>
      </c>
      <c r="L639" s="1" t="s">
        <v>22</v>
      </c>
      <c r="M639" s="15">
        <f t="shared" si="72"/>
        <v>33.372807515310491</v>
      </c>
      <c r="N639" s="15">
        <f t="shared" si="73"/>
        <v>37.862073342912936</v>
      </c>
      <c r="O639" s="14">
        <f t="shared" si="74"/>
        <v>-25678.600533885998</v>
      </c>
      <c r="P639" s="13">
        <f t="shared" si="75"/>
        <v>-0.13451867438910856</v>
      </c>
      <c r="Q639" s="15">
        <f t="shared" si="76"/>
        <v>-4.4892658276024449</v>
      </c>
      <c r="R639" s="13">
        <f t="shared" si="77"/>
        <v>-0.1345186743891085</v>
      </c>
      <c r="S639" s="15">
        <f t="shared" si="78"/>
        <v>35.267973231772061</v>
      </c>
      <c r="T639" s="15">
        <f t="shared" si="79"/>
        <v>36.510420530990309</v>
      </c>
    </row>
    <row r="640" spans="1:20" x14ac:dyDescent="0.3">
      <c r="A640" s="5">
        <v>42276.083333333336</v>
      </c>
      <c r="B640" s="14">
        <v>143082.133265768</v>
      </c>
      <c r="C640" s="14">
        <v>162929.018472353</v>
      </c>
      <c r="D640" s="6">
        <v>4288</v>
      </c>
      <c r="E640" s="1">
        <v>2015</v>
      </c>
      <c r="F640" s="1">
        <v>9</v>
      </c>
      <c r="G640" s="1" t="s">
        <v>37</v>
      </c>
      <c r="H640" s="12">
        <v>42248</v>
      </c>
      <c r="I640" s="1">
        <v>29</v>
      </c>
      <c r="J640" s="1">
        <v>3</v>
      </c>
      <c r="K640" s="1" t="s">
        <v>23</v>
      </c>
      <c r="L640" s="1" t="s">
        <v>22</v>
      </c>
      <c r="M640" s="15">
        <f t="shared" si="72"/>
        <v>33.368034810113805</v>
      </c>
      <c r="N640" s="15">
        <f t="shared" si="73"/>
        <v>37.996506173589786</v>
      </c>
      <c r="O640" s="14">
        <f t="shared" si="74"/>
        <v>-19846.885206584993</v>
      </c>
      <c r="P640" s="13">
        <f t="shared" si="75"/>
        <v>-0.13870973792178778</v>
      </c>
      <c r="Q640" s="15">
        <f t="shared" si="76"/>
        <v>-4.6284713634759811</v>
      </c>
      <c r="R640" s="13">
        <f t="shared" si="77"/>
        <v>-0.1387097379217879</v>
      </c>
      <c r="S640" s="15">
        <f t="shared" si="78"/>
        <v>35.267973231772061</v>
      </c>
      <c r="T640" s="15">
        <f t="shared" si="79"/>
        <v>36.482546990558369</v>
      </c>
    </row>
    <row r="641" spans="1:20" x14ac:dyDescent="0.3">
      <c r="A641" s="5">
        <v>42277.083333333336</v>
      </c>
      <c r="B641" s="14">
        <v>323548.78534206899</v>
      </c>
      <c r="C641" s="14">
        <v>368434.88590886502</v>
      </c>
      <c r="D641" s="6">
        <v>9693</v>
      </c>
      <c r="E641" s="1">
        <v>2015</v>
      </c>
      <c r="F641" s="1">
        <v>9</v>
      </c>
      <c r="G641" s="1" t="s">
        <v>37</v>
      </c>
      <c r="H641" s="12">
        <v>42248</v>
      </c>
      <c r="I641" s="1">
        <v>30</v>
      </c>
      <c r="J641" s="1">
        <v>4</v>
      </c>
      <c r="K641" s="1" t="s">
        <v>25</v>
      </c>
      <c r="L641" s="1" t="s">
        <v>22</v>
      </c>
      <c r="M641" s="15">
        <f t="shared" si="72"/>
        <v>33.379633275773138</v>
      </c>
      <c r="N641" s="15">
        <f t="shared" si="73"/>
        <v>38.010408120175903</v>
      </c>
      <c r="O641" s="14">
        <f t="shared" si="74"/>
        <v>-44886.100566796027</v>
      </c>
      <c r="P641" s="13">
        <f t="shared" si="75"/>
        <v>-0.13873054883930597</v>
      </c>
      <c r="Q641" s="15">
        <f t="shared" si="76"/>
        <v>-4.6307748444027652</v>
      </c>
      <c r="R641" s="13">
        <f t="shared" si="77"/>
        <v>-0.13873054883930588</v>
      </c>
      <c r="S641" s="15">
        <f t="shared" si="78"/>
        <v>35.267973231772061</v>
      </c>
      <c r="T641" s="15">
        <f t="shared" si="79"/>
        <v>36.454853166516614</v>
      </c>
    </row>
    <row r="642" spans="1:20" x14ac:dyDescent="0.3">
      <c r="A642" s="5">
        <v>42278.083333333336</v>
      </c>
      <c r="B642" s="14">
        <v>402312.333158947</v>
      </c>
      <c r="C642" s="14">
        <v>459285.80452600698</v>
      </c>
      <c r="D642" s="6">
        <v>12065</v>
      </c>
      <c r="E642" s="1">
        <v>2015</v>
      </c>
      <c r="F642" s="1">
        <v>10</v>
      </c>
      <c r="G642" s="1" t="s">
        <v>38</v>
      </c>
      <c r="H642" s="12">
        <v>42278</v>
      </c>
      <c r="I642" s="1">
        <v>1</v>
      </c>
      <c r="J642" s="1">
        <v>5</v>
      </c>
      <c r="K642" s="1" t="s">
        <v>26</v>
      </c>
      <c r="L642" s="1" t="s">
        <v>22</v>
      </c>
      <c r="M642" s="15">
        <f t="shared" si="72"/>
        <v>33.345406809693081</v>
      </c>
      <c r="N642" s="15">
        <f t="shared" si="73"/>
        <v>38.067617449316785</v>
      </c>
      <c r="O642" s="14">
        <f t="shared" si="74"/>
        <v>-56973.471367059974</v>
      </c>
      <c r="P642" s="13">
        <f t="shared" si="75"/>
        <v>-0.14161502561879127</v>
      </c>
      <c r="Q642" s="15">
        <f t="shared" si="76"/>
        <v>-4.7222106396237038</v>
      </c>
      <c r="R642" s="13">
        <f t="shared" si="77"/>
        <v>-0.1416150256187913</v>
      </c>
      <c r="S642" s="15">
        <f t="shared" si="78"/>
        <v>35.267973231772061</v>
      </c>
      <c r="T642" s="15">
        <f t="shared" si="79"/>
        <v>36.426907511590002</v>
      </c>
    </row>
    <row r="643" spans="1:20" x14ac:dyDescent="0.3">
      <c r="A643" s="5">
        <v>42279.083333333336</v>
      </c>
      <c r="B643" s="14">
        <v>393635.17485489399</v>
      </c>
      <c r="C643" s="14">
        <v>448390.96576197399</v>
      </c>
      <c r="D643" s="6">
        <v>11758</v>
      </c>
      <c r="E643" s="1">
        <v>2015</v>
      </c>
      <c r="F643" s="1">
        <v>10</v>
      </c>
      <c r="G643" s="1" t="s">
        <v>38</v>
      </c>
      <c r="H643" s="12">
        <v>42278</v>
      </c>
      <c r="I643" s="1">
        <v>2</v>
      </c>
      <c r="J643" s="1">
        <v>6</v>
      </c>
      <c r="K643" s="1" t="s">
        <v>27</v>
      </c>
      <c r="L643" s="1" t="s">
        <v>22</v>
      </c>
      <c r="M643" s="15">
        <f t="shared" ref="M643:M706" si="80">IFERROR(B643/D643,0)</f>
        <v>33.478072363913419</v>
      </c>
      <c r="N643" s="15">
        <f t="shared" ref="N643:N706" si="81">IFERROR(C643/D643,0)</f>
        <v>38.13496902211039</v>
      </c>
      <c r="O643" s="14">
        <f t="shared" ref="O643:O706" si="82">B643-C643</f>
        <v>-54755.790907079994</v>
      </c>
      <c r="P643" s="13">
        <f t="shared" ref="P643:P706" si="83">IFERROR(O643/B643,0)</f>
        <v>-0.13910289121713948</v>
      </c>
      <c r="Q643" s="15">
        <f t="shared" ref="Q643:Q706" si="84">M643-N643</f>
        <v>-4.6568966581969704</v>
      </c>
      <c r="R643" s="13">
        <f t="shared" ref="R643:R706" si="85">IFERROR(Q643/M643,0)</f>
        <v>-0.13910289121713942</v>
      </c>
      <c r="S643" s="15">
        <f t="shared" ref="S643:S706" si="86">IFERROR(SUM($B$2:$B$1001)/SUM($D$2:$D$1001),0)</f>
        <v>35.267973231772061</v>
      </c>
      <c r="T643" s="15">
        <f t="shared" ref="T643:T706" si="87">AVERAGEIFS($M$2:$M$1001,$A$2:$A$1001,"&gt;="&amp;A643-29,$A$2:$A$1001,"&lt;="&amp;A643)</f>
        <v>36.401893444210216</v>
      </c>
    </row>
    <row r="644" spans="1:20" x14ac:dyDescent="0.3">
      <c r="A644" s="5">
        <v>42280.083333333336</v>
      </c>
      <c r="B644" s="14">
        <v>451100.06007685699</v>
      </c>
      <c r="C644" s="14">
        <v>515549.38991623401</v>
      </c>
      <c r="D644" s="6">
        <v>13508</v>
      </c>
      <c r="E644" s="1">
        <v>2015</v>
      </c>
      <c r="F644" s="1">
        <v>10</v>
      </c>
      <c r="G644" s="1" t="s">
        <v>38</v>
      </c>
      <c r="H644" s="12">
        <v>42278</v>
      </c>
      <c r="I644" s="1">
        <v>3</v>
      </c>
      <c r="J644" s="1">
        <v>7</v>
      </c>
      <c r="K644" s="1" t="s">
        <v>28</v>
      </c>
      <c r="L644" s="1" t="s">
        <v>22</v>
      </c>
      <c r="M644" s="15">
        <f t="shared" si="80"/>
        <v>33.39502961777147</v>
      </c>
      <c r="N644" s="15">
        <f t="shared" si="81"/>
        <v>38.166226674284424</v>
      </c>
      <c r="O644" s="14">
        <f t="shared" si="82"/>
        <v>-64449.329839377024</v>
      </c>
      <c r="P644" s="13">
        <f t="shared" si="83"/>
        <v>-0.14287147252517846</v>
      </c>
      <c r="Q644" s="15">
        <f t="shared" si="84"/>
        <v>-4.7711970565129533</v>
      </c>
      <c r="R644" s="13">
        <f t="shared" si="85"/>
        <v>-0.14287147252517834</v>
      </c>
      <c r="S644" s="15">
        <f t="shared" si="86"/>
        <v>35.267973231772061</v>
      </c>
      <c r="T644" s="15">
        <f t="shared" si="87"/>
        <v>36.374760875154685</v>
      </c>
    </row>
    <row r="645" spans="1:20" x14ac:dyDescent="0.3">
      <c r="A645" s="5">
        <v>42281.083333333336</v>
      </c>
      <c r="B645" s="14">
        <v>202902.62490132501</v>
      </c>
      <c r="C645" s="14">
        <v>232360.32715548901</v>
      </c>
      <c r="D645" s="6">
        <v>6085</v>
      </c>
      <c r="E645" s="1">
        <v>2015</v>
      </c>
      <c r="F645" s="1">
        <v>10</v>
      </c>
      <c r="G645" s="1" t="s">
        <v>38</v>
      </c>
      <c r="H645" s="12">
        <v>42278</v>
      </c>
      <c r="I645" s="1">
        <v>4</v>
      </c>
      <c r="J645" s="1">
        <v>1</v>
      </c>
      <c r="K645" s="1" t="s">
        <v>29</v>
      </c>
      <c r="L645" s="1" t="s">
        <v>22</v>
      </c>
      <c r="M645" s="15">
        <f t="shared" si="80"/>
        <v>33.344720608270336</v>
      </c>
      <c r="N645" s="15">
        <f t="shared" si="81"/>
        <v>38.185756311501891</v>
      </c>
      <c r="O645" s="14">
        <f t="shared" si="82"/>
        <v>-29457.702254164004</v>
      </c>
      <c r="P645" s="13">
        <f t="shared" si="83"/>
        <v>-0.14518147445598492</v>
      </c>
      <c r="Q645" s="15">
        <f t="shared" si="84"/>
        <v>-4.8410357032315545</v>
      </c>
      <c r="R645" s="13">
        <f t="shared" si="85"/>
        <v>-0.14518147445598495</v>
      </c>
      <c r="S645" s="15">
        <f t="shared" si="86"/>
        <v>35.267973231772061</v>
      </c>
      <c r="T645" s="15">
        <f t="shared" si="87"/>
        <v>36.344141372006817</v>
      </c>
    </row>
    <row r="646" spans="1:20" x14ac:dyDescent="0.3">
      <c r="A646" s="5">
        <v>42282.083333333336</v>
      </c>
      <c r="B646" s="14">
        <v>294557.64636622398</v>
      </c>
      <c r="C646" s="14">
        <v>336897.92240040598</v>
      </c>
      <c r="D646" s="6">
        <v>8828</v>
      </c>
      <c r="E646" s="1">
        <v>2015</v>
      </c>
      <c r="F646" s="1">
        <v>10</v>
      </c>
      <c r="G646" s="1" t="s">
        <v>38</v>
      </c>
      <c r="H646" s="12">
        <v>42278</v>
      </c>
      <c r="I646" s="1">
        <v>5</v>
      </c>
      <c r="J646" s="1">
        <v>2</v>
      </c>
      <c r="K646" s="1" t="s">
        <v>21</v>
      </c>
      <c r="L646" s="1" t="s">
        <v>22</v>
      </c>
      <c r="M646" s="15">
        <f t="shared" si="80"/>
        <v>33.366294332376981</v>
      </c>
      <c r="N646" s="15">
        <f t="shared" si="81"/>
        <v>38.162428908065927</v>
      </c>
      <c r="O646" s="14">
        <f t="shared" si="82"/>
        <v>-42340.276034181996</v>
      </c>
      <c r="P646" s="13">
        <f t="shared" si="83"/>
        <v>-0.14374190097085535</v>
      </c>
      <c r="Q646" s="15">
        <f t="shared" si="84"/>
        <v>-4.7961345756889457</v>
      </c>
      <c r="R646" s="13">
        <f t="shared" si="85"/>
        <v>-0.1437419009708554</v>
      </c>
      <c r="S646" s="15">
        <f t="shared" si="86"/>
        <v>35.267973231772061</v>
      </c>
      <c r="T646" s="15">
        <f t="shared" si="87"/>
        <v>36.315016560698453</v>
      </c>
    </row>
    <row r="647" spans="1:20" x14ac:dyDescent="0.3">
      <c r="A647" s="5">
        <v>42283.083333333336</v>
      </c>
      <c r="B647" s="14">
        <v>221618.32824753001</v>
      </c>
      <c r="C647" s="14">
        <v>253291.062286083</v>
      </c>
      <c r="D647" s="6">
        <v>6636</v>
      </c>
      <c r="E647" s="1">
        <v>2015</v>
      </c>
      <c r="F647" s="1">
        <v>10</v>
      </c>
      <c r="G647" s="1" t="s">
        <v>38</v>
      </c>
      <c r="H647" s="12">
        <v>42278</v>
      </c>
      <c r="I647" s="1">
        <v>6</v>
      </c>
      <c r="J647" s="1">
        <v>3</v>
      </c>
      <c r="K647" s="1" t="s">
        <v>23</v>
      </c>
      <c r="L647" s="1" t="s">
        <v>22</v>
      </c>
      <c r="M647" s="15">
        <f t="shared" si="80"/>
        <v>33.396372550863475</v>
      </c>
      <c r="N647" s="15">
        <f t="shared" si="81"/>
        <v>38.169237836962481</v>
      </c>
      <c r="O647" s="14">
        <f t="shared" si="82"/>
        <v>-31672.734038552997</v>
      </c>
      <c r="P647" s="13">
        <f t="shared" si="83"/>
        <v>-0.14291567980414091</v>
      </c>
      <c r="Q647" s="15">
        <f t="shared" si="84"/>
        <v>-4.7728652860990053</v>
      </c>
      <c r="R647" s="13">
        <f t="shared" si="85"/>
        <v>-0.14291567980414091</v>
      </c>
      <c r="S647" s="15">
        <f t="shared" si="86"/>
        <v>35.267973231772061</v>
      </c>
      <c r="T647" s="15">
        <f t="shared" si="87"/>
        <v>36.284342836757681</v>
      </c>
    </row>
    <row r="648" spans="1:20" x14ac:dyDescent="0.3">
      <c r="A648" s="5">
        <v>42284.083333333336</v>
      </c>
      <c r="B648" s="14">
        <v>63968.382480185399</v>
      </c>
      <c r="C648" s="14">
        <v>61942.842677746601</v>
      </c>
      <c r="D648" s="6">
        <v>1622</v>
      </c>
      <c r="E648" s="1">
        <v>2015</v>
      </c>
      <c r="F648" s="1">
        <v>10</v>
      </c>
      <c r="G648" s="1" t="s">
        <v>38</v>
      </c>
      <c r="H648" s="12">
        <v>42278</v>
      </c>
      <c r="I648" s="1">
        <v>7</v>
      </c>
      <c r="J648" s="1">
        <v>4</v>
      </c>
      <c r="K648" s="1" t="s">
        <v>25</v>
      </c>
      <c r="L648" s="1" t="s">
        <v>22</v>
      </c>
      <c r="M648" s="15">
        <f t="shared" si="80"/>
        <v>39.437967003813441</v>
      </c>
      <c r="N648" s="15">
        <f t="shared" si="81"/>
        <v>38.18917551032466</v>
      </c>
      <c r="O648" s="14">
        <f t="shared" si="82"/>
        <v>2025.5398024387978</v>
      </c>
      <c r="P648" s="13">
        <f t="shared" si="83"/>
        <v>3.1664702528100053E-2</v>
      </c>
      <c r="Q648" s="15">
        <f t="shared" si="84"/>
        <v>1.2487914934887812</v>
      </c>
      <c r="R648" s="13">
        <f t="shared" si="85"/>
        <v>3.1664702528100136E-2</v>
      </c>
      <c r="S648" s="15">
        <f t="shared" si="86"/>
        <v>35.267973231772061</v>
      </c>
      <c r="T648" s="15">
        <f t="shared" si="87"/>
        <v>36.458154314360335</v>
      </c>
    </row>
    <row r="649" spans="1:20" x14ac:dyDescent="0.3">
      <c r="A649" s="5">
        <v>42285.083333333336</v>
      </c>
      <c r="B649" s="14">
        <v>59609.544705280401</v>
      </c>
      <c r="C649" s="14">
        <v>57736.476659462998</v>
      </c>
      <c r="D649" s="6">
        <v>1512</v>
      </c>
      <c r="E649" s="1">
        <v>2015</v>
      </c>
      <c r="F649" s="1">
        <v>10</v>
      </c>
      <c r="G649" s="1" t="s">
        <v>38</v>
      </c>
      <c r="H649" s="12">
        <v>42278</v>
      </c>
      <c r="I649" s="1">
        <v>8</v>
      </c>
      <c r="J649" s="1">
        <v>5</v>
      </c>
      <c r="K649" s="1" t="s">
        <v>26</v>
      </c>
      <c r="L649" s="1" t="s">
        <v>22</v>
      </c>
      <c r="M649" s="15">
        <f t="shared" si="80"/>
        <v>39.424302053756882</v>
      </c>
      <c r="N649" s="15">
        <f t="shared" si="81"/>
        <v>38.185500436152779</v>
      </c>
      <c r="O649" s="14">
        <f t="shared" si="82"/>
        <v>1873.0680458174029</v>
      </c>
      <c r="P649" s="13">
        <f t="shared" si="83"/>
        <v>3.1422284049948138E-2</v>
      </c>
      <c r="Q649" s="15">
        <f t="shared" si="84"/>
        <v>1.2388016176041035</v>
      </c>
      <c r="R649" s="13">
        <f t="shared" si="85"/>
        <v>3.1422284049948165E-2</v>
      </c>
      <c r="S649" s="15">
        <f t="shared" si="86"/>
        <v>35.267973231772061</v>
      </c>
      <c r="T649" s="15">
        <f t="shared" si="87"/>
        <v>36.477877866966779</v>
      </c>
    </row>
    <row r="650" spans="1:20" x14ac:dyDescent="0.3">
      <c r="A650" s="5">
        <v>42286.083333333336</v>
      </c>
      <c r="B650" s="14">
        <v>126588.252974516</v>
      </c>
      <c r="C650" s="14">
        <v>122622.36311479</v>
      </c>
      <c r="D650" s="6">
        <v>3211</v>
      </c>
      <c r="E650" s="1">
        <v>2015</v>
      </c>
      <c r="F650" s="1">
        <v>10</v>
      </c>
      <c r="G650" s="1" t="s">
        <v>38</v>
      </c>
      <c r="H650" s="12">
        <v>42278</v>
      </c>
      <c r="I650" s="1">
        <v>9</v>
      </c>
      <c r="J650" s="1">
        <v>6</v>
      </c>
      <c r="K650" s="1" t="s">
        <v>27</v>
      </c>
      <c r="L650" s="1" t="s">
        <v>22</v>
      </c>
      <c r="M650" s="15">
        <f t="shared" si="80"/>
        <v>39.423311421524758</v>
      </c>
      <c r="N650" s="15">
        <f t="shared" si="81"/>
        <v>38.188216479224543</v>
      </c>
      <c r="O650" s="14">
        <f t="shared" si="82"/>
        <v>3965.8898597259977</v>
      </c>
      <c r="P650" s="13">
        <f t="shared" si="83"/>
        <v>3.1329051207653426E-2</v>
      </c>
      <c r="Q650" s="15">
        <f t="shared" si="84"/>
        <v>1.2350949423002149</v>
      </c>
      <c r="R650" s="13">
        <f t="shared" si="85"/>
        <v>3.1329051207653363E-2</v>
      </c>
      <c r="S650" s="15">
        <f t="shared" si="86"/>
        <v>35.267973231772061</v>
      </c>
      <c r="T650" s="15">
        <f t="shared" si="87"/>
        <v>36.49989785329857</v>
      </c>
    </row>
    <row r="651" spans="1:20" x14ac:dyDescent="0.3">
      <c r="A651" s="5">
        <v>42287.083333333336</v>
      </c>
      <c r="B651" s="14">
        <v>119755.01159048099</v>
      </c>
      <c r="C651" s="14">
        <v>116003.686913625</v>
      </c>
      <c r="D651" s="6">
        <v>3037</v>
      </c>
      <c r="E651" s="1">
        <v>2015</v>
      </c>
      <c r="F651" s="1">
        <v>10</v>
      </c>
      <c r="G651" s="1" t="s">
        <v>38</v>
      </c>
      <c r="H651" s="12">
        <v>42278</v>
      </c>
      <c r="I651" s="1">
        <v>10</v>
      </c>
      <c r="J651" s="1">
        <v>7</v>
      </c>
      <c r="K651" s="1" t="s">
        <v>28</v>
      </c>
      <c r="L651" s="1" t="s">
        <v>22</v>
      </c>
      <c r="M651" s="15">
        <f t="shared" si="80"/>
        <v>39.432009084781363</v>
      </c>
      <c r="N651" s="15">
        <f t="shared" si="81"/>
        <v>38.196801749629572</v>
      </c>
      <c r="O651" s="14">
        <f t="shared" si="82"/>
        <v>3751.3246768559911</v>
      </c>
      <c r="P651" s="13">
        <f t="shared" si="83"/>
        <v>3.1324991138443295E-2</v>
      </c>
      <c r="Q651" s="15">
        <f t="shared" si="84"/>
        <v>1.2352073351517916</v>
      </c>
      <c r="R651" s="13">
        <f t="shared" si="85"/>
        <v>3.1324991138443295E-2</v>
      </c>
      <c r="S651" s="15">
        <f t="shared" si="86"/>
        <v>35.267973231772061</v>
      </c>
      <c r="T651" s="15">
        <f t="shared" si="87"/>
        <v>36.504590711678176</v>
      </c>
    </row>
    <row r="652" spans="1:20" x14ac:dyDescent="0.3">
      <c r="A652" s="5">
        <v>42288.083333333336</v>
      </c>
      <c r="B652" s="14">
        <v>57413.410482090403</v>
      </c>
      <c r="C652" s="14">
        <v>55617.584643929702</v>
      </c>
      <c r="D652" s="6">
        <v>1456</v>
      </c>
      <c r="E652" s="1">
        <v>2015</v>
      </c>
      <c r="F652" s="1">
        <v>10</v>
      </c>
      <c r="G652" s="1" t="s">
        <v>38</v>
      </c>
      <c r="H652" s="12">
        <v>42278</v>
      </c>
      <c r="I652" s="1">
        <v>11</v>
      </c>
      <c r="J652" s="1">
        <v>1</v>
      </c>
      <c r="K652" s="1" t="s">
        <v>29</v>
      </c>
      <c r="L652" s="1" t="s">
        <v>22</v>
      </c>
      <c r="M652" s="15">
        <f t="shared" si="80"/>
        <v>39.432287419018131</v>
      </c>
      <c r="N652" s="15">
        <f t="shared" si="81"/>
        <v>38.198890552149521</v>
      </c>
      <c r="O652" s="14">
        <f t="shared" si="82"/>
        <v>1795.8258381607011</v>
      </c>
      <c r="P652" s="13">
        <f t="shared" si="83"/>
        <v>3.1278856683159294E-2</v>
      </c>
      <c r="Q652" s="15">
        <f t="shared" si="84"/>
        <v>1.2333968668686097</v>
      </c>
      <c r="R652" s="13">
        <f t="shared" si="85"/>
        <v>3.1278856683159204E-2</v>
      </c>
      <c r="S652" s="15">
        <f t="shared" si="86"/>
        <v>35.267973231772061</v>
      </c>
      <c r="T652" s="15">
        <f t="shared" si="87"/>
        <v>36.51331771952588</v>
      </c>
    </row>
    <row r="653" spans="1:20" x14ac:dyDescent="0.3">
      <c r="A653" s="5">
        <v>42289.083333333336</v>
      </c>
      <c r="B653" s="14">
        <v>57749.136938605399</v>
      </c>
      <c r="C653" s="14">
        <v>55933.008575846201</v>
      </c>
      <c r="D653" s="6">
        <v>1465</v>
      </c>
      <c r="E653" s="1">
        <v>2015</v>
      </c>
      <c r="F653" s="1">
        <v>10</v>
      </c>
      <c r="G653" s="1" t="s">
        <v>38</v>
      </c>
      <c r="H653" s="12">
        <v>42278</v>
      </c>
      <c r="I653" s="1">
        <v>12</v>
      </c>
      <c r="J653" s="1">
        <v>2</v>
      </c>
      <c r="K653" s="1" t="s">
        <v>21</v>
      </c>
      <c r="L653" s="1" t="s">
        <v>22</v>
      </c>
      <c r="M653" s="15">
        <f t="shared" si="80"/>
        <v>39.419206101437133</v>
      </c>
      <c r="N653" s="15">
        <f t="shared" si="81"/>
        <v>38.179528038120274</v>
      </c>
      <c r="O653" s="14">
        <f t="shared" si="82"/>
        <v>1816.1283627591984</v>
      </c>
      <c r="P653" s="13">
        <f t="shared" si="83"/>
        <v>3.1448580169950786E-2</v>
      </c>
      <c r="Q653" s="15">
        <f t="shared" si="84"/>
        <v>1.2396780633168589</v>
      </c>
      <c r="R653" s="13">
        <f t="shared" si="85"/>
        <v>3.1448580169950786E-2</v>
      </c>
      <c r="S653" s="15">
        <f t="shared" si="86"/>
        <v>35.267973231772061</v>
      </c>
      <c r="T653" s="15">
        <f t="shared" si="87"/>
        <v>36.525231999281395</v>
      </c>
    </row>
    <row r="654" spans="1:20" x14ac:dyDescent="0.3">
      <c r="A654" s="5">
        <v>42290.083333333336</v>
      </c>
      <c r="B654" s="14">
        <v>40140.820034555203</v>
      </c>
      <c r="C654" s="14">
        <v>38881.0884417864</v>
      </c>
      <c r="D654" s="6">
        <v>1018</v>
      </c>
      <c r="E654" s="1">
        <v>2015</v>
      </c>
      <c r="F654" s="1">
        <v>10</v>
      </c>
      <c r="G654" s="1" t="s">
        <v>38</v>
      </c>
      <c r="H654" s="12">
        <v>42278</v>
      </c>
      <c r="I654" s="1">
        <v>13</v>
      </c>
      <c r="J654" s="1">
        <v>3</v>
      </c>
      <c r="K654" s="1" t="s">
        <v>23</v>
      </c>
      <c r="L654" s="1" t="s">
        <v>22</v>
      </c>
      <c r="M654" s="15">
        <f t="shared" si="80"/>
        <v>39.431060937677017</v>
      </c>
      <c r="N654" s="15">
        <f t="shared" si="81"/>
        <v>38.193603577393318</v>
      </c>
      <c r="O654" s="14">
        <f t="shared" si="82"/>
        <v>1259.7315927688032</v>
      </c>
      <c r="P654" s="13">
        <f t="shared" si="83"/>
        <v>3.1382806621398467E-2</v>
      </c>
      <c r="Q654" s="15">
        <f t="shared" si="84"/>
        <v>1.2374573602836989</v>
      </c>
      <c r="R654" s="13">
        <f t="shared" si="85"/>
        <v>3.1382806621398522E-2</v>
      </c>
      <c r="S654" s="15">
        <f t="shared" si="86"/>
        <v>35.267973231772061</v>
      </c>
      <c r="T654" s="15">
        <f t="shared" si="87"/>
        <v>36.53361773000433</v>
      </c>
    </row>
    <row r="655" spans="1:20" x14ac:dyDescent="0.3">
      <c r="A655" s="5">
        <v>42291.083333333336</v>
      </c>
      <c r="B655" s="14">
        <v>42195.817364850198</v>
      </c>
      <c r="C655" s="14">
        <v>40869.249472267104</v>
      </c>
      <c r="D655" s="6">
        <v>1070</v>
      </c>
      <c r="E655" s="1">
        <v>2015</v>
      </c>
      <c r="F655" s="1">
        <v>10</v>
      </c>
      <c r="G655" s="1" t="s">
        <v>38</v>
      </c>
      <c r="H655" s="12">
        <v>42278</v>
      </c>
      <c r="I655" s="1">
        <v>14</v>
      </c>
      <c r="J655" s="1">
        <v>4</v>
      </c>
      <c r="K655" s="1" t="s">
        <v>25</v>
      </c>
      <c r="L655" s="1" t="s">
        <v>22</v>
      </c>
      <c r="M655" s="15">
        <f t="shared" si="80"/>
        <v>39.4353433316357</v>
      </c>
      <c r="N655" s="15">
        <f t="shared" si="81"/>
        <v>38.195560254455238</v>
      </c>
      <c r="O655" s="14">
        <f t="shared" si="82"/>
        <v>1326.5678925830944</v>
      </c>
      <c r="P655" s="13">
        <f t="shared" si="83"/>
        <v>3.1438374119235502E-2</v>
      </c>
      <c r="Q655" s="15">
        <f t="shared" si="84"/>
        <v>1.2397830771804621</v>
      </c>
      <c r="R655" s="13">
        <f t="shared" si="85"/>
        <v>3.1438374119235502E-2</v>
      </c>
      <c r="S655" s="15">
        <f t="shared" si="86"/>
        <v>35.267973231772061</v>
      </c>
      <c r="T655" s="15">
        <f t="shared" si="87"/>
        <v>36.539872742653657</v>
      </c>
    </row>
    <row r="656" spans="1:20" x14ac:dyDescent="0.3">
      <c r="A656" s="5">
        <v>42292.083333333336</v>
      </c>
      <c r="B656" s="14">
        <v>53490.797465390402</v>
      </c>
      <c r="C656" s="14">
        <v>51799.165903400797</v>
      </c>
      <c r="D656" s="6">
        <v>1357</v>
      </c>
      <c r="E656" s="1">
        <v>2015</v>
      </c>
      <c r="F656" s="1">
        <v>10</v>
      </c>
      <c r="G656" s="1" t="s">
        <v>38</v>
      </c>
      <c r="H656" s="12">
        <v>42278</v>
      </c>
      <c r="I656" s="1">
        <v>15</v>
      </c>
      <c r="J656" s="1">
        <v>5</v>
      </c>
      <c r="K656" s="1" t="s">
        <v>26</v>
      </c>
      <c r="L656" s="1" t="s">
        <v>22</v>
      </c>
      <c r="M656" s="15">
        <f t="shared" si="80"/>
        <v>39.418421124090202</v>
      </c>
      <c r="N656" s="15">
        <f t="shared" si="81"/>
        <v>38.171824541931315</v>
      </c>
      <c r="O656" s="14">
        <f t="shared" si="82"/>
        <v>1691.631561989605</v>
      </c>
      <c r="P656" s="13">
        <f t="shared" si="83"/>
        <v>3.1624721300596126E-2</v>
      </c>
      <c r="Q656" s="15">
        <f t="shared" si="84"/>
        <v>1.2465965821588867</v>
      </c>
      <c r="R656" s="13">
        <f t="shared" si="85"/>
        <v>3.1624721300596202E-2</v>
      </c>
      <c r="S656" s="15">
        <f t="shared" si="86"/>
        <v>35.267973231772061</v>
      </c>
      <c r="T656" s="15">
        <f t="shared" si="87"/>
        <v>36.54605499629011</v>
      </c>
    </row>
    <row r="657" spans="1:20" x14ac:dyDescent="0.3">
      <c r="A657" s="5">
        <v>42293.083333333336</v>
      </c>
      <c r="B657" s="14">
        <v>110809.315805577</v>
      </c>
      <c r="C657" s="14">
        <v>107331.980515123</v>
      </c>
      <c r="D657" s="6">
        <v>2810</v>
      </c>
      <c r="E657" s="1">
        <v>2015</v>
      </c>
      <c r="F657" s="1">
        <v>10</v>
      </c>
      <c r="G657" s="1" t="s">
        <v>38</v>
      </c>
      <c r="H657" s="12">
        <v>42278</v>
      </c>
      <c r="I657" s="1">
        <v>16</v>
      </c>
      <c r="J657" s="1">
        <v>6</v>
      </c>
      <c r="K657" s="1" t="s">
        <v>27</v>
      </c>
      <c r="L657" s="1" t="s">
        <v>22</v>
      </c>
      <c r="M657" s="15">
        <f t="shared" si="80"/>
        <v>39.433920215507833</v>
      </c>
      <c r="N657" s="15">
        <f t="shared" si="81"/>
        <v>38.196434347018858</v>
      </c>
      <c r="O657" s="14">
        <f t="shared" si="82"/>
        <v>3477.3352904540079</v>
      </c>
      <c r="P657" s="13">
        <f t="shared" si="83"/>
        <v>3.1381254050473928E-2</v>
      </c>
      <c r="Q657" s="15">
        <f t="shared" si="84"/>
        <v>1.2374858684889745</v>
      </c>
      <c r="R657" s="13">
        <f t="shared" si="85"/>
        <v>3.1381254050474018E-2</v>
      </c>
      <c r="S657" s="15">
        <f t="shared" si="86"/>
        <v>35.267973231772061</v>
      </c>
      <c r="T657" s="15">
        <f t="shared" si="87"/>
        <v>36.558461394322563</v>
      </c>
    </row>
    <row r="658" spans="1:20" x14ac:dyDescent="0.3">
      <c r="A658" s="5">
        <v>42294.083333333336</v>
      </c>
      <c r="B658" s="14">
        <v>111527.013469603</v>
      </c>
      <c r="C658" s="14">
        <v>108023.607343921</v>
      </c>
      <c r="D658" s="6">
        <v>2829</v>
      </c>
      <c r="E658" s="1">
        <v>2015</v>
      </c>
      <c r="F658" s="1">
        <v>10</v>
      </c>
      <c r="G658" s="1" t="s">
        <v>38</v>
      </c>
      <c r="H658" s="12">
        <v>42278</v>
      </c>
      <c r="I658" s="1">
        <v>17</v>
      </c>
      <c r="J658" s="1">
        <v>7</v>
      </c>
      <c r="K658" s="1" t="s">
        <v>28</v>
      </c>
      <c r="L658" s="1" t="s">
        <v>22</v>
      </c>
      <c r="M658" s="15">
        <f t="shared" si="80"/>
        <v>39.42276898890173</v>
      </c>
      <c r="N658" s="15">
        <f t="shared" si="81"/>
        <v>38.184378700572992</v>
      </c>
      <c r="O658" s="14">
        <f t="shared" si="82"/>
        <v>3503.4061256819987</v>
      </c>
      <c r="P658" s="13">
        <f t="shared" si="83"/>
        <v>3.1413072193822007E-2</v>
      </c>
      <c r="Q658" s="15">
        <f t="shared" si="84"/>
        <v>1.2383902883287377</v>
      </c>
      <c r="R658" s="13">
        <f t="shared" si="85"/>
        <v>3.1413072193822014E-2</v>
      </c>
      <c r="S658" s="15">
        <f t="shared" si="86"/>
        <v>35.267973231772061</v>
      </c>
      <c r="T658" s="15">
        <f t="shared" si="87"/>
        <v>36.56767550949845</v>
      </c>
    </row>
    <row r="659" spans="1:20" x14ac:dyDescent="0.3">
      <c r="A659" s="5">
        <v>42295.083333333336</v>
      </c>
      <c r="B659" s="14">
        <v>59808.138668750398</v>
      </c>
      <c r="C659" s="14">
        <v>57937.458655969502</v>
      </c>
      <c r="D659" s="6">
        <v>1517</v>
      </c>
      <c r="E659" s="1">
        <v>2015</v>
      </c>
      <c r="F659" s="1">
        <v>10</v>
      </c>
      <c r="G659" s="1" t="s">
        <v>38</v>
      </c>
      <c r="H659" s="12">
        <v>42278</v>
      </c>
      <c r="I659" s="1">
        <v>18</v>
      </c>
      <c r="J659" s="1">
        <v>1</v>
      </c>
      <c r="K659" s="1" t="s">
        <v>29</v>
      </c>
      <c r="L659" s="1" t="s">
        <v>22</v>
      </c>
      <c r="M659" s="15">
        <f t="shared" si="80"/>
        <v>39.425272688695053</v>
      </c>
      <c r="N659" s="15">
        <f t="shared" si="81"/>
        <v>38.19212831639387</v>
      </c>
      <c r="O659" s="14">
        <f t="shared" si="82"/>
        <v>1870.6800127808965</v>
      </c>
      <c r="P659" s="13">
        <f t="shared" si="83"/>
        <v>3.1278017581214616E-2</v>
      </c>
      <c r="Q659" s="15">
        <f t="shared" si="84"/>
        <v>1.233144372301183</v>
      </c>
      <c r="R659" s="13">
        <f t="shared" si="85"/>
        <v>3.1278017581214582E-2</v>
      </c>
      <c r="S659" s="15">
        <f t="shared" si="86"/>
        <v>35.267973231772061</v>
      </c>
      <c r="T659" s="15">
        <f t="shared" si="87"/>
        <v>36.580718512938603</v>
      </c>
    </row>
    <row r="660" spans="1:20" x14ac:dyDescent="0.3">
      <c r="A660" s="5">
        <v>42296.083333333336</v>
      </c>
      <c r="B660" s="14">
        <v>55166.226228085397</v>
      </c>
      <c r="C660" s="14">
        <v>53436.8970927849</v>
      </c>
      <c r="D660" s="6">
        <v>1399</v>
      </c>
      <c r="E660" s="1">
        <v>2015</v>
      </c>
      <c r="F660" s="1">
        <v>10</v>
      </c>
      <c r="G660" s="1" t="s">
        <v>38</v>
      </c>
      <c r="H660" s="12">
        <v>42278</v>
      </c>
      <c r="I660" s="1">
        <v>19</v>
      </c>
      <c r="J660" s="1">
        <v>2</v>
      </c>
      <c r="K660" s="1" t="s">
        <v>21</v>
      </c>
      <c r="L660" s="1" t="s">
        <v>22</v>
      </c>
      <c r="M660" s="15">
        <f t="shared" si="80"/>
        <v>39.432613458245456</v>
      </c>
      <c r="N660" s="15">
        <f t="shared" si="81"/>
        <v>38.196495420146462</v>
      </c>
      <c r="O660" s="14">
        <f t="shared" si="82"/>
        <v>1729.329135300497</v>
      </c>
      <c r="P660" s="13">
        <f t="shared" si="83"/>
        <v>3.1347606199317785E-2</v>
      </c>
      <c r="Q660" s="15">
        <f t="shared" si="84"/>
        <v>1.2361180380989936</v>
      </c>
      <c r="R660" s="13">
        <f t="shared" si="85"/>
        <v>3.1347606199317694E-2</v>
      </c>
      <c r="S660" s="15">
        <f t="shared" si="86"/>
        <v>35.267973231772061</v>
      </c>
      <c r="T660" s="15">
        <f t="shared" si="87"/>
        <v>36.59282560259453</v>
      </c>
    </row>
    <row r="661" spans="1:20" x14ac:dyDescent="0.3">
      <c r="A661" s="5">
        <v>42297.083333333336</v>
      </c>
      <c r="B661" s="14">
        <v>42054.680471955202</v>
      </c>
      <c r="C661" s="14">
        <v>40736.150475592302</v>
      </c>
      <c r="D661" s="6">
        <v>1067</v>
      </c>
      <c r="E661" s="1">
        <v>2015</v>
      </c>
      <c r="F661" s="1">
        <v>10</v>
      </c>
      <c r="G661" s="1" t="s">
        <v>38</v>
      </c>
      <c r="H661" s="12">
        <v>42278</v>
      </c>
      <c r="I661" s="1">
        <v>20</v>
      </c>
      <c r="J661" s="1">
        <v>3</v>
      </c>
      <c r="K661" s="1" t="s">
        <v>23</v>
      </c>
      <c r="L661" s="1" t="s">
        <v>22</v>
      </c>
      <c r="M661" s="15">
        <f t="shared" si="80"/>
        <v>39.413946084306659</v>
      </c>
      <c r="N661" s="15">
        <f t="shared" si="81"/>
        <v>38.178210380123993</v>
      </c>
      <c r="O661" s="14">
        <f t="shared" si="82"/>
        <v>1318.5299963629004</v>
      </c>
      <c r="P661" s="13">
        <f t="shared" si="83"/>
        <v>3.1352752691633977E-2</v>
      </c>
      <c r="Q661" s="15">
        <f t="shared" si="84"/>
        <v>1.235735704182666</v>
      </c>
      <c r="R661" s="13">
        <f t="shared" si="85"/>
        <v>3.1352752691634074E-2</v>
      </c>
      <c r="S661" s="15">
        <f t="shared" si="86"/>
        <v>35.267973231772061</v>
      </c>
      <c r="T661" s="15">
        <f t="shared" si="87"/>
        <v>36.612377399733752</v>
      </c>
    </row>
    <row r="662" spans="1:20" x14ac:dyDescent="0.3">
      <c r="A662" s="5">
        <v>42298.083333333336</v>
      </c>
      <c r="B662" s="14">
        <v>53678.179109280201</v>
      </c>
      <c r="C662" s="14">
        <v>51999.860868195603</v>
      </c>
      <c r="D662" s="6">
        <v>1361</v>
      </c>
      <c r="E662" s="1">
        <v>2015</v>
      </c>
      <c r="F662" s="1">
        <v>10</v>
      </c>
      <c r="G662" s="1" t="s">
        <v>38</v>
      </c>
      <c r="H662" s="12">
        <v>42278</v>
      </c>
      <c r="I662" s="1">
        <v>21</v>
      </c>
      <c r="J662" s="1">
        <v>4</v>
      </c>
      <c r="K662" s="1" t="s">
        <v>25</v>
      </c>
      <c r="L662" s="1" t="s">
        <v>22</v>
      </c>
      <c r="M662" s="15">
        <f t="shared" si="80"/>
        <v>39.440249161851725</v>
      </c>
      <c r="N662" s="15">
        <f t="shared" si="81"/>
        <v>38.207098360173113</v>
      </c>
      <c r="O662" s="14">
        <f t="shared" si="82"/>
        <v>1678.3182410845984</v>
      </c>
      <c r="P662" s="13">
        <f t="shared" si="83"/>
        <v>3.1266303532163607E-2</v>
      </c>
      <c r="Q662" s="15">
        <f t="shared" si="84"/>
        <v>1.2331508016786117</v>
      </c>
      <c r="R662" s="13">
        <f t="shared" si="85"/>
        <v>3.1266303532163461E-2</v>
      </c>
      <c r="S662" s="15">
        <f t="shared" si="86"/>
        <v>35.267973231772061</v>
      </c>
      <c r="T662" s="15">
        <f t="shared" si="87"/>
        <v>36.61318919012583</v>
      </c>
    </row>
    <row r="663" spans="1:20" x14ac:dyDescent="0.3">
      <c r="A663" s="5">
        <v>42299.083333333336</v>
      </c>
      <c r="B663" s="14">
        <v>55930.168643105397</v>
      </c>
      <c r="C663" s="14">
        <v>54177.6900618773</v>
      </c>
      <c r="D663" s="6">
        <v>1419</v>
      </c>
      <c r="E663" s="1">
        <v>2015</v>
      </c>
      <c r="F663" s="1">
        <v>10</v>
      </c>
      <c r="G663" s="1" t="s">
        <v>38</v>
      </c>
      <c r="H663" s="12">
        <v>42278</v>
      </c>
      <c r="I663" s="1">
        <v>22</v>
      </c>
      <c r="J663" s="1">
        <v>5</v>
      </c>
      <c r="K663" s="1" t="s">
        <v>26</v>
      </c>
      <c r="L663" s="1" t="s">
        <v>22</v>
      </c>
      <c r="M663" s="15">
        <f t="shared" si="80"/>
        <v>39.415199889432976</v>
      </c>
      <c r="N663" s="15">
        <f t="shared" si="81"/>
        <v>38.180190318447707</v>
      </c>
      <c r="O663" s="14">
        <f t="shared" si="82"/>
        <v>1752.478581228097</v>
      </c>
      <c r="P663" s="13">
        <f t="shared" si="83"/>
        <v>3.1333332685098705E-2</v>
      </c>
      <c r="Q663" s="15">
        <f t="shared" si="84"/>
        <v>1.2350095709852695</v>
      </c>
      <c r="R663" s="13">
        <f t="shared" si="85"/>
        <v>3.1333332685098712E-2</v>
      </c>
      <c r="S663" s="15">
        <f t="shared" si="86"/>
        <v>35.267973231772061</v>
      </c>
      <c r="T663" s="15">
        <f t="shared" si="87"/>
        <v>36.612892183315331</v>
      </c>
    </row>
    <row r="664" spans="1:20" x14ac:dyDescent="0.3">
      <c r="A664" s="5">
        <v>42300.083333333336</v>
      </c>
      <c r="B664" s="14">
        <v>185771.00146306399</v>
      </c>
      <c r="C664" s="14">
        <v>192527.01100992301</v>
      </c>
      <c r="D664" s="6">
        <v>5042</v>
      </c>
      <c r="E664" s="1">
        <v>2015</v>
      </c>
      <c r="F664" s="1">
        <v>10</v>
      </c>
      <c r="G664" s="1" t="s">
        <v>38</v>
      </c>
      <c r="H664" s="12">
        <v>42278</v>
      </c>
      <c r="I664" s="1">
        <v>23</v>
      </c>
      <c r="J664" s="1">
        <v>6</v>
      </c>
      <c r="K664" s="1" t="s">
        <v>27</v>
      </c>
      <c r="L664" s="1" t="s">
        <v>22</v>
      </c>
      <c r="M664" s="15">
        <f t="shared" si="80"/>
        <v>36.844704772523599</v>
      </c>
      <c r="N664" s="15">
        <f t="shared" si="81"/>
        <v>38.184651132471835</v>
      </c>
      <c r="O664" s="14">
        <f t="shared" si="82"/>
        <v>-6756.0095468590152</v>
      </c>
      <c r="P664" s="13">
        <f t="shared" si="83"/>
        <v>-3.6367406611641062E-2</v>
      </c>
      <c r="Q664" s="15">
        <f t="shared" si="84"/>
        <v>-1.339946359948236</v>
      </c>
      <c r="R664" s="13">
        <f t="shared" si="85"/>
        <v>-3.6367406611641014E-2</v>
      </c>
      <c r="S664" s="15">
        <f t="shared" si="86"/>
        <v>35.267973231772061</v>
      </c>
      <c r="T664" s="15">
        <f t="shared" si="87"/>
        <v>36.720845365528326</v>
      </c>
    </row>
    <row r="665" spans="1:20" x14ac:dyDescent="0.3">
      <c r="A665" s="5">
        <v>42301.083333333336</v>
      </c>
      <c r="B665" s="14">
        <v>253116.91319853999</v>
      </c>
      <c r="C665" s="14">
        <v>262409.56942291599</v>
      </c>
      <c r="D665" s="6">
        <v>6872</v>
      </c>
      <c r="E665" s="1">
        <v>2015</v>
      </c>
      <c r="F665" s="1">
        <v>10</v>
      </c>
      <c r="G665" s="1" t="s">
        <v>38</v>
      </c>
      <c r="H665" s="12">
        <v>42278</v>
      </c>
      <c r="I665" s="1">
        <v>24</v>
      </c>
      <c r="J665" s="1">
        <v>7</v>
      </c>
      <c r="K665" s="1" t="s">
        <v>28</v>
      </c>
      <c r="L665" s="1" t="s">
        <v>22</v>
      </c>
      <c r="M665" s="15">
        <f t="shared" si="80"/>
        <v>36.833078172080903</v>
      </c>
      <c r="N665" s="15">
        <f t="shared" si="81"/>
        <v>38.185327331623398</v>
      </c>
      <c r="O665" s="14">
        <f t="shared" si="82"/>
        <v>-9292.6562243759981</v>
      </c>
      <c r="P665" s="13">
        <f t="shared" si="83"/>
        <v>-3.6712901192371208E-2</v>
      </c>
      <c r="Q665" s="15">
        <f t="shared" si="84"/>
        <v>-1.3522491595424952</v>
      </c>
      <c r="R665" s="13">
        <f t="shared" si="85"/>
        <v>-3.6712901192371326E-2</v>
      </c>
      <c r="S665" s="15">
        <f t="shared" si="86"/>
        <v>35.267973231772061</v>
      </c>
      <c r="T665" s="15">
        <f t="shared" si="87"/>
        <v>36.835251584787521</v>
      </c>
    </row>
    <row r="666" spans="1:20" x14ac:dyDescent="0.3">
      <c r="A666" s="5">
        <v>42302.083333333336</v>
      </c>
      <c r="B666" s="14">
        <v>118618.453702153</v>
      </c>
      <c r="C666" s="14">
        <v>122915.267016988</v>
      </c>
      <c r="D666" s="6">
        <v>3218</v>
      </c>
      <c r="E666" s="1">
        <v>2015</v>
      </c>
      <c r="F666" s="1">
        <v>10</v>
      </c>
      <c r="G666" s="1" t="s">
        <v>38</v>
      </c>
      <c r="H666" s="12">
        <v>42278</v>
      </c>
      <c r="I666" s="1">
        <v>25</v>
      </c>
      <c r="J666" s="1">
        <v>1</v>
      </c>
      <c r="K666" s="1" t="s">
        <v>29</v>
      </c>
      <c r="L666" s="1" t="s">
        <v>22</v>
      </c>
      <c r="M666" s="15">
        <f t="shared" si="80"/>
        <v>36.860924083950593</v>
      </c>
      <c r="N666" s="15">
        <f t="shared" si="81"/>
        <v>38.196167500617776</v>
      </c>
      <c r="O666" s="14">
        <f t="shared" si="82"/>
        <v>-4296.8133148350025</v>
      </c>
      <c r="P666" s="13">
        <f t="shared" si="83"/>
        <v>-3.622381830759789E-2</v>
      </c>
      <c r="Q666" s="15">
        <f t="shared" si="84"/>
        <v>-1.3352434166671827</v>
      </c>
      <c r="R666" s="13">
        <f t="shared" si="85"/>
        <v>-3.6223818307597813E-2</v>
      </c>
      <c r="S666" s="15">
        <f t="shared" si="86"/>
        <v>35.267973231772061</v>
      </c>
      <c r="T666" s="15">
        <f t="shared" si="87"/>
        <v>36.951716682101861</v>
      </c>
    </row>
    <row r="667" spans="1:20" x14ac:dyDescent="0.3">
      <c r="A667" s="5">
        <v>42303.083333333336</v>
      </c>
      <c r="B667" s="14">
        <v>123320.784042374</v>
      </c>
      <c r="C667" s="14">
        <v>128133.778608871</v>
      </c>
      <c r="D667" s="6">
        <v>3347</v>
      </c>
      <c r="E667" s="1">
        <v>2015</v>
      </c>
      <c r="F667" s="1">
        <v>10</v>
      </c>
      <c r="G667" s="1" t="s">
        <v>38</v>
      </c>
      <c r="H667" s="12">
        <v>42278</v>
      </c>
      <c r="I667" s="1">
        <v>26</v>
      </c>
      <c r="J667" s="1">
        <v>2</v>
      </c>
      <c r="K667" s="1" t="s">
        <v>21</v>
      </c>
      <c r="L667" s="1" t="s">
        <v>22</v>
      </c>
      <c r="M667" s="15">
        <f t="shared" si="80"/>
        <v>36.845170015648044</v>
      </c>
      <c r="N667" s="15">
        <f t="shared" si="81"/>
        <v>38.283172575103379</v>
      </c>
      <c r="O667" s="14">
        <f t="shared" si="82"/>
        <v>-4812.9945664970001</v>
      </c>
      <c r="P667" s="13">
        <f t="shared" si="83"/>
        <v>-3.9028251432809712E-2</v>
      </c>
      <c r="Q667" s="15">
        <f t="shared" si="84"/>
        <v>-1.4380025594553345</v>
      </c>
      <c r="R667" s="13">
        <f t="shared" si="85"/>
        <v>-3.9028251432809746E-2</v>
      </c>
      <c r="S667" s="15">
        <f t="shared" si="86"/>
        <v>35.267973231772061</v>
      </c>
      <c r="T667" s="15">
        <f t="shared" si="87"/>
        <v>37.06755480221225</v>
      </c>
    </row>
    <row r="668" spans="1:20" x14ac:dyDescent="0.3">
      <c r="A668" s="5">
        <v>42304.083333333336</v>
      </c>
      <c r="B668" s="14">
        <v>117051.277215403</v>
      </c>
      <c r="C668" s="14">
        <v>122175.000272702</v>
      </c>
      <c r="D668" s="6">
        <v>3177</v>
      </c>
      <c r="E668" s="1">
        <v>2015</v>
      </c>
      <c r="F668" s="1">
        <v>10</v>
      </c>
      <c r="G668" s="1" t="s">
        <v>38</v>
      </c>
      <c r="H668" s="12">
        <v>42278</v>
      </c>
      <c r="I668" s="1">
        <v>27</v>
      </c>
      <c r="J668" s="1">
        <v>3</v>
      </c>
      <c r="K668" s="1" t="s">
        <v>23</v>
      </c>
      <c r="L668" s="1" t="s">
        <v>22</v>
      </c>
      <c r="M668" s="15">
        <f t="shared" si="80"/>
        <v>36.843335604470568</v>
      </c>
      <c r="N668" s="15">
        <f t="shared" si="81"/>
        <v>38.456090737394398</v>
      </c>
      <c r="O668" s="14">
        <f t="shared" si="82"/>
        <v>-5123.7230572990084</v>
      </c>
      <c r="P668" s="13">
        <f t="shared" si="83"/>
        <v>-4.3773320370269042E-2</v>
      </c>
      <c r="Q668" s="15">
        <f t="shared" si="84"/>
        <v>-1.6127551329238301</v>
      </c>
      <c r="R668" s="13">
        <f t="shared" si="85"/>
        <v>-4.3773320370269042E-2</v>
      </c>
      <c r="S668" s="15">
        <f t="shared" si="86"/>
        <v>35.267973231772061</v>
      </c>
      <c r="T668" s="15">
        <f t="shared" si="87"/>
        <v>37.183715449914537</v>
      </c>
    </row>
    <row r="669" spans="1:20" x14ac:dyDescent="0.3">
      <c r="A669" s="5">
        <v>42305.083333333336</v>
      </c>
      <c r="B669" s="14">
        <v>159299.98906190001</v>
      </c>
      <c r="C669" s="14">
        <v>174699.07672380999</v>
      </c>
      <c r="D669" s="6">
        <v>4532</v>
      </c>
      <c r="E669" s="1">
        <v>2015</v>
      </c>
      <c r="F669" s="1">
        <v>10</v>
      </c>
      <c r="G669" s="1" t="s">
        <v>38</v>
      </c>
      <c r="H669" s="12">
        <v>42278</v>
      </c>
      <c r="I669" s="1">
        <v>28</v>
      </c>
      <c r="J669" s="1">
        <v>4</v>
      </c>
      <c r="K669" s="1" t="s">
        <v>25</v>
      </c>
      <c r="L669" s="1" t="s">
        <v>22</v>
      </c>
      <c r="M669" s="15">
        <f t="shared" si="80"/>
        <v>35.150041717100621</v>
      </c>
      <c r="N669" s="15">
        <f t="shared" si="81"/>
        <v>38.547898659269634</v>
      </c>
      <c r="O669" s="14">
        <f t="shared" si="82"/>
        <v>-15399.087661909987</v>
      </c>
      <c r="P669" s="13">
        <f t="shared" si="83"/>
        <v>-9.6667223598655025E-2</v>
      </c>
      <c r="Q669" s="15">
        <f t="shared" si="84"/>
        <v>-3.3978569421690139</v>
      </c>
      <c r="R669" s="13">
        <f t="shared" si="85"/>
        <v>-9.6667223598654914E-2</v>
      </c>
      <c r="S669" s="15">
        <f t="shared" si="86"/>
        <v>35.267973231772061</v>
      </c>
      <c r="T669" s="15">
        <f t="shared" si="87"/>
        <v>37.242956589974206</v>
      </c>
    </row>
    <row r="670" spans="1:20" x14ac:dyDescent="0.3">
      <c r="A670" s="5">
        <v>42306.083333333336</v>
      </c>
      <c r="B670" s="14">
        <v>119047.409867903</v>
      </c>
      <c r="C670" s="14">
        <v>124349.265489296</v>
      </c>
      <c r="D670" s="6">
        <v>3231</v>
      </c>
      <c r="E670" s="1">
        <v>2015</v>
      </c>
      <c r="F670" s="1">
        <v>10</v>
      </c>
      <c r="G670" s="1" t="s">
        <v>38</v>
      </c>
      <c r="H670" s="12">
        <v>42278</v>
      </c>
      <c r="I670" s="1">
        <v>29</v>
      </c>
      <c r="J670" s="1">
        <v>5</v>
      </c>
      <c r="K670" s="1" t="s">
        <v>26</v>
      </c>
      <c r="L670" s="1" t="s">
        <v>22</v>
      </c>
      <c r="M670" s="15">
        <f t="shared" si="80"/>
        <v>36.845376003683995</v>
      </c>
      <c r="N670" s="15">
        <f t="shared" si="81"/>
        <v>38.486309343638503</v>
      </c>
      <c r="O670" s="14">
        <f t="shared" si="82"/>
        <v>-5301.8556213929987</v>
      </c>
      <c r="P670" s="13">
        <f t="shared" si="83"/>
        <v>-4.4535665473747196E-2</v>
      </c>
      <c r="Q670" s="15">
        <f t="shared" si="84"/>
        <v>-1.6409333399545076</v>
      </c>
      <c r="R670" s="13">
        <f t="shared" si="85"/>
        <v>-4.4535665473747328E-2</v>
      </c>
      <c r="S670" s="15">
        <f t="shared" si="86"/>
        <v>35.267973231772061</v>
      </c>
      <c r="T670" s="15">
        <f t="shared" si="87"/>
        <v>37.358867963093203</v>
      </c>
    </row>
    <row r="671" spans="1:20" x14ac:dyDescent="0.3">
      <c r="A671" s="5">
        <v>42307.083333333336</v>
      </c>
      <c r="B671" s="14">
        <v>285081.97432843503</v>
      </c>
      <c r="C671" s="14">
        <v>297627.69071540597</v>
      </c>
      <c r="D671" s="6">
        <v>7731</v>
      </c>
      <c r="E671" s="1">
        <v>2015</v>
      </c>
      <c r="F671" s="1">
        <v>10</v>
      </c>
      <c r="G671" s="1" t="s">
        <v>38</v>
      </c>
      <c r="H671" s="12">
        <v>42278</v>
      </c>
      <c r="I671" s="1">
        <v>30</v>
      </c>
      <c r="J671" s="1">
        <v>6</v>
      </c>
      <c r="K671" s="1" t="s">
        <v>27</v>
      </c>
      <c r="L671" s="1" t="s">
        <v>22</v>
      </c>
      <c r="M671" s="15">
        <f t="shared" si="80"/>
        <v>36.875174534786574</v>
      </c>
      <c r="N671" s="15">
        <f t="shared" si="81"/>
        <v>38.497955078955627</v>
      </c>
      <c r="O671" s="14">
        <f t="shared" si="82"/>
        <v>-12545.716386970947</v>
      </c>
      <c r="P671" s="13">
        <f t="shared" si="83"/>
        <v>-4.4007399683984844E-2</v>
      </c>
      <c r="Q671" s="15">
        <f t="shared" si="84"/>
        <v>-1.6227805441690535</v>
      </c>
      <c r="R671" s="13">
        <f t="shared" si="85"/>
        <v>-4.4007399683984864E-2</v>
      </c>
      <c r="S671" s="15">
        <f t="shared" si="86"/>
        <v>35.267973231772061</v>
      </c>
      <c r="T671" s="15">
        <f t="shared" si="87"/>
        <v>37.475386005060315</v>
      </c>
    </row>
    <row r="672" spans="1:20" x14ac:dyDescent="0.3">
      <c r="A672" s="5">
        <v>42308.083333333336</v>
      </c>
      <c r="B672" s="14">
        <v>391656.21258357097</v>
      </c>
      <c r="C672" s="14">
        <v>429832.834760806</v>
      </c>
      <c r="D672" s="6">
        <v>11148</v>
      </c>
      <c r="E672" s="1">
        <v>2015</v>
      </c>
      <c r="F672" s="1">
        <v>10</v>
      </c>
      <c r="G672" s="1" t="s">
        <v>38</v>
      </c>
      <c r="H672" s="12">
        <v>42278</v>
      </c>
      <c r="I672" s="1">
        <v>31</v>
      </c>
      <c r="J672" s="1">
        <v>7</v>
      </c>
      <c r="K672" s="1" t="s">
        <v>28</v>
      </c>
      <c r="L672" s="1" t="s">
        <v>22</v>
      </c>
      <c r="M672" s="15">
        <f t="shared" si="80"/>
        <v>35.13241949978211</v>
      </c>
      <c r="N672" s="15">
        <f t="shared" si="81"/>
        <v>38.556946067528344</v>
      </c>
      <c r="O672" s="14">
        <f t="shared" si="82"/>
        <v>-38176.622177235025</v>
      </c>
      <c r="P672" s="13">
        <f t="shared" si="83"/>
        <v>-9.7474828563044832E-2</v>
      </c>
      <c r="Q672" s="15">
        <f t="shared" si="84"/>
        <v>-3.4245265677462342</v>
      </c>
      <c r="R672" s="13">
        <f t="shared" si="85"/>
        <v>-9.7474828563044832E-2</v>
      </c>
      <c r="S672" s="15">
        <f t="shared" si="86"/>
        <v>35.267973231772061</v>
      </c>
      <c r="T672" s="15">
        <f t="shared" si="87"/>
        <v>37.534953094729957</v>
      </c>
    </row>
    <row r="673" spans="1:20" x14ac:dyDescent="0.3">
      <c r="A673" s="5">
        <v>42309.083333333336</v>
      </c>
      <c r="B673" s="14">
        <v>274814.77805485</v>
      </c>
      <c r="C673" s="14">
        <v>287978.17491181701</v>
      </c>
      <c r="D673" s="6">
        <v>7459</v>
      </c>
      <c r="E673" s="1">
        <v>2015</v>
      </c>
      <c r="F673" s="1">
        <v>11</v>
      </c>
      <c r="G673" s="1" t="s">
        <v>39</v>
      </c>
      <c r="H673" s="12">
        <v>42309</v>
      </c>
      <c r="I673" s="1">
        <v>1</v>
      </c>
      <c r="J673" s="1">
        <v>1</v>
      </c>
      <c r="K673" s="1" t="s">
        <v>29</v>
      </c>
      <c r="L673" s="1" t="s">
        <v>22</v>
      </c>
      <c r="M673" s="15">
        <f t="shared" si="80"/>
        <v>36.843380889509319</v>
      </c>
      <c r="N673" s="15">
        <f t="shared" si="81"/>
        <v>38.608147863227913</v>
      </c>
      <c r="O673" s="14">
        <f t="shared" si="82"/>
        <v>-13163.396856967011</v>
      </c>
      <c r="P673" s="13">
        <f t="shared" si="83"/>
        <v>-4.7899159390692378E-2</v>
      </c>
      <c r="Q673" s="15">
        <f t="shared" si="84"/>
        <v>-1.7647669737185936</v>
      </c>
      <c r="R673" s="13">
        <f t="shared" si="85"/>
        <v>-4.7899159390692302E-2</v>
      </c>
      <c r="S673" s="15">
        <f t="shared" si="86"/>
        <v>35.267973231772061</v>
      </c>
      <c r="T673" s="15">
        <f t="shared" si="87"/>
        <v>37.647130045583154</v>
      </c>
    </row>
    <row r="674" spans="1:20" x14ac:dyDescent="0.3">
      <c r="A674" s="5">
        <v>42310.083333333336</v>
      </c>
      <c r="B674" s="14">
        <v>269555.02312096802</v>
      </c>
      <c r="C674" s="14">
        <v>281915.19210462901</v>
      </c>
      <c r="D674" s="6">
        <v>7316</v>
      </c>
      <c r="E674" s="1">
        <v>2015</v>
      </c>
      <c r="F674" s="1">
        <v>11</v>
      </c>
      <c r="G674" s="1" t="s">
        <v>39</v>
      </c>
      <c r="H674" s="12">
        <v>42309</v>
      </c>
      <c r="I674" s="1">
        <v>2</v>
      </c>
      <c r="J674" s="1">
        <v>2</v>
      </c>
      <c r="K674" s="1" t="s">
        <v>21</v>
      </c>
      <c r="L674" s="1" t="s">
        <v>22</v>
      </c>
      <c r="M674" s="15">
        <f t="shared" si="80"/>
        <v>36.844590366452707</v>
      </c>
      <c r="N674" s="15">
        <f t="shared" si="81"/>
        <v>38.534061249949289</v>
      </c>
      <c r="O674" s="14">
        <f t="shared" si="82"/>
        <v>-12360.168983660988</v>
      </c>
      <c r="P674" s="13">
        <f t="shared" si="83"/>
        <v>-4.585397385866604E-2</v>
      </c>
      <c r="Q674" s="15">
        <f t="shared" si="84"/>
        <v>-1.6894708834965826</v>
      </c>
      <c r="R674" s="13">
        <f t="shared" si="85"/>
        <v>-4.5853973858666082E-2</v>
      </c>
      <c r="S674" s="15">
        <f t="shared" si="86"/>
        <v>35.267973231772061</v>
      </c>
      <c r="T674" s="15">
        <f t="shared" si="87"/>
        <v>37.762115403872528</v>
      </c>
    </row>
    <row r="675" spans="1:20" x14ac:dyDescent="0.3">
      <c r="A675" s="5">
        <v>42311.083333333336</v>
      </c>
      <c r="B675" s="14">
        <v>192001.03461514899</v>
      </c>
      <c r="C675" s="14">
        <v>201125.77547468399</v>
      </c>
      <c r="D675" s="6">
        <v>5211</v>
      </c>
      <c r="E675" s="1">
        <v>2015</v>
      </c>
      <c r="F675" s="1">
        <v>11</v>
      </c>
      <c r="G675" s="1" t="s">
        <v>39</v>
      </c>
      <c r="H675" s="12">
        <v>42309</v>
      </c>
      <c r="I675" s="1">
        <v>3</v>
      </c>
      <c r="J675" s="1">
        <v>3</v>
      </c>
      <c r="K675" s="1" t="s">
        <v>23</v>
      </c>
      <c r="L675" s="1" t="s">
        <v>22</v>
      </c>
      <c r="M675" s="15">
        <f t="shared" si="80"/>
        <v>36.845333835184995</v>
      </c>
      <c r="N675" s="15">
        <f t="shared" si="81"/>
        <v>38.596387540718482</v>
      </c>
      <c r="O675" s="14">
        <f t="shared" si="82"/>
        <v>-9124.7408595349989</v>
      </c>
      <c r="P675" s="13">
        <f t="shared" si="83"/>
        <v>-4.7524435885592103E-2</v>
      </c>
      <c r="Q675" s="15">
        <f t="shared" si="84"/>
        <v>-1.7510537055334865</v>
      </c>
      <c r="R675" s="13">
        <f t="shared" si="85"/>
        <v>-4.7524435885592096E-2</v>
      </c>
      <c r="S675" s="15">
        <f t="shared" si="86"/>
        <v>35.267973231772061</v>
      </c>
      <c r="T675" s="15">
        <f t="shared" si="87"/>
        <v>37.878802511436348</v>
      </c>
    </row>
    <row r="676" spans="1:20" x14ac:dyDescent="0.3">
      <c r="A676" s="5">
        <v>42312.083333333336</v>
      </c>
      <c r="B676" s="14">
        <v>201367.786977001</v>
      </c>
      <c r="C676" s="14">
        <v>220579.99556067699</v>
      </c>
      <c r="D676" s="6">
        <v>5731</v>
      </c>
      <c r="E676" s="1">
        <v>2015</v>
      </c>
      <c r="F676" s="1">
        <v>11</v>
      </c>
      <c r="G676" s="1" t="s">
        <v>39</v>
      </c>
      <c r="H676" s="12">
        <v>42309</v>
      </c>
      <c r="I676" s="1">
        <v>4</v>
      </c>
      <c r="J676" s="1">
        <v>4</v>
      </c>
      <c r="K676" s="1" t="s">
        <v>25</v>
      </c>
      <c r="L676" s="1" t="s">
        <v>22</v>
      </c>
      <c r="M676" s="15">
        <f t="shared" si="80"/>
        <v>35.136588200488745</v>
      </c>
      <c r="N676" s="15">
        <f t="shared" si="81"/>
        <v>38.48891913464962</v>
      </c>
      <c r="O676" s="14">
        <f t="shared" si="82"/>
        <v>-19212.208583675994</v>
      </c>
      <c r="P676" s="13">
        <f t="shared" si="83"/>
        <v>-9.5408550057066957E-2</v>
      </c>
      <c r="Q676" s="15">
        <f t="shared" si="84"/>
        <v>-3.3523309341608751</v>
      </c>
      <c r="R676" s="13">
        <f t="shared" si="85"/>
        <v>-9.540855005706686E-2</v>
      </c>
      <c r="S676" s="15">
        <f t="shared" si="86"/>
        <v>35.267973231772061</v>
      </c>
      <c r="T676" s="15">
        <f t="shared" si="87"/>
        <v>37.937812307040076</v>
      </c>
    </row>
    <row r="677" spans="1:20" x14ac:dyDescent="0.3">
      <c r="A677" s="5">
        <v>42313.083333333336</v>
      </c>
      <c r="B677" s="14">
        <v>111874.558972953</v>
      </c>
      <c r="C677" s="14">
        <v>116637.034345283</v>
      </c>
      <c r="D677" s="6">
        <v>3036</v>
      </c>
      <c r="E677" s="1">
        <v>2015</v>
      </c>
      <c r="F677" s="1">
        <v>11</v>
      </c>
      <c r="G677" s="1" t="s">
        <v>39</v>
      </c>
      <c r="H677" s="12">
        <v>42309</v>
      </c>
      <c r="I677" s="1">
        <v>5</v>
      </c>
      <c r="J677" s="1">
        <v>5</v>
      </c>
      <c r="K677" s="1" t="s">
        <v>26</v>
      </c>
      <c r="L677" s="1" t="s">
        <v>22</v>
      </c>
      <c r="M677" s="15">
        <f t="shared" si="80"/>
        <v>36.849327724951586</v>
      </c>
      <c r="N677" s="15">
        <f t="shared" si="81"/>
        <v>38.417995502398881</v>
      </c>
      <c r="O677" s="14">
        <f t="shared" si="82"/>
        <v>-4762.4753723299946</v>
      </c>
      <c r="P677" s="13">
        <f t="shared" si="83"/>
        <v>-4.2569780082720853E-2</v>
      </c>
      <c r="Q677" s="15">
        <f t="shared" si="84"/>
        <v>-1.5686677774472955</v>
      </c>
      <c r="R677" s="13">
        <f t="shared" si="85"/>
        <v>-4.2569780082720804E-2</v>
      </c>
      <c r="S677" s="15">
        <f t="shared" si="86"/>
        <v>35.267973231772061</v>
      </c>
      <c r="T677" s="15">
        <f t="shared" si="87"/>
        <v>38.052910812843017</v>
      </c>
    </row>
    <row r="678" spans="1:20" x14ac:dyDescent="0.3">
      <c r="A678" s="5">
        <v>42314.083333333336</v>
      </c>
      <c r="B678" s="14">
        <v>214540.333090848</v>
      </c>
      <c r="C678" s="14">
        <v>223738.432718631</v>
      </c>
      <c r="D678" s="6">
        <v>5822</v>
      </c>
      <c r="E678" s="1">
        <v>2015</v>
      </c>
      <c r="F678" s="1">
        <v>11</v>
      </c>
      <c r="G678" s="1" t="s">
        <v>39</v>
      </c>
      <c r="H678" s="12">
        <v>42309</v>
      </c>
      <c r="I678" s="1">
        <v>6</v>
      </c>
      <c r="J678" s="1">
        <v>6</v>
      </c>
      <c r="K678" s="1" t="s">
        <v>27</v>
      </c>
      <c r="L678" s="1" t="s">
        <v>22</v>
      </c>
      <c r="M678" s="15">
        <f t="shared" si="80"/>
        <v>36.849936978847133</v>
      </c>
      <c r="N678" s="15">
        <f t="shared" si="81"/>
        <v>38.42982355180883</v>
      </c>
      <c r="O678" s="14">
        <f t="shared" si="82"/>
        <v>-9198.0996277829981</v>
      </c>
      <c r="P678" s="13">
        <f t="shared" si="83"/>
        <v>-4.2873521706932489E-2</v>
      </c>
      <c r="Q678" s="15">
        <f t="shared" si="84"/>
        <v>-1.5798865729616978</v>
      </c>
      <c r="R678" s="13">
        <f t="shared" si="85"/>
        <v>-4.2873521706932517E-2</v>
      </c>
      <c r="S678" s="15">
        <f t="shared" si="86"/>
        <v>35.267973231772061</v>
      </c>
      <c r="T678" s="15">
        <f t="shared" si="87"/>
        <v>37.966643145344143</v>
      </c>
    </row>
    <row r="679" spans="1:20" x14ac:dyDescent="0.3">
      <c r="A679" s="5">
        <v>42315.083333333336</v>
      </c>
      <c r="B679" s="14">
        <v>280264.24446527602</v>
      </c>
      <c r="C679" s="14">
        <v>306935.16039581399</v>
      </c>
      <c r="D679" s="6">
        <v>7987</v>
      </c>
      <c r="E679" s="1">
        <v>2015</v>
      </c>
      <c r="F679" s="1">
        <v>11</v>
      </c>
      <c r="G679" s="1" t="s">
        <v>39</v>
      </c>
      <c r="H679" s="12">
        <v>42309</v>
      </c>
      <c r="I679" s="1">
        <v>7</v>
      </c>
      <c r="J679" s="1">
        <v>7</v>
      </c>
      <c r="K679" s="1" t="s">
        <v>28</v>
      </c>
      <c r="L679" s="1" t="s">
        <v>22</v>
      </c>
      <c r="M679" s="15">
        <f t="shared" si="80"/>
        <v>35.090051892484787</v>
      </c>
      <c r="N679" s="15">
        <f t="shared" si="81"/>
        <v>38.429342731415296</v>
      </c>
      <c r="O679" s="14">
        <f t="shared" si="82"/>
        <v>-26670.915930537973</v>
      </c>
      <c r="P679" s="13">
        <f t="shared" si="83"/>
        <v>-9.5163462543800967E-2</v>
      </c>
      <c r="Q679" s="15">
        <f t="shared" si="84"/>
        <v>-3.3392908389305092</v>
      </c>
      <c r="R679" s="13">
        <f t="shared" si="85"/>
        <v>-9.5163462543800995E-2</v>
      </c>
      <c r="S679" s="15">
        <f t="shared" si="86"/>
        <v>35.267973231772061</v>
      </c>
      <c r="T679" s="15">
        <f t="shared" si="87"/>
        <v>37.822168139968404</v>
      </c>
    </row>
    <row r="680" spans="1:20" x14ac:dyDescent="0.3">
      <c r="A680" s="5">
        <v>42316.083333333336</v>
      </c>
      <c r="B680" s="14">
        <v>134136.72870995</v>
      </c>
      <c r="C680" s="14">
        <v>140236.30330013501</v>
      </c>
      <c r="D680" s="6">
        <v>3640</v>
      </c>
      <c r="E680" s="1">
        <v>2015</v>
      </c>
      <c r="F680" s="1">
        <v>11</v>
      </c>
      <c r="G680" s="1" t="s">
        <v>39</v>
      </c>
      <c r="H680" s="12">
        <v>42309</v>
      </c>
      <c r="I680" s="1">
        <v>8</v>
      </c>
      <c r="J680" s="1">
        <v>1</v>
      </c>
      <c r="K680" s="1" t="s">
        <v>29</v>
      </c>
      <c r="L680" s="1" t="s">
        <v>22</v>
      </c>
      <c r="M680" s="15">
        <f t="shared" si="80"/>
        <v>36.85074964559066</v>
      </c>
      <c r="N680" s="15">
        <f t="shared" si="81"/>
        <v>38.526456950586542</v>
      </c>
      <c r="O680" s="14">
        <f t="shared" si="82"/>
        <v>-6099.5745901850169</v>
      </c>
      <c r="P680" s="13">
        <f t="shared" si="83"/>
        <v>-4.5472814559048974E-2</v>
      </c>
      <c r="Q680" s="15">
        <f t="shared" si="84"/>
        <v>-1.6757073049958819</v>
      </c>
      <c r="R680" s="13">
        <f t="shared" si="85"/>
        <v>-4.5472814559048925E-2</v>
      </c>
      <c r="S680" s="15">
        <f t="shared" si="86"/>
        <v>35.267973231772061</v>
      </c>
      <c r="T680" s="15">
        <f t="shared" si="87"/>
        <v>37.736416080770596</v>
      </c>
    </row>
    <row r="681" spans="1:20" x14ac:dyDescent="0.3">
      <c r="A681" s="5">
        <v>42317.083333333336</v>
      </c>
      <c r="B681" s="14">
        <v>94243.4655279336</v>
      </c>
      <c r="C681" s="14">
        <v>89949.304171877302</v>
      </c>
      <c r="D681" s="6">
        <v>2338</v>
      </c>
      <c r="E681" s="1">
        <v>2015</v>
      </c>
      <c r="F681" s="1">
        <v>11</v>
      </c>
      <c r="G681" s="1" t="s">
        <v>39</v>
      </c>
      <c r="H681" s="12">
        <v>42309</v>
      </c>
      <c r="I681" s="1">
        <v>9</v>
      </c>
      <c r="J681" s="1">
        <v>2</v>
      </c>
      <c r="K681" s="1" t="s">
        <v>21</v>
      </c>
      <c r="L681" s="1" t="s">
        <v>22</v>
      </c>
      <c r="M681" s="15">
        <f t="shared" si="80"/>
        <v>40.309437779270148</v>
      </c>
      <c r="N681" s="15">
        <f t="shared" si="81"/>
        <v>38.47275627539662</v>
      </c>
      <c r="O681" s="14">
        <f t="shared" si="82"/>
        <v>4294.1613560562982</v>
      </c>
      <c r="P681" s="13">
        <f t="shared" si="83"/>
        <v>4.5564552746455572E-2</v>
      </c>
      <c r="Q681" s="15">
        <f t="shared" si="84"/>
        <v>1.8366815038735282</v>
      </c>
      <c r="R681" s="13">
        <f t="shared" si="85"/>
        <v>4.556455274645569E-2</v>
      </c>
      <c r="S681" s="15">
        <f t="shared" si="86"/>
        <v>35.267973231772061</v>
      </c>
      <c r="T681" s="15">
        <f t="shared" si="87"/>
        <v>37.765663703920232</v>
      </c>
    </row>
    <row r="682" spans="1:20" x14ac:dyDescent="0.3">
      <c r="A682" s="5">
        <v>42318.083333333336</v>
      </c>
      <c r="B682" s="14">
        <v>131436.197854736</v>
      </c>
      <c r="C682" s="14">
        <v>143823.38644063799</v>
      </c>
      <c r="D682" s="6">
        <v>3744</v>
      </c>
      <c r="E682" s="1">
        <v>2015</v>
      </c>
      <c r="F682" s="1">
        <v>11</v>
      </c>
      <c r="G682" s="1" t="s">
        <v>39</v>
      </c>
      <c r="H682" s="12">
        <v>42309</v>
      </c>
      <c r="I682" s="1">
        <v>10</v>
      </c>
      <c r="J682" s="1">
        <v>3</v>
      </c>
      <c r="K682" s="1" t="s">
        <v>23</v>
      </c>
      <c r="L682" s="1" t="s">
        <v>22</v>
      </c>
      <c r="M682" s="15">
        <f t="shared" si="80"/>
        <v>35.105822076585468</v>
      </c>
      <c r="N682" s="15">
        <f t="shared" si="81"/>
        <v>38.414366036495188</v>
      </c>
      <c r="O682" s="14">
        <f t="shared" si="82"/>
        <v>-12387.188585901982</v>
      </c>
      <c r="P682" s="13">
        <f t="shared" si="83"/>
        <v>-9.4244879173942406E-2</v>
      </c>
      <c r="Q682" s="15">
        <f t="shared" si="84"/>
        <v>-3.3085439599097199</v>
      </c>
      <c r="R682" s="13">
        <f t="shared" si="85"/>
        <v>-9.4244879173942475E-2</v>
      </c>
      <c r="S682" s="15">
        <f t="shared" si="86"/>
        <v>35.267973231772061</v>
      </c>
      <c r="T682" s="15">
        <f t="shared" si="87"/>
        <v>37.621448192505795</v>
      </c>
    </row>
    <row r="683" spans="1:20" x14ac:dyDescent="0.3">
      <c r="A683" s="5">
        <v>42319.083333333336</v>
      </c>
      <c r="B683" s="14">
        <v>147893.94147097599</v>
      </c>
      <c r="C683" s="14">
        <v>161665.60055441601</v>
      </c>
      <c r="D683" s="6">
        <v>4216</v>
      </c>
      <c r="E683" s="1">
        <v>2015</v>
      </c>
      <c r="F683" s="1">
        <v>11</v>
      </c>
      <c r="G683" s="1" t="s">
        <v>39</v>
      </c>
      <c r="H683" s="12">
        <v>42309</v>
      </c>
      <c r="I683" s="1">
        <v>11</v>
      </c>
      <c r="J683" s="1">
        <v>4</v>
      </c>
      <c r="K683" s="1" t="s">
        <v>25</v>
      </c>
      <c r="L683" s="1" t="s">
        <v>22</v>
      </c>
      <c r="M683" s="15">
        <f t="shared" si="80"/>
        <v>35.079208128789368</v>
      </c>
      <c r="N683" s="15">
        <f t="shared" si="81"/>
        <v>38.345730681787479</v>
      </c>
      <c r="O683" s="14">
        <f t="shared" si="82"/>
        <v>-13771.659083440027</v>
      </c>
      <c r="P683" s="13">
        <f t="shared" si="83"/>
        <v>-9.3118480354671587E-2</v>
      </c>
      <c r="Q683" s="15">
        <f t="shared" si="84"/>
        <v>-3.2665225529981115</v>
      </c>
      <c r="R683" s="13">
        <f t="shared" si="85"/>
        <v>-9.3118480354671671E-2</v>
      </c>
      <c r="S683" s="15">
        <f t="shared" si="86"/>
        <v>35.267973231772061</v>
      </c>
      <c r="T683" s="15">
        <f t="shared" si="87"/>
        <v>37.476781593417542</v>
      </c>
    </row>
    <row r="684" spans="1:20" x14ac:dyDescent="0.3">
      <c r="A684" s="5">
        <v>42320.083333333336</v>
      </c>
      <c r="B684" s="14">
        <v>140238.39051047101</v>
      </c>
      <c r="C684" s="14">
        <v>153481.453397303</v>
      </c>
      <c r="D684" s="6">
        <v>4000</v>
      </c>
      <c r="E684" s="1">
        <v>2015</v>
      </c>
      <c r="F684" s="1">
        <v>11</v>
      </c>
      <c r="G684" s="1" t="s">
        <v>39</v>
      </c>
      <c r="H684" s="12">
        <v>42309</v>
      </c>
      <c r="I684" s="1">
        <v>12</v>
      </c>
      <c r="J684" s="1">
        <v>5</v>
      </c>
      <c r="K684" s="1" t="s">
        <v>26</v>
      </c>
      <c r="L684" s="1" t="s">
        <v>22</v>
      </c>
      <c r="M684" s="15">
        <f t="shared" si="80"/>
        <v>35.059597627617755</v>
      </c>
      <c r="N684" s="15">
        <f t="shared" si="81"/>
        <v>38.37036334932575</v>
      </c>
      <c r="O684" s="14">
        <f t="shared" si="82"/>
        <v>-13243.062886831991</v>
      </c>
      <c r="P684" s="13">
        <f t="shared" si="83"/>
        <v>-9.4432507665175941E-2</v>
      </c>
      <c r="Q684" s="15">
        <f t="shared" si="84"/>
        <v>-3.3107657217079947</v>
      </c>
      <c r="R684" s="13">
        <f t="shared" si="85"/>
        <v>-9.4432507665175844E-2</v>
      </c>
      <c r="S684" s="15">
        <f t="shared" si="86"/>
        <v>35.267973231772061</v>
      </c>
      <c r="T684" s="15">
        <f t="shared" si="87"/>
        <v>37.331066149748899</v>
      </c>
    </row>
    <row r="685" spans="1:20" x14ac:dyDescent="0.3">
      <c r="A685" s="5">
        <v>42321.083333333336</v>
      </c>
      <c r="B685" s="14">
        <v>358183.77400468499</v>
      </c>
      <c r="C685" s="14">
        <v>391310.320684937</v>
      </c>
      <c r="D685" s="6">
        <v>10204</v>
      </c>
      <c r="E685" s="1">
        <v>2015</v>
      </c>
      <c r="F685" s="1">
        <v>11</v>
      </c>
      <c r="G685" s="1" t="s">
        <v>39</v>
      </c>
      <c r="H685" s="12">
        <v>42309</v>
      </c>
      <c r="I685" s="1">
        <v>13</v>
      </c>
      <c r="J685" s="1">
        <v>6</v>
      </c>
      <c r="K685" s="1" t="s">
        <v>27</v>
      </c>
      <c r="L685" s="1" t="s">
        <v>22</v>
      </c>
      <c r="M685" s="15">
        <f t="shared" si="80"/>
        <v>35.102290670784498</v>
      </c>
      <c r="N685" s="15">
        <f t="shared" si="81"/>
        <v>38.348718216869564</v>
      </c>
      <c r="O685" s="14">
        <f t="shared" si="82"/>
        <v>-33126.54668025201</v>
      </c>
      <c r="P685" s="13">
        <f t="shared" si="83"/>
        <v>-9.2484777604187954E-2</v>
      </c>
      <c r="Q685" s="15">
        <f t="shared" si="84"/>
        <v>-3.2464275460850658</v>
      </c>
      <c r="R685" s="13">
        <f t="shared" si="85"/>
        <v>-9.2484777604187954E-2</v>
      </c>
      <c r="S685" s="15">
        <f t="shared" si="86"/>
        <v>35.267973231772061</v>
      </c>
      <c r="T685" s="15">
        <f t="shared" si="87"/>
        <v>37.186631061053852</v>
      </c>
    </row>
    <row r="686" spans="1:20" x14ac:dyDescent="0.3">
      <c r="A686" s="5">
        <v>42322.083333333336</v>
      </c>
      <c r="B686" s="14">
        <v>377937.13869747298</v>
      </c>
      <c r="C686" s="14">
        <v>413010.22904512897</v>
      </c>
      <c r="D686" s="6">
        <v>10769</v>
      </c>
      <c r="E686" s="1">
        <v>2015</v>
      </c>
      <c r="F686" s="1">
        <v>11</v>
      </c>
      <c r="G686" s="1" t="s">
        <v>39</v>
      </c>
      <c r="H686" s="12">
        <v>42309</v>
      </c>
      <c r="I686" s="1">
        <v>14</v>
      </c>
      <c r="J686" s="1">
        <v>7</v>
      </c>
      <c r="K686" s="1" t="s">
        <v>28</v>
      </c>
      <c r="L686" s="1" t="s">
        <v>22</v>
      </c>
      <c r="M686" s="15">
        <f t="shared" si="80"/>
        <v>35.094914912942052</v>
      </c>
      <c r="N686" s="15">
        <f t="shared" si="81"/>
        <v>38.351771663583335</v>
      </c>
      <c r="O686" s="14">
        <f t="shared" si="82"/>
        <v>-35073.090347655991</v>
      </c>
      <c r="P686" s="13">
        <f t="shared" si="83"/>
        <v>-9.2801386147263284E-2</v>
      </c>
      <c r="Q686" s="15">
        <f t="shared" si="84"/>
        <v>-3.2568567506412833</v>
      </c>
      <c r="R686" s="13">
        <f t="shared" si="85"/>
        <v>-9.2801386147263257E-2</v>
      </c>
      <c r="S686" s="15">
        <f t="shared" si="86"/>
        <v>35.267973231772061</v>
      </c>
      <c r="T686" s="15">
        <f t="shared" si="87"/>
        <v>37.042514187348921</v>
      </c>
    </row>
    <row r="687" spans="1:20" x14ac:dyDescent="0.3">
      <c r="A687" s="5">
        <v>42323.083333333336</v>
      </c>
      <c r="B687" s="14">
        <v>168729.96240320901</v>
      </c>
      <c r="C687" s="14">
        <v>184673.488505802</v>
      </c>
      <c r="D687" s="6">
        <v>4803</v>
      </c>
      <c r="E687" s="1">
        <v>2015</v>
      </c>
      <c r="F687" s="1">
        <v>11</v>
      </c>
      <c r="G687" s="1" t="s">
        <v>39</v>
      </c>
      <c r="H687" s="12">
        <v>42309</v>
      </c>
      <c r="I687" s="1">
        <v>15</v>
      </c>
      <c r="J687" s="1">
        <v>1</v>
      </c>
      <c r="K687" s="1" t="s">
        <v>29</v>
      </c>
      <c r="L687" s="1" t="s">
        <v>22</v>
      </c>
      <c r="M687" s="15">
        <f t="shared" si="80"/>
        <v>35.130119176183427</v>
      </c>
      <c r="N687" s="15">
        <f t="shared" si="81"/>
        <v>38.449612430939411</v>
      </c>
      <c r="O687" s="14">
        <f t="shared" si="82"/>
        <v>-15943.526102592994</v>
      </c>
      <c r="P687" s="13">
        <f t="shared" si="83"/>
        <v>-9.4491374712057485E-2</v>
      </c>
      <c r="Q687" s="15">
        <f t="shared" si="84"/>
        <v>-3.319493254755983</v>
      </c>
      <c r="R687" s="13">
        <f t="shared" si="85"/>
        <v>-9.4491374712057444E-2</v>
      </c>
      <c r="S687" s="15">
        <f t="shared" si="86"/>
        <v>35.267973231772061</v>
      </c>
      <c r="T687" s="15">
        <f t="shared" si="87"/>
        <v>36.899054152704785</v>
      </c>
    </row>
    <row r="688" spans="1:20" x14ac:dyDescent="0.3">
      <c r="A688" s="5">
        <v>42324.083333333336</v>
      </c>
      <c r="B688" s="14">
        <v>177192.56981712001</v>
      </c>
      <c r="C688" s="14">
        <v>193615.30370473</v>
      </c>
      <c r="D688" s="6">
        <v>5042</v>
      </c>
      <c r="E688" s="1">
        <v>2015</v>
      </c>
      <c r="F688" s="1">
        <v>11</v>
      </c>
      <c r="G688" s="1" t="s">
        <v>39</v>
      </c>
      <c r="H688" s="12">
        <v>42309</v>
      </c>
      <c r="I688" s="1">
        <v>16</v>
      </c>
      <c r="J688" s="1">
        <v>2</v>
      </c>
      <c r="K688" s="1" t="s">
        <v>21</v>
      </c>
      <c r="L688" s="1" t="s">
        <v>22</v>
      </c>
      <c r="M688" s="15">
        <f t="shared" si="80"/>
        <v>35.143310158095993</v>
      </c>
      <c r="N688" s="15">
        <f t="shared" si="81"/>
        <v>38.400496569760016</v>
      </c>
      <c r="O688" s="14">
        <f t="shared" si="82"/>
        <v>-16422.733887609997</v>
      </c>
      <c r="P688" s="13">
        <f t="shared" si="83"/>
        <v>-9.2682971439264406E-2</v>
      </c>
      <c r="Q688" s="15">
        <f t="shared" si="84"/>
        <v>-3.2571864116640228</v>
      </c>
      <c r="R688" s="13">
        <f t="shared" si="85"/>
        <v>-9.2682971439264447E-2</v>
      </c>
      <c r="S688" s="15">
        <f t="shared" si="86"/>
        <v>35.267973231772061</v>
      </c>
      <c r="T688" s="15">
        <f t="shared" si="87"/>
        <v>36.756405525011253</v>
      </c>
    </row>
    <row r="689" spans="1:20" x14ac:dyDescent="0.3">
      <c r="A689" s="5">
        <v>42325.083333333336</v>
      </c>
      <c r="B689" s="14">
        <v>152368.749092446</v>
      </c>
      <c r="C689" s="14">
        <v>166625.365017798</v>
      </c>
      <c r="D689" s="6">
        <v>4342</v>
      </c>
      <c r="E689" s="1">
        <v>2015</v>
      </c>
      <c r="F689" s="1">
        <v>11</v>
      </c>
      <c r="G689" s="1" t="s">
        <v>39</v>
      </c>
      <c r="H689" s="12">
        <v>42309</v>
      </c>
      <c r="I689" s="1">
        <v>17</v>
      </c>
      <c r="J689" s="1">
        <v>3</v>
      </c>
      <c r="K689" s="1" t="s">
        <v>23</v>
      </c>
      <c r="L689" s="1" t="s">
        <v>22</v>
      </c>
      <c r="M689" s="15">
        <f t="shared" si="80"/>
        <v>35.091835350632429</v>
      </c>
      <c r="N689" s="15">
        <f t="shared" si="81"/>
        <v>38.375256798203132</v>
      </c>
      <c r="O689" s="14">
        <f t="shared" si="82"/>
        <v>-14256.615925352002</v>
      </c>
      <c r="P689" s="13">
        <f t="shared" si="83"/>
        <v>-9.3566535200089812E-2</v>
      </c>
      <c r="Q689" s="15">
        <f t="shared" si="84"/>
        <v>-3.2834214475707029</v>
      </c>
      <c r="R689" s="13">
        <f t="shared" si="85"/>
        <v>-9.3566535200089743E-2</v>
      </c>
      <c r="S689" s="15">
        <f t="shared" si="86"/>
        <v>35.267973231772061</v>
      </c>
      <c r="T689" s="15">
        <f t="shared" si="87"/>
        <v>36.611957613742497</v>
      </c>
    </row>
    <row r="690" spans="1:20" x14ac:dyDescent="0.3">
      <c r="A690" s="5">
        <v>42326.083333333336</v>
      </c>
      <c r="B690" s="14">
        <v>147471.804919516</v>
      </c>
      <c r="C690" s="14">
        <v>161402.91869953001</v>
      </c>
      <c r="D690" s="6">
        <v>4202</v>
      </c>
      <c r="E690" s="1">
        <v>2015</v>
      </c>
      <c r="F690" s="1">
        <v>11</v>
      </c>
      <c r="G690" s="1" t="s">
        <v>39</v>
      </c>
      <c r="H690" s="12">
        <v>42309</v>
      </c>
      <c r="I690" s="1">
        <v>18</v>
      </c>
      <c r="J690" s="1">
        <v>4</v>
      </c>
      <c r="K690" s="1" t="s">
        <v>25</v>
      </c>
      <c r="L690" s="1" t="s">
        <v>22</v>
      </c>
      <c r="M690" s="15">
        <f t="shared" si="80"/>
        <v>35.095622303549739</v>
      </c>
      <c r="N690" s="15">
        <f t="shared" si="81"/>
        <v>38.4109754163565</v>
      </c>
      <c r="O690" s="14">
        <f t="shared" si="82"/>
        <v>-13931.113780014013</v>
      </c>
      <c r="P690" s="13">
        <f t="shared" si="83"/>
        <v>-9.4466286539430622E-2</v>
      </c>
      <c r="Q690" s="15">
        <f t="shared" si="84"/>
        <v>-3.3153531128067613</v>
      </c>
      <c r="R690" s="13">
        <f t="shared" si="85"/>
        <v>-9.4466286539430608E-2</v>
      </c>
      <c r="S690" s="15">
        <f t="shared" si="86"/>
        <v>35.267973231772061</v>
      </c>
      <c r="T690" s="15">
        <f t="shared" si="87"/>
        <v>36.467391241919316</v>
      </c>
    </row>
    <row r="691" spans="1:20" x14ac:dyDescent="0.3">
      <c r="A691" s="5">
        <v>42327.083333333336</v>
      </c>
      <c r="B691" s="14">
        <v>145697.15198235601</v>
      </c>
      <c r="C691" s="14">
        <v>159317.60939427299</v>
      </c>
      <c r="D691" s="6">
        <v>4151</v>
      </c>
      <c r="E691" s="1">
        <v>2015</v>
      </c>
      <c r="F691" s="1">
        <v>11</v>
      </c>
      <c r="G691" s="1" t="s">
        <v>39</v>
      </c>
      <c r="H691" s="12">
        <v>42309</v>
      </c>
      <c r="I691" s="1">
        <v>19</v>
      </c>
      <c r="J691" s="1">
        <v>5</v>
      </c>
      <c r="K691" s="1" t="s">
        <v>26</v>
      </c>
      <c r="L691" s="1" t="s">
        <v>22</v>
      </c>
      <c r="M691" s="15">
        <f t="shared" si="80"/>
        <v>35.099289805433877</v>
      </c>
      <c r="N691" s="15">
        <f t="shared" si="81"/>
        <v>38.380537074023849</v>
      </c>
      <c r="O691" s="14">
        <f t="shared" si="82"/>
        <v>-13620.457411916985</v>
      </c>
      <c r="P691" s="13">
        <f t="shared" si="83"/>
        <v>-9.3484719684612833E-2</v>
      </c>
      <c r="Q691" s="15">
        <f t="shared" si="84"/>
        <v>-3.2812472685899721</v>
      </c>
      <c r="R691" s="13">
        <f t="shared" si="85"/>
        <v>-9.3484719684612749E-2</v>
      </c>
      <c r="S691" s="15">
        <f t="shared" si="86"/>
        <v>35.267973231772061</v>
      </c>
      <c r="T691" s="15">
        <f t="shared" si="87"/>
        <v>36.323569365956892</v>
      </c>
    </row>
    <row r="692" spans="1:20" x14ac:dyDescent="0.3">
      <c r="A692" s="5">
        <v>42328.083333333336</v>
      </c>
      <c r="B692" s="14">
        <v>301033.98651272198</v>
      </c>
      <c r="C692" s="14">
        <v>328965.14326488</v>
      </c>
      <c r="D692" s="6">
        <v>8567</v>
      </c>
      <c r="E692" s="1">
        <v>2015</v>
      </c>
      <c r="F692" s="1">
        <v>11</v>
      </c>
      <c r="G692" s="1" t="s">
        <v>39</v>
      </c>
      <c r="H692" s="12">
        <v>42309</v>
      </c>
      <c r="I692" s="1">
        <v>20</v>
      </c>
      <c r="J692" s="1">
        <v>6</v>
      </c>
      <c r="K692" s="1" t="s">
        <v>27</v>
      </c>
      <c r="L692" s="1" t="s">
        <v>22</v>
      </c>
      <c r="M692" s="15">
        <f t="shared" si="80"/>
        <v>35.138786799664061</v>
      </c>
      <c r="N692" s="15">
        <f t="shared" si="81"/>
        <v>38.399106252466439</v>
      </c>
      <c r="O692" s="14">
        <f t="shared" si="82"/>
        <v>-27931.156752158015</v>
      </c>
      <c r="P692" s="13">
        <f t="shared" si="83"/>
        <v>-9.2784064270356459E-2</v>
      </c>
      <c r="Q692" s="15">
        <f t="shared" si="84"/>
        <v>-3.2603194528023778</v>
      </c>
      <c r="R692" s="13">
        <f t="shared" si="85"/>
        <v>-9.2784064270356306E-2</v>
      </c>
      <c r="S692" s="15">
        <f t="shared" si="86"/>
        <v>35.267973231772061</v>
      </c>
      <c r="T692" s="15">
        <f t="shared" si="87"/>
        <v>36.180187287217294</v>
      </c>
    </row>
    <row r="693" spans="1:20" x14ac:dyDescent="0.3">
      <c r="A693" s="5">
        <v>42329.083333333336</v>
      </c>
      <c r="B693" s="14">
        <v>309518.07207128499</v>
      </c>
      <c r="C693" s="14">
        <v>338720.02362598601</v>
      </c>
      <c r="D693" s="6">
        <v>8811</v>
      </c>
      <c r="E693" s="1">
        <v>2015</v>
      </c>
      <c r="F693" s="1">
        <v>11</v>
      </c>
      <c r="G693" s="1" t="s">
        <v>39</v>
      </c>
      <c r="H693" s="12">
        <v>42309</v>
      </c>
      <c r="I693" s="1">
        <v>21</v>
      </c>
      <c r="J693" s="1">
        <v>7</v>
      </c>
      <c r="K693" s="1" t="s">
        <v>28</v>
      </c>
      <c r="L693" s="1" t="s">
        <v>22</v>
      </c>
      <c r="M693" s="15">
        <f t="shared" si="80"/>
        <v>35.128597443114856</v>
      </c>
      <c r="N693" s="15">
        <f t="shared" si="81"/>
        <v>38.442858202926573</v>
      </c>
      <c r="O693" s="14">
        <f t="shared" si="82"/>
        <v>-29201.951554701023</v>
      </c>
      <c r="P693" s="13">
        <f t="shared" si="83"/>
        <v>-9.4346515404682196E-2</v>
      </c>
      <c r="Q693" s="15">
        <f t="shared" si="84"/>
        <v>-3.3142607598117166</v>
      </c>
      <c r="R693" s="13">
        <f t="shared" si="85"/>
        <v>-9.4346515404682238E-2</v>
      </c>
      <c r="S693" s="15">
        <f t="shared" si="86"/>
        <v>35.267973231772061</v>
      </c>
      <c r="T693" s="15">
        <f t="shared" si="87"/>
        <v>36.037300539006687</v>
      </c>
    </row>
    <row r="694" spans="1:20" x14ac:dyDescent="0.3">
      <c r="A694" s="5">
        <v>42330.083333333336</v>
      </c>
      <c r="B694" s="14">
        <v>152504.63172735399</v>
      </c>
      <c r="C694" s="14">
        <v>167600.650935746</v>
      </c>
      <c r="D694" s="6">
        <v>4345</v>
      </c>
      <c r="E694" s="1">
        <v>2015</v>
      </c>
      <c r="F694" s="1">
        <v>11</v>
      </c>
      <c r="G694" s="1" t="s">
        <v>39</v>
      </c>
      <c r="H694" s="12">
        <v>42309</v>
      </c>
      <c r="I694" s="1">
        <v>22</v>
      </c>
      <c r="J694" s="1">
        <v>1</v>
      </c>
      <c r="K694" s="1" t="s">
        <v>29</v>
      </c>
      <c r="L694" s="1" t="s">
        <v>22</v>
      </c>
      <c r="M694" s="15">
        <f t="shared" si="80"/>
        <v>35.098879569011274</v>
      </c>
      <c r="N694" s="15">
        <f t="shared" si="81"/>
        <v>38.573222309722901</v>
      </c>
      <c r="O694" s="14">
        <f t="shared" si="82"/>
        <v>-15096.019208392012</v>
      </c>
      <c r="P694" s="13">
        <f t="shared" si="83"/>
        <v>-9.8987283451039701E-2</v>
      </c>
      <c r="Q694" s="15">
        <f t="shared" si="84"/>
        <v>-3.4743427407116272</v>
      </c>
      <c r="R694" s="13">
        <f t="shared" si="85"/>
        <v>-9.8987283451039756E-2</v>
      </c>
      <c r="S694" s="15">
        <f t="shared" si="86"/>
        <v>35.267973231772061</v>
      </c>
      <c r="T694" s="15">
        <f t="shared" si="87"/>
        <v>35.979106365556284</v>
      </c>
    </row>
    <row r="695" spans="1:20" x14ac:dyDescent="0.3">
      <c r="A695" s="5">
        <v>42331.083333333336</v>
      </c>
      <c r="B695" s="14">
        <v>79711.583414100503</v>
      </c>
      <c r="C695" s="14">
        <v>74375.788707864995</v>
      </c>
      <c r="D695" s="6">
        <v>1937</v>
      </c>
      <c r="E695" s="1">
        <v>2015</v>
      </c>
      <c r="F695" s="1">
        <v>11</v>
      </c>
      <c r="G695" s="1" t="s">
        <v>39</v>
      </c>
      <c r="H695" s="12">
        <v>42309</v>
      </c>
      <c r="I695" s="1">
        <v>23</v>
      </c>
      <c r="J695" s="1">
        <v>2</v>
      </c>
      <c r="K695" s="1" t="s">
        <v>21</v>
      </c>
      <c r="L695" s="1" t="s">
        <v>22</v>
      </c>
      <c r="M695" s="15">
        <f t="shared" si="80"/>
        <v>41.152082299484</v>
      </c>
      <c r="N695" s="15">
        <f t="shared" si="81"/>
        <v>38.397412858990705</v>
      </c>
      <c r="O695" s="14">
        <f t="shared" si="82"/>
        <v>5335.7947062355088</v>
      </c>
      <c r="P695" s="13">
        <f t="shared" si="83"/>
        <v>6.6938761942742175E-2</v>
      </c>
      <c r="Q695" s="15">
        <f t="shared" si="84"/>
        <v>2.754669440493295</v>
      </c>
      <c r="R695" s="13">
        <f t="shared" si="85"/>
        <v>6.6938761942742217E-2</v>
      </c>
      <c r="S695" s="15">
        <f t="shared" si="86"/>
        <v>35.267973231772061</v>
      </c>
      <c r="T695" s="15">
        <f t="shared" si="87"/>
        <v>36.12307316980305</v>
      </c>
    </row>
    <row r="696" spans="1:20" x14ac:dyDescent="0.3">
      <c r="A696" s="5">
        <v>42332.083333333336</v>
      </c>
      <c r="B696" s="14">
        <v>111021.37911399901</v>
      </c>
      <c r="C696" s="14">
        <v>121456.52401919699</v>
      </c>
      <c r="D696" s="6">
        <v>3160</v>
      </c>
      <c r="E696" s="1">
        <v>2015</v>
      </c>
      <c r="F696" s="1">
        <v>11</v>
      </c>
      <c r="G696" s="1" t="s">
        <v>39</v>
      </c>
      <c r="H696" s="12">
        <v>42309</v>
      </c>
      <c r="I696" s="1">
        <v>24</v>
      </c>
      <c r="J696" s="1">
        <v>3</v>
      </c>
      <c r="K696" s="1" t="s">
        <v>23</v>
      </c>
      <c r="L696" s="1" t="s">
        <v>22</v>
      </c>
      <c r="M696" s="15">
        <f t="shared" si="80"/>
        <v>35.13334782088576</v>
      </c>
      <c r="N696" s="15">
        <f t="shared" si="81"/>
        <v>38.435608866834492</v>
      </c>
      <c r="O696" s="14">
        <f t="shared" si="82"/>
        <v>-10435.144905197987</v>
      </c>
      <c r="P696" s="13">
        <f t="shared" si="83"/>
        <v>-9.3992211126137856E-2</v>
      </c>
      <c r="Q696" s="15">
        <f t="shared" si="84"/>
        <v>-3.3022610459487325</v>
      </c>
      <c r="R696" s="13">
        <f t="shared" si="85"/>
        <v>-9.3992211126137939E-2</v>
      </c>
      <c r="S696" s="15">
        <f t="shared" si="86"/>
        <v>35.267973231772061</v>
      </c>
      <c r="T696" s="15">
        <f t="shared" si="87"/>
        <v>36.065487294367557</v>
      </c>
    </row>
    <row r="697" spans="1:20" x14ac:dyDescent="0.3">
      <c r="A697" s="5">
        <v>42333.083333333336</v>
      </c>
      <c r="B697" s="14">
        <v>243161.25923328899</v>
      </c>
      <c r="C697" s="14">
        <v>266054.36985679303</v>
      </c>
      <c r="D697" s="6">
        <v>6924</v>
      </c>
      <c r="E697" s="1">
        <v>2015</v>
      </c>
      <c r="F697" s="1">
        <v>11</v>
      </c>
      <c r="G697" s="1" t="s">
        <v>39</v>
      </c>
      <c r="H697" s="12">
        <v>42309</v>
      </c>
      <c r="I697" s="1">
        <v>25</v>
      </c>
      <c r="J697" s="1">
        <v>4</v>
      </c>
      <c r="K697" s="1" t="s">
        <v>25</v>
      </c>
      <c r="L697" s="1" t="s">
        <v>22</v>
      </c>
      <c r="M697" s="15">
        <f t="shared" si="80"/>
        <v>35.118610518961439</v>
      </c>
      <c r="N697" s="15">
        <f t="shared" si="81"/>
        <v>38.424952319005349</v>
      </c>
      <c r="O697" s="14">
        <f t="shared" si="82"/>
        <v>-22893.110623504035</v>
      </c>
      <c r="P697" s="13">
        <f t="shared" si="83"/>
        <v>-9.4147853550718696E-2</v>
      </c>
      <c r="Q697" s="15">
        <f t="shared" si="84"/>
        <v>-3.30634180004391</v>
      </c>
      <c r="R697" s="13">
        <f t="shared" si="85"/>
        <v>-9.4147853550718669E-2</v>
      </c>
      <c r="S697" s="15">
        <f t="shared" si="86"/>
        <v>35.267973231772061</v>
      </c>
      <c r="T697" s="15">
        <f t="shared" si="87"/>
        <v>36.007935311144678</v>
      </c>
    </row>
    <row r="698" spans="1:20" x14ac:dyDescent="0.3">
      <c r="A698" s="5">
        <v>42334.083333333336</v>
      </c>
      <c r="B698" s="14">
        <v>311443.18123189698</v>
      </c>
      <c r="C698" s="14">
        <v>355343.87184090703</v>
      </c>
      <c r="D698" s="6">
        <v>9273</v>
      </c>
      <c r="E698" s="1">
        <v>2015</v>
      </c>
      <c r="F698" s="1">
        <v>11</v>
      </c>
      <c r="G698" s="1" t="s">
        <v>39</v>
      </c>
      <c r="H698" s="12">
        <v>42309</v>
      </c>
      <c r="I698" s="1">
        <v>26</v>
      </c>
      <c r="J698" s="1">
        <v>5</v>
      </c>
      <c r="K698" s="1" t="s">
        <v>26</v>
      </c>
      <c r="L698" s="1" t="s">
        <v>22</v>
      </c>
      <c r="M698" s="15">
        <f t="shared" si="80"/>
        <v>33.586021916520757</v>
      </c>
      <c r="N698" s="15">
        <f t="shared" si="81"/>
        <v>38.32027087683673</v>
      </c>
      <c r="O698" s="14">
        <f t="shared" si="82"/>
        <v>-43900.690609010053</v>
      </c>
      <c r="P698" s="13">
        <f t="shared" si="83"/>
        <v>-0.14095890760993129</v>
      </c>
      <c r="Q698" s="15">
        <f t="shared" si="84"/>
        <v>-4.7342489603159734</v>
      </c>
      <c r="R698" s="13">
        <f t="shared" si="85"/>
        <v>-0.14095890760993118</v>
      </c>
      <c r="S698" s="15">
        <f t="shared" si="86"/>
        <v>35.267973231772061</v>
      </c>
      <c r="T698" s="15">
        <f t="shared" si="87"/>
        <v>35.899358188213014</v>
      </c>
    </row>
    <row r="699" spans="1:20" x14ac:dyDescent="0.3">
      <c r="A699" s="5">
        <v>42335.083333333336</v>
      </c>
      <c r="B699" s="14">
        <v>375876.01342195302</v>
      </c>
      <c r="C699" s="14">
        <v>431325.68669367599</v>
      </c>
      <c r="D699" s="6">
        <v>11257</v>
      </c>
      <c r="E699" s="1">
        <v>2015</v>
      </c>
      <c r="F699" s="1">
        <v>11</v>
      </c>
      <c r="G699" s="1" t="s">
        <v>39</v>
      </c>
      <c r="H699" s="12">
        <v>42309</v>
      </c>
      <c r="I699" s="1">
        <v>27</v>
      </c>
      <c r="J699" s="1">
        <v>6</v>
      </c>
      <c r="K699" s="1" t="s">
        <v>27</v>
      </c>
      <c r="L699" s="1" t="s">
        <v>22</v>
      </c>
      <c r="M699" s="15">
        <f t="shared" si="80"/>
        <v>33.390424928662434</v>
      </c>
      <c r="N699" s="15">
        <f t="shared" si="81"/>
        <v>38.316219835984363</v>
      </c>
      <c r="O699" s="14">
        <f t="shared" si="82"/>
        <v>-55449.673271722975</v>
      </c>
      <c r="P699" s="13">
        <f t="shared" si="83"/>
        <v>-0.1475211806332424</v>
      </c>
      <c r="Q699" s="15">
        <f t="shared" si="84"/>
        <v>-4.9257949073219294</v>
      </c>
      <c r="R699" s="13">
        <f t="shared" si="85"/>
        <v>-0.14752118063324235</v>
      </c>
      <c r="S699" s="15">
        <f t="shared" si="86"/>
        <v>35.267973231772061</v>
      </c>
      <c r="T699" s="15">
        <f t="shared" si="87"/>
        <v>35.840704295265063</v>
      </c>
    </row>
    <row r="700" spans="1:20" x14ac:dyDescent="0.3">
      <c r="A700" s="5">
        <v>42336.083333333336</v>
      </c>
      <c r="B700" s="14">
        <v>434639.65899526898</v>
      </c>
      <c r="C700" s="14">
        <v>498895.61864535598</v>
      </c>
      <c r="D700" s="6">
        <v>13019</v>
      </c>
      <c r="E700" s="1">
        <v>2015</v>
      </c>
      <c r="F700" s="1">
        <v>11</v>
      </c>
      <c r="G700" s="1" t="s">
        <v>39</v>
      </c>
      <c r="H700" s="12">
        <v>42309</v>
      </c>
      <c r="I700" s="1">
        <v>28</v>
      </c>
      <c r="J700" s="1">
        <v>7</v>
      </c>
      <c r="K700" s="1" t="s">
        <v>28</v>
      </c>
      <c r="L700" s="1" t="s">
        <v>22</v>
      </c>
      <c r="M700" s="15">
        <f t="shared" si="80"/>
        <v>33.385026422556955</v>
      </c>
      <c r="N700" s="15">
        <f t="shared" si="81"/>
        <v>38.32057904949351</v>
      </c>
      <c r="O700" s="14">
        <f t="shared" si="82"/>
        <v>-64255.959650086996</v>
      </c>
      <c r="P700" s="13">
        <f t="shared" si="83"/>
        <v>-0.1478373137845353</v>
      </c>
      <c r="Q700" s="15">
        <f t="shared" si="84"/>
        <v>-4.9355526269365555</v>
      </c>
      <c r="R700" s="13">
        <f t="shared" si="85"/>
        <v>-0.14783731378453532</v>
      </c>
      <c r="S700" s="15">
        <f t="shared" si="86"/>
        <v>35.267973231772061</v>
      </c>
      <c r="T700" s="15">
        <f t="shared" si="87"/>
        <v>35.7253593092275</v>
      </c>
    </row>
    <row r="701" spans="1:20" x14ac:dyDescent="0.3">
      <c r="A701" s="5">
        <v>42337.083333333336</v>
      </c>
      <c r="B701" s="14">
        <v>238637.81635545599</v>
      </c>
      <c r="C701" s="14">
        <v>274093.57795911998</v>
      </c>
      <c r="D701" s="6">
        <v>7139</v>
      </c>
      <c r="E701" s="1">
        <v>2015</v>
      </c>
      <c r="F701" s="1">
        <v>11</v>
      </c>
      <c r="G701" s="1" t="s">
        <v>39</v>
      </c>
      <c r="H701" s="12">
        <v>42309</v>
      </c>
      <c r="I701" s="1">
        <v>29</v>
      </c>
      <c r="J701" s="1">
        <v>1</v>
      </c>
      <c r="K701" s="1" t="s">
        <v>29</v>
      </c>
      <c r="L701" s="1" t="s">
        <v>22</v>
      </c>
      <c r="M701" s="15">
        <f t="shared" si="80"/>
        <v>33.427345056094126</v>
      </c>
      <c r="N701" s="15">
        <f t="shared" si="81"/>
        <v>38.393833584412377</v>
      </c>
      <c r="O701" s="14">
        <f t="shared" si="82"/>
        <v>-35455.761603663996</v>
      </c>
      <c r="P701" s="13">
        <f t="shared" si="83"/>
        <v>-0.14857562034867056</v>
      </c>
      <c r="Q701" s="15">
        <f t="shared" si="84"/>
        <v>-4.9664885283182514</v>
      </c>
      <c r="R701" s="13">
        <f t="shared" si="85"/>
        <v>-0.14857562034867058</v>
      </c>
      <c r="S701" s="15">
        <f t="shared" si="86"/>
        <v>35.267973231772061</v>
      </c>
      <c r="T701" s="15">
        <f t="shared" si="87"/>
        <v>35.610431659937746</v>
      </c>
    </row>
    <row r="702" spans="1:20" x14ac:dyDescent="0.3">
      <c r="A702" s="5">
        <v>42338.083333333336</v>
      </c>
      <c r="B702" s="14">
        <v>260653.66696349601</v>
      </c>
      <c r="C702" s="14">
        <v>283981.15068864397</v>
      </c>
      <c r="D702" s="6">
        <v>7423</v>
      </c>
      <c r="E702" s="1">
        <v>2015</v>
      </c>
      <c r="F702" s="1">
        <v>11</v>
      </c>
      <c r="G702" s="1" t="s">
        <v>39</v>
      </c>
      <c r="H702" s="12">
        <v>42309</v>
      </c>
      <c r="I702" s="1">
        <v>30</v>
      </c>
      <c r="J702" s="1">
        <v>2</v>
      </c>
      <c r="K702" s="1" t="s">
        <v>21</v>
      </c>
      <c r="L702" s="1" t="s">
        <v>22</v>
      </c>
      <c r="M702" s="15">
        <f t="shared" si="80"/>
        <v>35.114329376733934</v>
      </c>
      <c r="N702" s="15">
        <f t="shared" si="81"/>
        <v>38.256924516858952</v>
      </c>
      <c r="O702" s="14">
        <f t="shared" si="82"/>
        <v>-23327.483725147962</v>
      </c>
      <c r="P702" s="13">
        <f t="shared" si="83"/>
        <v>-8.9496088802061349E-2</v>
      </c>
      <c r="Q702" s="15">
        <f t="shared" si="84"/>
        <v>-3.1425951401250174</v>
      </c>
      <c r="R702" s="13">
        <f t="shared" si="85"/>
        <v>-8.9496088802061516E-2</v>
      </c>
      <c r="S702" s="15">
        <f t="shared" si="86"/>
        <v>35.267973231772061</v>
      </c>
      <c r="T702" s="15">
        <f t="shared" si="87"/>
        <v>35.609828655836139</v>
      </c>
    </row>
    <row r="703" spans="1:20" x14ac:dyDescent="0.3">
      <c r="A703" s="5">
        <v>42339.083333333336</v>
      </c>
      <c r="B703" s="14">
        <v>262394.78001827898</v>
      </c>
      <c r="C703" s="14">
        <v>285838.55681476899</v>
      </c>
      <c r="D703" s="6">
        <v>7474</v>
      </c>
      <c r="E703" s="1">
        <v>2015</v>
      </c>
      <c r="F703" s="1">
        <v>12</v>
      </c>
      <c r="G703" s="1" t="s">
        <v>20</v>
      </c>
      <c r="H703" s="12">
        <v>42339</v>
      </c>
      <c r="I703" s="1">
        <v>1</v>
      </c>
      <c r="J703" s="1">
        <v>3</v>
      </c>
      <c r="K703" s="1" t="s">
        <v>23</v>
      </c>
      <c r="L703" s="1" t="s">
        <v>22</v>
      </c>
      <c r="M703" s="15">
        <f t="shared" si="80"/>
        <v>35.107677283687316</v>
      </c>
      <c r="N703" s="15">
        <f t="shared" si="81"/>
        <v>38.244388120787931</v>
      </c>
      <c r="O703" s="14">
        <f t="shared" si="82"/>
        <v>-23443.776796490012</v>
      </c>
      <c r="P703" s="13">
        <f t="shared" si="83"/>
        <v>-8.9345438940732241E-2</v>
      </c>
      <c r="Q703" s="15">
        <f t="shared" si="84"/>
        <v>-3.1367108371006154</v>
      </c>
      <c r="R703" s="13">
        <f t="shared" si="85"/>
        <v>-8.9345438940732186E-2</v>
      </c>
      <c r="S703" s="15">
        <f t="shared" si="86"/>
        <v>35.267973231772061</v>
      </c>
      <c r="T703" s="15">
        <f t="shared" si="87"/>
        <v>35.551971868975407</v>
      </c>
    </row>
    <row r="704" spans="1:20" x14ac:dyDescent="0.3">
      <c r="A704" s="5">
        <v>42340.083333333336</v>
      </c>
      <c r="B704" s="14">
        <v>248437.71130109401</v>
      </c>
      <c r="C704" s="14">
        <v>269807.62043909798</v>
      </c>
      <c r="D704" s="6">
        <v>7056</v>
      </c>
      <c r="E704" s="1">
        <v>2015</v>
      </c>
      <c r="F704" s="1">
        <v>12</v>
      </c>
      <c r="G704" s="1" t="s">
        <v>20</v>
      </c>
      <c r="H704" s="12">
        <v>42339</v>
      </c>
      <c r="I704" s="1">
        <v>2</v>
      </c>
      <c r="J704" s="1">
        <v>4</v>
      </c>
      <c r="K704" s="1" t="s">
        <v>25</v>
      </c>
      <c r="L704" s="1" t="s">
        <v>22</v>
      </c>
      <c r="M704" s="15">
        <f t="shared" si="80"/>
        <v>35.20942620480357</v>
      </c>
      <c r="N704" s="15">
        <f t="shared" si="81"/>
        <v>38.238041445450392</v>
      </c>
      <c r="O704" s="14">
        <f t="shared" si="82"/>
        <v>-21369.909138003975</v>
      </c>
      <c r="P704" s="13">
        <f t="shared" si="83"/>
        <v>-8.6017171169737269E-2</v>
      </c>
      <c r="Q704" s="15">
        <f t="shared" si="84"/>
        <v>-3.0286152406468219</v>
      </c>
      <c r="R704" s="13">
        <f t="shared" si="85"/>
        <v>-8.6017171169737283E-2</v>
      </c>
      <c r="S704" s="15">
        <f t="shared" si="86"/>
        <v>35.267973231772061</v>
      </c>
      <c r="T704" s="15">
        <f t="shared" si="87"/>
        <v>35.497466396920437</v>
      </c>
    </row>
    <row r="705" spans="1:20" x14ac:dyDescent="0.3">
      <c r="A705" s="5">
        <v>42341.083333333336</v>
      </c>
      <c r="B705" s="14">
        <v>201048.83046167399</v>
      </c>
      <c r="C705" s="14">
        <v>219110.39319645401</v>
      </c>
      <c r="D705" s="6">
        <v>5732</v>
      </c>
      <c r="E705" s="1">
        <v>2015</v>
      </c>
      <c r="F705" s="1">
        <v>12</v>
      </c>
      <c r="G705" s="1" t="s">
        <v>20</v>
      </c>
      <c r="H705" s="12">
        <v>42339</v>
      </c>
      <c r="I705" s="1">
        <v>3</v>
      </c>
      <c r="J705" s="1">
        <v>5</v>
      </c>
      <c r="K705" s="1" t="s">
        <v>26</v>
      </c>
      <c r="L705" s="1" t="s">
        <v>22</v>
      </c>
      <c r="M705" s="15">
        <f t="shared" si="80"/>
        <v>35.074813409224355</v>
      </c>
      <c r="N705" s="15">
        <f t="shared" si="81"/>
        <v>38.22581877118877</v>
      </c>
      <c r="O705" s="14">
        <f t="shared" si="82"/>
        <v>-18061.562734780018</v>
      </c>
      <c r="P705" s="13">
        <f t="shared" si="83"/>
        <v>-8.9836696355331952E-2</v>
      </c>
      <c r="Q705" s="15">
        <f t="shared" si="84"/>
        <v>-3.1510053619644154</v>
      </c>
      <c r="R705" s="13">
        <f t="shared" si="85"/>
        <v>-8.9836696355331994E-2</v>
      </c>
      <c r="S705" s="15">
        <f t="shared" si="86"/>
        <v>35.267973231772061</v>
      </c>
      <c r="T705" s="15">
        <f t="shared" si="87"/>
        <v>35.438449049388417</v>
      </c>
    </row>
    <row r="706" spans="1:20" x14ac:dyDescent="0.3">
      <c r="A706" s="5">
        <v>42342.083333333336</v>
      </c>
      <c r="B706" s="14">
        <v>317690.76093605103</v>
      </c>
      <c r="C706" s="14">
        <v>345449.52994686097</v>
      </c>
      <c r="D706" s="6">
        <v>9038</v>
      </c>
      <c r="E706" s="1">
        <v>2015</v>
      </c>
      <c r="F706" s="1">
        <v>12</v>
      </c>
      <c r="G706" s="1" t="s">
        <v>20</v>
      </c>
      <c r="H706" s="12">
        <v>42339</v>
      </c>
      <c r="I706" s="1">
        <v>4</v>
      </c>
      <c r="J706" s="1">
        <v>6</v>
      </c>
      <c r="K706" s="1" t="s">
        <v>27</v>
      </c>
      <c r="L706" s="1" t="s">
        <v>22</v>
      </c>
      <c r="M706" s="15">
        <f t="shared" si="80"/>
        <v>35.150559961944126</v>
      </c>
      <c r="N706" s="15">
        <f t="shared" si="81"/>
        <v>38.221899750703805</v>
      </c>
      <c r="O706" s="14">
        <f t="shared" si="82"/>
        <v>-27758.769010809949</v>
      </c>
      <c r="P706" s="13">
        <f t="shared" si="83"/>
        <v>-8.7376695907117038E-2</v>
      </c>
      <c r="Q706" s="15">
        <f t="shared" si="84"/>
        <v>-3.0713397887596798</v>
      </c>
      <c r="R706" s="13">
        <f t="shared" si="85"/>
        <v>-8.7376695907117163E-2</v>
      </c>
      <c r="S706" s="15">
        <f t="shared" si="86"/>
        <v>35.267973231772061</v>
      </c>
      <c r="T706" s="15">
        <f t="shared" si="87"/>
        <v>35.438914774770261</v>
      </c>
    </row>
    <row r="707" spans="1:20" x14ac:dyDescent="0.3">
      <c r="A707" s="5">
        <v>42343.083333333336</v>
      </c>
      <c r="B707" s="14">
        <v>378527.87261716399</v>
      </c>
      <c r="C707" s="14">
        <v>410385.03700937203</v>
      </c>
      <c r="D707" s="6">
        <v>10737</v>
      </c>
      <c r="E707" s="1">
        <v>2015</v>
      </c>
      <c r="F707" s="1">
        <v>12</v>
      </c>
      <c r="G707" s="1" t="s">
        <v>20</v>
      </c>
      <c r="H707" s="12">
        <v>42339</v>
      </c>
      <c r="I707" s="1">
        <v>5</v>
      </c>
      <c r="J707" s="1">
        <v>7</v>
      </c>
      <c r="K707" s="1" t="s">
        <v>28</v>
      </c>
      <c r="L707" s="1" t="s">
        <v>22</v>
      </c>
      <c r="M707" s="15">
        <f t="shared" ref="M707:M770" si="88">IFERROR(B707/D707,0)</f>
        <v>35.25452851049306</v>
      </c>
      <c r="N707" s="15">
        <f t="shared" ref="N707:N770" si="89">IFERROR(C707/D707,0)</f>
        <v>38.221573717926056</v>
      </c>
      <c r="O707" s="14">
        <f t="shared" ref="O707:O770" si="90">B707-C707</f>
        <v>-31857.16439220804</v>
      </c>
      <c r="P707" s="13">
        <f t="shared" ref="P707:P770" si="91">IFERROR(O707/B707,0)</f>
        <v>-8.4160683259453875E-2</v>
      </c>
      <c r="Q707" s="15">
        <f t="shared" ref="Q707:Q770" si="92">M707-N707</f>
        <v>-2.9670452074329958</v>
      </c>
      <c r="R707" s="13">
        <f t="shared" ref="R707:R770" si="93">IFERROR(Q707/M707,0)</f>
        <v>-8.4160683259453972E-2</v>
      </c>
      <c r="S707" s="15">
        <f t="shared" ref="S707:S770" si="94">IFERROR(SUM($B$2:$B$1001)/SUM($D$2:$D$1001),0)</f>
        <v>35.267973231772061</v>
      </c>
      <c r="T707" s="15">
        <f t="shared" ref="T707:T770" si="95">AVERAGEIFS($M$2:$M$1001,$A$2:$A$1001,"&gt;="&amp;A707-29,$A$2:$A$1001,"&lt;="&amp;A707)</f>
        <v>35.385754800954977</v>
      </c>
    </row>
    <row r="708" spans="1:20" x14ac:dyDescent="0.3">
      <c r="A708" s="5">
        <v>42344.083333333336</v>
      </c>
      <c r="B708" s="14">
        <v>195425.39107959499</v>
      </c>
      <c r="C708" s="14">
        <v>210461.38622248999</v>
      </c>
      <c r="D708" s="6">
        <v>5505</v>
      </c>
      <c r="E708" s="1">
        <v>2015</v>
      </c>
      <c r="F708" s="1">
        <v>12</v>
      </c>
      <c r="G708" s="1" t="s">
        <v>20</v>
      </c>
      <c r="H708" s="12">
        <v>42339</v>
      </c>
      <c r="I708" s="1">
        <v>6</v>
      </c>
      <c r="J708" s="1">
        <v>1</v>
      </c>
      <c r="K708" s="1" t="s">
        <v>29</v>
      </c>
      <c r="L708" s="1" t="s">
        <v>22</v>
      </c>
      <c r="M708" s="15">
        <f t="shared" si="88"/>
        <v>35.499616908191641</v>
      </c>
      <c r="N708" s="15">
        <f t="shared" si="89"/>
        <v>38.230951175747499</v>
      </c>
      <c r="O708" s="14">
        <f t="shared" si="90"/>
        <v>-15035.995142895001</v>
      </c>
      <c r="P708" s="13">
        <f t="shared" si="91"/>
        <v>-7.6939823734424442E-2</v>
      </c>
      <c r="Q708" s="15">
        <f t="shared" si="92"/>
        <v>-2.7313342675558587</v>
      </c>
      <c r="R708" s="13">
        <f t="shared" si="93"/>
        <v>-7.6939823734424456E-2</v>
      </c>
      <c r="S708" s="15">
        <f t="shared" si="94"/>
        <v>35.267973231772061</v>
      </c>
      <c r="T708" s="15">
        <f t="shared" si="95"/>
        <v>35.340744131933135</v>
      </c>
    </row>
    <row r="709" spans="1:20" x14ac:dyDescent="0.3">
      <c r="A709" s="5">
        <v>42345.083333333336</v>
      </c>
      <c r="B709" s="14">
        <v>90441.603368529803</v>
      </c>
      <c r="C709" s="14">
        <v>83999.591253936902</v>
      </c>
      <c r="D709" s="6">
        <v>2198</v>
      </c>
      <c r="E709" s="1">
        <v>2015</v>
      </c>
      <c r="F709" s="1">
        <v>12</v>
      </c>
      <c r="G709" s="1" t="s">
        <v>20</v>
      </c>
      <c r="H709" s="12">
        <v>42339</v>
      </c>
      <c r="I709" s="1">
        <v>7</v>
      </c>
      <c r="J709" s="1">
        <v>2</v>
      </c>
      <c r="K709" s="1" t="s">
        <v>21</v>
      </c>
      <c r="L709" s="1" t="s">
        <v>22</v>
      </c>
      <c r="M709" s="15">
        <f t="shared" si="88"/>
        <v>41.14722628231565</v>
      </c>
      <c r="N709" s="15">
        <f t="shared" si="89"/>
        <v>38.216374546832078</v>
      </c>
      <c r="O709" s="14">
        <f t="shared" si="90"/>
        <v>6442.0121145929006</v>
      </c>
      <c r="P709" s="13">
        <f t="shared" si="91"/>
        <v>7.1228415625750316E-2</v>
      </c>
      <c r="Q709" s="15">
        <f t="shared" si="92"/>
        <v>2.9308517354835715</v>
      </c>
      <c r="R709" s="13">
        <f t="shared" si="93"/>
        <v>7.1228415625750205E-2</v>
      </c>
      <c r="S709" s="15">
        <f t="shared" si="94"/>
        <v>35.267973231772061</v>
      </c>
      <c r="T709" s="15">
        <f t="shared" si="95"/>
        <v>35.542649944927497</v>
      </c>
    </row>
    <row r="710" spans="1:20" x14ac:dyDescent="0.3">
      <c r="A710" s="5">
        <v>42346.083333333336</v>
      </c>
      <c r="B710" s="14">
        <v>117649.000633013</v>
      </c>
      <c r="C710" s="14">
        <v>121640.379790237</v>
      </c>
      <c r="D710" s="6">
        <v>3190</v>
      </c>
      <c r="E710" s="1">
        <v>2015</v>
      </c>
      <c r="F710" s="1">
        <v>12</v>
      </c>
      <c r="G710" s="1" t="s">
        <v>20</v>
      </c>
      <c r="H710" s="12">
        <v>42339</v>
      </c>
      <c r="I710" s="1">
        <v>8</v>
      </c>
      <c r="J710" s="1">
        <v>3</v>
      </c>
      <c r="K710" s="1" t="s">
        <v>23</v>
      </c>
      <c r="L710" s="1" t="s">
        <v>22</v>
      </c>
      <c r="M710" s="15">
        <f t="shared" si="88"/>
        <v>36.880564461759562</v>
      </c>
      <c r="N710" s="15">
        <f t="shared" si="89"/>
        <v>38.131780498506899</v>
      </c>
      <c r="O710" s="14">
        <f t="shared" si="90"/>
        <v>-3991.3791572240007</v>
      </c>
      <c r="P710" s="13">
        <f t="shared" si="91"/>
        <v>-3.3926162872173149E-2</v>
      </c>
      <c r="Q710" s="15">
        <f t="shared" si="92"/>
        <v>-1.2512160367473371</v>
      </c>
      <c r="R710" s="13">
        <f t="shared" si="93"/>
        <v>-3.3926162872173184E-2</v>
      </c>
      <c r="S710" s="15">
        <f t="shared" si="94"/>
        <v>35.267973231772061</v>
      </c>
      <c r="T710" s="15">
        <f t="shared" si="95"/>
        <v>35.54364377213313</v>
      </c>
    </row>
    <row r="711" spans="1:20" x14ac:dyDescent="0.3">
      <c r="A711" s="5">
        <v>42347.083333333336</v>
      </c>
      <c r="B711" s="14">
        <v>141285.395456714</v>
      </c>
      <c r="C711" s="14">
        <v>145443.04659183399</v>
      </c>
      <c r="D711" s="6">
        <v>3814</v>
      </c>
      <c r="E711" s="1">
        <v>2015</v>
      </c>
      <c r="F711" s="1">
        <v>12</v>
      </c>
      <c r="G711" s="1" t="s">
        <v>20</v>
      </c>
      <c r="H711" s="12">
        <v>42339</v>
      </c>
      <c r="I711" s="1">
        <v>9</v>
      </c>
      <c r="J711" s="1">
        <v>4</v>
      </c>
      <c r="K711" s="1" t="s">
        <v>25</v>
      </c>
      <c r="L711" s="1" t="s">
        <v>22</v>
      </c>
      <c r="M711" s="15">
        <f t="shared" si="88"/>
        <v>37.043889736946511</v>
      </c>
      <c r="N711" s="15">
        <f t="shared" si="89"/>
        <v>38.133992289416355</v>
      </c>
      <c r="O711" s="14">
        <f t="shared" si="90"/>
        <v>-4157.6511351199879</v>
      </c>
      <c r="P711" s="13">
        <f t="shared" si="91"/>
        <v>-2.9427324187897248E-2</v>
      </c>
      <c r="Q711" s="15">
        <f t="shared" si="92"/>
        <v>-1.090102552469844</v>
      </c>
      <c r="R711" s="13">
        <f t="shared" si="93"/>
        <v>-2.942732418789723E-2</v>
      </c>
      <c r="S711" s="15">
        <f t="shared" si="94"/>
        <v>35.267973231772061</v>
      </c>
      <c r="T711" s="15">
        <f t="shared" si="95"/>
        <v>35.434792170722332</v>
      </c>
    </row>
    <row r="712" spans="1:20" x14ac:dyDescent="0.3">
      <c r="A712" s="5">
        <v>42348.083333333336</v>
      </c>
      <c r="B712" s="14">
        <v>133183.693680194</v>
      </c>
      <c r="C712" s="14">
        <v>137725.87611044801</v>
      </c>
      <c r="D712" s="6">
        <v>3610</v>
      </c>
      <c r="E712" s="1">
        <v>2015</v>
      </c>
      <c r="F712" s="1">
        <v>12</v>
      </c>
      <c r="G712" s="1" t="s">
        <v>20</v>
      </c>
      <c r="H712" s="12">
        <v>42339</v>
      </c>
      <c r="I712" s="1">
        <v>10</v>
      </c>
      <c r="J712" s="1">
        <v>5</v>
      </c>
      <c r="K712" s="1" t="s">
        <v>26</v>
      </c>
      <c r="L712" s="1" t="s">
        <v>22</v>
      </c>
      <c r="M712" s="15">
        <f t="shared" si="88"/>
        <v>36.892989939111914</v>
      </c>
      <c r="N712" s="15">
        <f t="shared" si="89"/>
        <v>38.151212218960666</v>
      </c>
      <c r="O712" s="14">
        <f t="shared" si="90"/>
        <v>-4542.1824302540044</v>
      </c>
      <c r="P712" s="13">
        <f t="shared" si="91"/>
        <v>-3.4104643779897519E-2</v>
      </c>
      <c r="Q712" s="15">
        <f t="shared" si="92"/>
        <v>-1.2582222798487521</v>
      </c>
      <c r="R712" s="13">
        <f t="shared" si="93"/>
        <v>-3.4104643779897442E-2</v>
      </c>
      <c r="S712" s="15">
        <f t="shared" si="94"/>
        <v>35.267973231772061</v>
      </c>
      <c r="T712" s="15">
        <f t="shared" si="95"/>
        <v>35.494364432806556</v>
      </c>
    </row>
    <row r="713" spans="1:20" x14ac:dyDescent="0.3">
      <c r="A713" s="5">
        <v>42349.083333333336</v>
      </c>
      <c r="B713" s="14">
        <v>229672.25632039201</v>
      </c>
      <c r="C713" s="14">
        <v>237672.01641679599</v>
      </c>
      <c r="D713" s="6">
        <v>6227</v>
      </c>
      <c r="E713" s="1">
        <v>2015</v>
      </c>
      <c r="F713" s="1">
        <v>12</v>
      </c>
      <c r="G713" s="1" t="s">
        <v>20</v>
      </c>
      <c r="H713" s="12">
        <v>42339</v>
      </c>
      <c r="I713" s="1">
        <v>11</v>
      </c>
      <c r="J713" s="1">
        <v>6</v>
      </c>
      <c r="K713" s="1" t="s">
        <v>27</v>
      </c>
      <c r="L713" s="1" t="s">
        <v>22</v>
      </c>
      <c r="M713" s="15">
        <f t="shared" si="88"/>
        <v>36.883291524071304</v>
      </c>
      <c r="N713" s="15">
        <f t="shared" si="89"/>
        <v>38.1679807960167</v>
      </c>
      <c r="O713" s="14">
        <f t="shared" si="90"/>
        <v>-7999.7600964039739</v>
      </c>
      <c r="P713" s="13">
        <f t="shared" si="91"/>
        <v>-3.4831199138150741E-2</v>
      </c>
      <c r="Q713" s="15">
        <f t="shared" si="92"/>
        <v>-1.2846892719453962</v>
      </c>
      <c r="R713" s="13">
        <f t="shared" si="93"/>
        <v>-3.4831199138150776E-2</v>
      </c>
      <c r="S713" s="15">
        <f t="shared" si="94"/>
        <v>35.267973231772061</v>
      </c>
      <c r="T713" s="15">
        <f t="shared" si="95"/>
        <v>35.55450054598262</v>
      </c>
    </row>
    <row r="714" spans="1:20" x14ac:dyDescent="0.3">
      <c r="A714" s="5">
        <v>42350.083333333336</v>
      </c>
      <c r="B714" s="14">
        <v>333488.79787881998</v>
      </c>
      <c r="C714" s="14">
        <v>359621.07489373698</v>
      </c>
      <c r="D714" s="6">
        <v>9422</v>
      </c>
      <c r="E714" s="1">
        <v>2015</v>
      </c>
      <c r="F714" s="1">
        <v>12</v>
      </c>
      <c r="G714" s="1" t="s">
        <v>20</v>
      </c>
      <c r="H714" s="12">
        <v>42339</v>
      </c>
      <c r="I714" s="1">
        <v>12</v>
      </c>
      <c r="J714" s="1">
        <v>7</v>
      </c>
      <c r="K714" s="1" t="s">
        <v>28</v>
      </c>
      <c r="L714" s="1" t="s">
        <v>22</v>
      </c>
      <c r="M714" s="15">
        <f t="shared" si="88"/>
        <v>35.394693045937167</v>
      </c>
      <c r="N714" s="15">
        <f t="shared" si="89"/>
        <v>38.168231255968685</v>
      </c>
      <c r="O714" s="14">
        <f t="shared" si="90"/>
        <v>-26132.277014916996</v>
      </c>
      <c r="P714" s="13">
        <f t="shared" si="91"/>
        <v>-7.8360284306799102E-2</v>
      </c>
      <c r="Q714" s="15">
        <f t="shared" si="92"/>
        <v>-2.7735382100315178</v>
      </c>
      <c r="R714" s="13">
        <f t="shared" si="93"/>
        <v>-7.8360284306798991E-2</v>
      </c>
      <c r="S714" s="15">
        <f t="shared" si="94"/>
        <v>35.267973231772061</v>
      </c>
      <c r="T714" s="15">
        <f t="shared" si="95"/>
        <v>35.565670393259929</v>
      </c>
    </row>
    <row r="715" spans="1:20" x14ac:dyDescent="0.3">
      <c r="A715" s="5">
        <v>42351.083333333336</v>
      </c>
      <c r="B715" s="14">
        <v>185422.88563610401</v>
      </c>
      <c r="C715" s="14">
        <v>191390.401310313</v>
      </c>
      <c r="D715" s="6">
        <v>5014</v>
      </c>
      <c r="E715" s="1">
        <v>2015</v>
      </c>
      <c r="F715" s="1">
        <v>12</v>
      </c>
      <c r="G715" s="1" t="s">
        <v>20</v>
      </c>
      <c r="H715" s="12">
        <v>42339</v>
      </c>
      <c r="I715" s="1">
        <v>13</v>
      </c>
      <c r="J715" s="1">
        <v>1</v>
      </c>
      <c r="K715" s="1" t="s">
        <v>29</v>
      </c>
      <c r="L715" s="1" t="s">
        <v>22</v>
      </c>
      <c r="M715" s="15">
        <f t="shared" si="88"/>
        <v>36.981030242541685</v>
      </c>
      <c r="N715" s="15">
        <f t="shared" si="89"/>
        <v>38.171200899543877</v>
      </c>
      <c r="O715" s="14">
        <f t="shared" si="90"/>
        <v>-5967.5156742089894</v>
      </c>
      <c r="P715" s="13">
        <f t="shared" si="91"/>
        <v>-3.2183274754554049E-2</v>
      </c>
      <c r="Q715" s="15">
        <f t="shared" si="92"/>
        <v>-1.1901706570021915</v>
      </c>
      <c r="R715" s="13">
        <f t="shared" si="93"/>
        <v>-3.2183274754554049E-2</v>
      </c>
      <c r="S715" s="15">
        <f t="shared" si="94"/>
        <v>35.267973231772061</v>
      </c>
      <c r="T715" s="15">
        <f t="shared" si="95"/>
        <v>35.628295045651832</v>
      </c>
    </row>
    <row r="716" spans="1:20" x14ac:dyDescent="0.3">
      <c r="A716" s="5">
        <v>42352.083333333336</v>
      </c>
      <c r="B716" s="14">
        <v>173833.13316842401</v>
      </c>
      <c r="C716" s="14">
        <v>179871.05329942401</v>
      </c>
      <c r="D716" s="6">
        <v>4715</v>
      </c>
      <c r="E716" s="1">
        <v>2015</v>
      </c>
      <c r="F716" s="1">
        <v>12</v>
      </c>
      <c r="G716" s="1" t="s">
        <v>20</v>
      </c>
      <c r="H716" s="12">
        <v>42339</v>
      </c>
      <c r="I716" s="1">
        <v>14</v>
      </c>
      <c r="J716" s="1">
        <v>2</v>
      </c>
      <c r="K716" s="1" t="s">
        <v>21</v>
      </c>
      <c r="L716" s="1" t="s">
        <v>22</v>
      </c>
      <c r="M716" s="15">
        <f t="shared" si="88"/>
        <v>36.868108837417608</v>
      </c>
      <c r="N716" s="15">
        <f t="shared" si="89"/>
        <v>38.148685747491832</v>
      </c>
      <c r="O716" s="14">
        <f t="shared" si="90"/>
        <v>-6037.9201309999917</v>
      </c>
      <c r="P716" s="13">
        <f t="shared" si="91"/>
        <v>-3.4734000480506511E-2</v>
      </c>
      <c r="Q716" s="15">
        <f t="shared" si="92"/>
        <v>-1.2805769100742239</v>
      </c>
      <c r="R716" s="13">
        <f t="shared" si="93"/>
        <v>-3.4734000480506358E-2</v>
      </c>
      <c r="S716" s="15">
        <f t="shared" si="94"/>
        <v>35.267973231772061</v>
      </c>
      <c r="T716" s="15">
        <f t="shared" si="95"/>
        <v>35.68740150980102</v>
      </c>
    </row>
    <row r="717" spans="1:20" x14ac:dyDescent="0.3">
      <c r="A717" s="5">
        <v>42353.083333333336</v>
      </c>
      <c r="B717" s="14">
        <v>220271.72138524501</v>
      </c>
      <c r="C717" s="14">
        <v>237123.343340105</v>
      </c>
      <c r="D717" s="6">
        <v>6212</v>
      </c>
      <c r="E717" s="1">
        <v>2015</v>
      </c>
      <c r="F717" s="1">
        <v>12</v>
      </c>
      <c r="G717" s="1" t="s">
        <v>20</v>
      </c>
      <c r="H717" s="12">
        <v>42339</v>
      </c>
      <c r="I717" s="1">
        <v>15</v>
      </c>
      <c r="J717" s="1">
        <v>3</v>
      </c>
      <c r="K717" s="1" t="s">
        <v>23</v>
      </c>
      <c r="L717" s="1" t="s">
        <v>22</v>
      </c>
      <c r="M717" s="15">
        <f t="shared" si="88"/>
        <v>35.459066546240344</v>
      </c>
      <c r="N717" s="15">
        <f t="shared" si="89"/>
        <v>38.171819597570028</v>
      </c>
      <c r="O717" s="14">
        <f t="shared" si="90"/>
        <v>-16851.621954859991</v>
      </c>
      <c r="P717" s="13">
        <f t="shared" si="91"/>
        <v>-7.6503791993286718E-2</v>
      </c>
      <c r="Q717" s="15">
        <f t="shared" si="92"/>
        <v>-2.7127530513296847</v>
      </c>
      <c r="R717" s="13">
        <f t="shared" si="93"/>
        <v>-7.6503791993286774E-2</v>
      </c>
      <c r="S717" s="15">
        <f t="shared" si="94"/>
        <v>35.267973231772061</v>
      </c>
      <c r="T717" s="15">
        <f t="shared" si="95"/>
        <v>35.698366422136253</v>
      </c>
    </row>
    <row r="718" spans="1:20" x14ac:dyDescent="0.3">
      <c r="A718" s="5">
        <v>42354.083333333336</v>
      </c>
      <c r="B718" s="14">
        <v>234468.071195286</v>
      </c>
      <c r="C718" s="14">
        <v>251493.90890012999</v>
      </c>
      <c r="D718" s="6">
        <v>6585</v>
      </c>
      <c r="E718" s="1">
        <v>2015</v>
      </c>
      <c r="F718" s="1">
        <v>12</v>
      </c>
      <c r="G718" s="1" t="s">
        <v>20</v>
      </c>
      <c r="H718" s="12">
        <v>42339</v>
      </c>
      <c r="I718" s="1">
        <v>16</v>
      </c>
      <c r="J718" s="1">
        <v>4</v>
      </c>
      <c r="K718" s="1" t="s">
        <v>25</v>
      </c>
      <c r="L718" s="1" t="s">
        <v>22</v>
      </c>
      <c r="M718" s="15">
        <f t="shared" si="88"/>
        <v>35.606388943855123</v>
      </c>
      <c r="N718" s="15">
        <f t="shared" si="89"/>
        <v>38.191937570255121</v>
      </c>
      <c r="O718" s="14">
        <f t="shared" si="90"/>
        <v>-17025.837704843987</v>
      </c>
      <c r="P718" s="13">
        <f t="shared" si="91"/>
        <v>-7.2614738621120598E-2</v>
      </c>
      <c r="Q718" s="15">
        <f t="shared" si="92"/>
        <v>-2.5855486263999978</v>
      </c>
      <c r="R718" s="13">
        <f t="shared" si="93"/>
        <v>-7.2614738621120598E-2</v>
      </c>
      <c r="S718" s="15">
        <f t="shared" si="94"/>
        <v>35.267973231772061</v>
      </c>
      <c r="T718" s="15">
        <f t="shared" si="95"/>
        <v>35.713802381661552</v>
      </c>
    </row>
    <row r="719" spans="1:20" x14ac:dyDescent="0.3">
      <c r="A719" s="5">
        <v>42355.083333333336</v>
      </c>
      <c r="B719" s="14">
        <v>213778.13805030499</v>
      </c>
      <c r="C719" s="14">
        <v>230994.35519885999</v>
      </c>
      <c r="D719" s="6">
        <v>6051</v>
      </c>
      <c r="E719" s="1">
        <v>2015</v>
      </c>
      <c r="F719" s="1">
        <v>12</v>
      </c>
      <c r="G719" s="1" t="s">
        <v>20</v>
      </c>
      <c r="H719" s="12">
        <v>42339</v>
      </c>
      <c r="I719" s="1">
        <v>17</v>
      </c>
      <c r="J719" s="1">
        <v>5</v>
      </c>
      <c r="K719" s="1" t="s">
        <v>26</v>
      </c>
      <c r="L719" s="1" t="s">
        <v>22</v>
      </c>
      <c r="M719" s="15">
        <f t="shared" si="88"/>
        <v>35.329389861230375</v>
      </c>
      <c r="N719" s="15">
        <f t="shared" si="89"/>
        <v>38.174575309677735</v>
      </c>
      <c r="O719" s="14">
        <f t="shared" si="90"/>
        <v>-17216.217148555006</v>
      </c>
      <c r="P719" s="13">
        <f t="shared" si="91"/>
        <v>-8.0533104580150242E-2</v>
      </c>
      <c r="Q719" s="15">
        <f t="shared" si="92"/>
        <v>-2.84518544844736</v>
      </c>
      <c r="R719" s="13">
        <f t="shared" si="93"/>
        <v>-8.0533104580150089E-2</v>
      </c>
      <c r="S719" s="15">
        <f t="shared" si="94"/>
        <v>35.267973231772061</v>
      </c>
      <c r="T719" s="15">
        <f t="shared" si="95"/>
        <v>35.721720865348153</v>
      </c>
    </row>
    <row r="720" spans="1:20" x14ac:dyDescent="0.3">
      <c r="A720" s="5">
        <v>42356.083333333336</v>
      </c>
      <c r="B720" s="14">
        <v>273563.01479629398</v>
      </c>
      <c r="C720" s="14">
        <v>295854.55231599201</v>
      </c>
      <c r="D720" s="6">
        <v>7750</v>
      </c>
      <c r="E720" s="1">
        <v>2015</v>
      </c>
      <c r="F720" s="1">
        <v>12</v>
      </c>
      <c r="G720" s="1" t="s">
        <v>20</v>
      </c>
      <c r="H720" s="12">
        <v>42339</v>
      </c>
      <c r="I720" s="1">
        <v>18</v>
      </c>
      <c r="J720" s="1">
        <v>6</v>
      </c>
      <c r="K720" s="1" t="s">
        <v>27</v>
      </c>
      <c r="L720" s="1" t="s">
        <v>22</v>
      </c>
      <c r="M720" s="15">
        <f t="shared" si="88"/>
        <v>35.298453522102449</v>
      </c>
      <c r="N720" s="15">
        <f t="shared" si="89"/>
        <v>38.174780943998968</v>
      </c>
      <c r="O720" s="14">
        <f t="shared" si="90"/>
        <v>-22291.537519698031</v>
      </c>
      <c r="P720" s="13">
        <f t="shared" si="91"/>
        <v>-8.148593309039677E-2</v>
      </c>
      <c r="Q720" s="15">
        <f t="shared" si="92"/>
        <v>-2.8763274218965194</v>
      </c>
      <c r="R720" s="13">
        <f t="shared" si="93"/>
        <v>-8.1485933090396742E-2</v>
      </c>
      <c r="S720" s="15">
        <f t="shared" si="94"/>
        <v>35.267973231772061</v>
      </c>
      <c r="T720" s="15">
        <f t="shared" si="95"/>
        <v>35.728481905966568</v>
      </c>
    </row>
    <row r="721" spans="1:20" x14ac:dyDescent="0.3">
      <c r="A721" s="5">
        <v>42357.083333333336</v>
      </c>
      <c r="B721" s="14">
        <v>337506.78841922001</v>
      </c>
      <c r="C721" s="14">
        <v>362223.16087670898</v>
      </c>
      <c r="D721" s="6">
        <v>9490</v>
      </c>
      <c r="E721" s="1">
        <v>2015</v>
      </c>
      <c r="F721" s="1">
        <v>12</v>
      </c>
      <c r="G721" s="1" t="s">
        <v>20</v>
      </c>
      <c r="H721" s="12">
        <v>42339</v>
      </c>
      <c r="I721" s="1">
        <v>19</v>
      </c>
      <c r="J721" s="1">
        <v>7</v>
      </c>
      <c r="K721" s="1" t="s">
        <v>28</v>
      </c>
      <c r="L721" s="1" t="s">
        <v>22</v>
      </c>
      <c r="M721" s="15">
        <f t="shared" si="88"/>
        <v>35.564466640592201</v>
      </c>
      <c r="N721" s="15">
        <f t="shared" si="89"/>
        <v>38.168931599231712</v>
      </c>
      <c r="O721" s="14">
        <f t="shared" si="90"/>
        <v>-24716.372457488964</v>
      </c>
      <c r="P721" s="13">
        <f t="shared" si="91"/>
        <v>-7.3232223189503828E-2</v>
      </c>
      <c r="Q721" s="15">
        <f t="shared" si="92"/>
        <v>-2.604464958639511</v>
      </c>
      <c r="R721" s="13">
        <f t="shared" si="93"/>
        <v>-7.3232223189503814E-2</v>
      </c>
      <c r="S721" s="15">
        <f t="shared" si="94"/>
        <v>35.267973231772061</v>
      </c>
      <c r="T721" s="15">
        <f t="shared" si="95"/>
        <v>35.743987800471849</v>
      </c>
    </row>
    <row r="722" spans="1:20" x14ac:dyDescent="0.3">
      <c r="A722" s="5">
        <v>42358.083333333336</v>
      </c>
      <c r="B722" s="14">
        <v>155312.78386216599</v>
      </c>
      <c r="C722" s="14">
        <v>167421.97369517101</v>
      </c>
      <c r="D722" s="6">
        <v>4382</v>
      </c>
      <c r="E722" s="1">
        <v>2015</v>
      </c>
      <c r="F722" s="1">
        <v>12</v>
      </c>
      <c r="G722" s="1" t="s">
        <v>20</v>
      </c>
      <c r="H722" s="12">
        <v>42339</v>
      </c>
      <c r="I722" s="1">
        <v>20</v>
      </c>
      <c r="J722" s="1">
        <v>1</v>
      </c>
      <c r="K722" s="1" t="s">
        <v>29</v>
      </c>
      <c r="L722" s="1" t="s">
        <v>22</v>
      </c>
      <c r="M722" s="15">
        <f t="shared" si="88"/>
        <v>35.443355513958466</v>
      </c>
      <c r="N722" s="15">
        <f t="shared" si="89"/>
        <v>38.206748903507759</v>
      </c>
      <c r="O722" s="14">
        <f t="shared" si="90"/>
        <v>-12109.189833005017</v>
      </c>
      <c r="P722" s="13">
        <f t="shared" si="91"/>
        <v>-7.7966472120874791E-2</v>
      </c>
      <c r="Q722" s="15">
        <f t="shared" si="92"/>
        <v>-2.763393389549293</v>
      </c>
      <c r="R722" s="13">
        <f t="shared" si="93"/>
        <v>-7.7966472120874694E-2</v>
      </c>
      <c r="S722" s="15">
        <f t="shared" si="94"/>
        <v>35.267973231772061</v>
      </c>
      <c r="T722" s="15">
        <f t="shared" si="95"/>
        <v>35.75414009094834</v>
      </c>
    </row>
    <row r="723" spans="1:20" x14ac:dyDescent="0.3">
      <c r="A723" s="5">
        <v>42359.083333333336</v>
      </c>
      <c r="B723" s="14">
        <v>289243.38305619801</v>
      </c>
      <c r="C723" s="14">
        <v>312784.97431839397</v>
      </c>
      <c r="D723" s="6">
        <v>8196</v>
      </c>
      <c r="E723" s="1">
        <v>2015</v>
      </c>
      <c r="F723" s="1">
        <v>12</v>
      </c>
      <c r="G723" s="1" t="s">
        <v>20</v>
      </c>
      <c r="H723" s="12">
        <v>42339</v>
      </c>
      <c r="I723" s="1">
        <v>21</v>
      </c>
      <c r="J723" s="1">
        <v>2</v>
      </c>
      <c r="K723" s="1" t="s">
        <v>21</v>
      </c>
      <c r="L723" s="1" t="s">
        <v>22</v>
      </c>
      <c r="M723" s="15">
        <f t="shared" si="88"/>
        <v>35.290798323108589</v>
      </c>
      <c r="N723" s="15">
        <f t="shared" si="89"/>
        <v>38.163125221863588</v>
      </c>
      <c r="O723" s="14">
        <f t="shared" si="90"/>
        <v>-23541.591262195958</v>
      </c>
      <c r="P723" s="13">
        <f t="shared" si="91"/>
        <v>-8.1390250015233673E-2</v>
      </c>
      <c r="Q723" s="15">
        <f t="shared" si="92"/>
        <v>-2.8723268987549986</v>
      </c>
      <c r="R723" s="13">
        <f t="shared" si="93"/>
        <v>-8.1390250015233714E-2</v>
      </c>
      <c r="S723" s="15">
        <f t="shared" si="94"/>
        <v>35.267973231772061</v>
      </c>
      <c r="T723" s="15">
        <f t="shared" si="95"/>
        <v>35.759546786948128</v>
      </c>
    </row>
    <row r="724" spans="1:20" x14ac:dyDescent="0.3">
      <c r="A724" s="5">
        <v>42360.083333333336</v>
      </c>
      <c r="B724" s="14">
        <v>313125.33253251802</v>
      </c>
      <c r="C724" s="14">
        <v>338299.61784548598</v>
      </c>
      <c r="D724" s="6">
        <v>8863</v>
      </c>
      <c r="E724" s="1">
        <v>2015</v>
      </c>
      <c r="F724" s="1">
        <v>12</v>
      </c>
      <c r="G724" s="1" t="s">
        <v>20</v>
      </c>
      <c r="H724" s="12">
        <v>42339</v>
      </c>
      <c r="I724" s="1">
        <v>22</v>
      </c>
      <c r="J724" s="1">
        <v>3</v>
      </c>
      <c r="K724" s="1" t="s">
        <v>23</v>
      </c>
      <c r="L724" s="1" t="s">
        <v>22</v>
      </c>
      <c r="M724" s="15">
        <f t="shared" si="88"/>
        <v>35.329497070125015</v>
      </c>
      <c r="N724" s="15">
        <f t="shared" si="89"/>
        <v>38.169876773720631</v>
      </c>
      <c r="O724" s="14">
        <f t="shared" si="90"/>
        <v>-25174.285312967957</v>
      </c>
      <c r="P724" s="13">
        <f t="shared" si="91"/>
        <v>-8.0396833783333746E-2</v>
      </c>
      <c r="Q724" s="15">
        <f t="shared" si="92"/>
        <v>-2.840379703595616</v>
      </c>
      <c r="R724" s="13">
        <f t="shared" si="93"/>
        <v>-8.0396833783333704E-2</v>
      </c>
      <c r="S724" s="15">
        <f t="shared" si="94"/>
        <v>35.267973231772061</v>
      </c>
      <c r="T724" s="15">
        <f t="shared" si="95"/>
        <v>35.767234036985251</v>
      </c>
    </row>
    <row r="725" spans="1:20" x14ac:dyDescent="0.3">
      <c r="A725" s="5">
        <v>42361.083333333336</v>
      </c>
      <c r="B725" s="14">
        <v>268330.39270501502</v>
      </c>
      <c r="C725" s="14">
        <v>249584.21516385401</v>
      </c>
      <c r="D725" s="6">
        <v>6534</v>
      </c>
      <c r="E725" s="1">
        <v>2015</v>
      </c>
      <c r="F725" s="1">
        <v>12</v>
      </c>
      <c r="G725" s="1" t="s">
        <v>20</v>
      </c>
      <c r="H725" s="12">
        <v>42339</v>
      </c>
      <c r="I725" s="1">
        <v>23</v>
      </c>
      <c r="J725" s="1">
        <v>4</v>
      </c>
      <c r="K725" s="1" t="s">
        <v>25</v>
      </c>
      <c r="L725" s="1" t="s">
        <v>22</v>
      </c>
      <c r="M725" s="15">
        <f t="shared" si="88"/>
        <v>41.066787986687331</v>
      </c>
      <c r="N725" s="15">
        <f t="shared" si="89"/>
        <v>38.197767854890422</v>
      </c>
      <c r="O725" s="14">
        <f t="shared" si="90"/>
        <v>18746.177541161014</v>
      </c>
      <c r="P725" s="13">
        <f t="shared" si="91"/>
        <v>6.9862296820656256E-2</v>
      </c>
      <c r="Q725" s="15">
        <f t="shared" si="92"/>
        <v>2.8690201317969084</v>
      </c>
      <c r="R725" s="13">
        <f t="shared" si="93"/>
        <v>6.98622968206562E-2</v>
      </c>
      <c r="S725" s="15">
        <f t="shared" si="94"/>
        <v>35.267973231772061</v>
      </c>
      <c r="T725" s="15">
        <f t="shared" si="95"/>
        <v>35.764390893225361</v>
      </c>
    </row>
    <row r="726" spans="1:20" x14ac:dyDescent="0.3">
      <c r="A726" s="5">
        <v>42362.083333333336</v>
      </c>
      <c r="B726" s="14">
        <v>392228.13795848202</v>
      </c>
      <c r="C726" s="14">
        <v>364396.19424888003</v>
      </c>
      <c r="D726" s="6">
        <v>9540</v>
      </c>
      <c r="E726" s="1">
        <v>2015</v>
      </c>
      <c r="F726" s="1">
        <v>12</v>
      </c>
      <c r="G726" s="1" t="s">
        <v>20</v>
      </c>
      <c r="H726" s="12">
        <v>42339</v>
      </c>
      <c r="I726" s="1">
        <v>24</v>
      </c>
      <c r="J726" s="1">
        <v>5</v>
      </c>
      <c r="K726" s="1" t="s">
        <v>26</v>
      </c>
      <c r="L726" s="1" t="s">
        <v>22</v>
      </c>
      <c r="M726" s="15">
        <f t="shared" si="88"/>
        <v>41.114060582650104</v>
      </c>
      <c r="N726" s="15">
        <f t="shared" si="89"/>
        <v>38.196666063823905</v>
      </c>
      <c r="O726" s="14">
        <f t="shared" si="90"/>
        <v>27831.943709601997</v>
      </c>
      <c r="P726" s="13">
        <f t="shared" si="91"/>
        <v>7.0958559613966438E-2</v>
      </c>
      <c r="Q726" s="15">
        <f t="shared" si="92"/>
        <v>2.9173945188261996</v>
      </c>
      <c r="R726" s="13">
        <f t="shared" si="93"/>
        <v>7.0958559613966299E-2</v>
      </c>
      <c r="S726" s="15">
        <f t="shared" si="94"/>
        <v>35.267973231772061</v>
      </c>
      <c r="T726" s="15">
        <f t="shared" si="95"/>
        <v>35.963747985284172</v>
      </c>
    </row>
    <row r="727" spans="1:20" x14ac:dyDescent="0.3">
      <c r="A727" s="5">
        <v>42363.083333333336</v>
      </c>
      <c r="B727" s="14">
        <v>133728.98372885099</v>
      </c>
      <c r="C727" s="14">
        <v>124363.557276609</v>
      </c>
      <c r="D727" s="6">
        <v>3256</v>
      </c>
      <c r="E727" s="1">
        <v>2015</v>
      </c>
      <c r="F727" s="1">
        <v>12</v>
      </c>
      <c r="G727" s="1" t="s">
        <v>20</v>
      </c>
      <c r="H727" s="12">
        <v>42339</v>
      </c>
      <c r="I727" s="1">
        <v>25</v>
      </c>
      <c r="J727" s="1">
        <v>6</v>
      </c>
      <c r="K727" s="1" t="s">
        <v>27</v>
      </c>
      <c r="L727" s="1" t="s">
        <v>22</v>
      </c>
      <c r="M727" s="15">
        <f t="shared" si="88"/>
        <v>41.071555199278556</v>
      </c>
      <c r="N727" s="15">
        <f t="shared" si="89"/>
        <v>38.195195723774262</v>
      </c>
      <c r="O727" s="14">
        <f t="shared" si="90"/>
        <v>9365.4264522419835</v>
      </c>
      <c r="P727" s="13">
        <f t="shared" si="91"/>
        <v>7.0032884353861027E-2</v>
      </c>
      <c r="Q727" s="15">
        <f t="shared" si="92"/>
        <v>2.8763594755042945</v>
      </c>
      <c r="R727" s="13">
        <f t="shared" si="93"/>
        <v>7.0032884353861027E-2</v>
      </c>
      <c r="S727" s="15">
        <f t="shared" si="94"/>
        <v>35.267973231772061</v>
      </c>
      <c r="T727" s="15">
        <f t="shared" si="95"/>
        <v>36.162179474628068</v>
      </c>
    </row>
    <row r="728" spans="1:20" x14ac:dyDescent="0.3">
      <c r="A728" s="5">
        <v>42364.083333333336</v>
      </c>
      <c r="B728" s="14">
        <v>82778.444048310397</v>
      </c>
      <c r="C728" s="14">
        <v>76876.492698314294</v>
      </c>
      <c r="D728" s="6">
        <v>2013</v>
      </c>
      <c r="E728" s="1">
        <v>2015</v>
      </c>
      <c r="F728" s="1">
        <v>12</v>
      </c>
      <c r="G728" s="1" t="s">
        <v>20</v>
      </c>
      <c r="H728" s="12">
        <v>42339</v>
      </c>
      <c r="I728" s="1">
        <v>26</v>
      </c>
      <c r="J728" s="1">
        <v>7</v>
      </c>
      <c r="K728" s="1" t="s">
        <v>28</v>
      </c>
      <c r="L728" s="1" t="s">
        <v>22</v>
      </c>
      <c r="M728" s="15">
        <f t="shared" si="88"/>
        <v>41.121929482518823</v>
      </c>
      <c r="N728" s="15">
        <f t="shared" si="89"/>
        <v>38.19001127586403</v>
      </c>
      <c r="O728" s="14">
        <f t="shared" si="90"/>
        <v>5901.9513499961031</v>
      </c>
      <c r="P728" s="13">
        <f t="shared" si="91"/>
        <v>7.1298167268663087E-2</v>
      </c>
      <c r="Q728" s="15">
        <f t="shared" si="92"/>
        <v>2.9319182066547924</v>
      </c>
      <c r="R728" s="13">
        <f t="shared" si="93"/>
        <v>7.1298167268663018E-2</v>
      </c>
      <c r="S728" s="15">
        <f t="shared" si="94"/>
        <v>35.267973231772061</v>
      </c>
      <c r="T728" s="15">
        <f t="shared" si="95"/>
        <v>36.41337639349468</v>
      </c>
    </row>
    <row r="729" spans="1:20" x14ac:dyDescent="0.3">
      <c r="A729" s="5">
        <v>42365.083333333336</v>
      </c>
      <c r="B729" s="14">
        <v>69522.836973940401</v>
      </c>
      <c r="C729" s="14">
        <v>64616.0766462744</v>
      </c>
      <c r="D729" s="6">
        <v>1692</v>
      </c>
      <c r="E729" s="1">
        <v>2015</v>
      </c>
      <c r="F729" s="1">
        <v>12</v>
      </c>
      <c r="G729" s="1" t="s">
        <v>20</v>
      </c>
      <c r="H729" s="12">
        <v>42339</v>
      </c>
      <c r="I729" s="1">
        <v>27</v>
      </c>
      <c r="J729" s="1">
        <v>1</v>
      </c>
      <c r="K729" s="1" t="s">
        <v>29</v>
      </c>
      <c r="L729" s="1" t="s">
        <v>22</v>
      </c>
      <c r="M729" s="15">
        <f t="shared" si="88"/>
        <v>41.089147147718911</v>
      </c>
      <c r="N729" s="15">
        <f t="shared" si="89"/>
        <v>38.189170594724821</v>
      </c>
      <c r="O729" s="14">
        <f t="shared" si="90"/>
        <v>4906.7603276660011</v>
      </c>
      <c r="P729" s="13">
        <f t="shared" si="91"/>
        <v>7.0577676936647835E-2</v>
      </c>
      <c r="Q729" s="15">
        <f t="shared" si="92"/>
        <v>2.8999765529940902</v>
      </c>
      <c r="R729" s="13">
        <f t="shared" si="93"/>
        <v>7.0577676936647835E-2</v>
      </c>
      <c r="S729" s="15">
        <f t="shared" si="94"/>
        <v>35.267973231772061</v>
      </c>
      <c r="T729" s="15">
        <f t="shared" si="95"/>
        <v>36.670000467463225</v>
      </c>
    </row>
    <row r="730" spans="1:20" x14ac:dyDescent="0.3">
      <c r="A730" s="5">
        <v>42366.083333333336</v>
      </c>
      <c r="B730" s="14">
        <v>133021.27279536301</v>
      </c>
      <c r="C730" s="14">
        <v>123500.787789675</v>
      </c>
      <c r="D730" s="6">
        <v>3234</v>
      </c>
      <c r="E730" s="1">
        <v>2015</v>
      </c>
      <c r="F730" s="1">
        <v>12</v>
      </c>
      <c r="G730" s="1" t="s">
        <v>20</v>
      </c>
      <c r="H730" s="12">
        <v>42339</v>
      </c>
      <c r="I730" s="1">
        <v>28</v>
      </c>
      <c r="J730" s="1">
        <v>2</v>
      </c>
      <c r="K730" s="1" t="s">
        <v>21</v>
      </c>
      <c r="L730" s="1" t="s">
        <v>22</v>
      </c>
      <c r="M730" s="15">
        <f t="shared" si="88"/>
        <v>41.132118984342306</v>
      </c>
      <c r="N730" s="15">
        <f t="shared" si="89"/>
        <v>38.188246069782004</v>
      </c>
      <c r="O730" s="14">
        <f t="shared" si="90"/>
        <v>9520.4850056880096</v>
      </c>
      <c r="P730" s="13">
        <f t="shared" si="91"/>
        <v>7.1571146521309512E-2</v>
      </c>
      <c r="Q730" s="15">
        <f t="shared" si="92"/>
        <v>2.943872914560302</v>
      </c>
      <c r="R730" s="13">
        <f t="shared" si="93"/>
        <v>7.1571146521309567E-2</v>
      </c>
      <c r="S730" s="15">
        <f t="shared" si="94"/>
        <v>35.267973231772061</v>
      </c>
      <c r="T730" s="15">
        <f t="shared" si="95"/>
        <v>36.92823688618941</v>
      </c>
    </row>
    <row r="731" spans="1:20" x14ac:dyDescent="0.3">
      <c r="A731" s="5">
        <v>42367.083333333336</v>
      </c>
      <c r="B731" s="14">
        <v>161267.52059183799</v>
      </c>
      <c r="C731" s="14">
        <v>175378.14591522099</v>
      </c>
      <c r="D731" s="6">
        <v>4592</v>
      </c>
      <c r="E731" s="1">
        <v>2015</v>
      </c>
      <c r="F731" s="1">
        <v>12</v>
      </c>
      <c r="G731" s="1" t="s">
        <v>20</v>
      </c>
      <c r="H731" s="12">
        <v>42339</v>
      </c>
      <c r="I731" s="1">
        <v>29</v>
      </c>
      <c r="J731" s="1">
        <v>3</v>
      </c>
      <c r="K731" s="1" t="s">
        <v>23</v>
      </c>
      <c r="L731" s="1" t="s">
        <v>22</v>
      </c>
      <c r="M731" s="15">
        <f t="shared" si="88"/>
        <v>35.119233578361936</v>
      </c>
      <c r="N731" s="15">
        <f t="shared" si="89"/>
        <v>38.192104946694464</v>
      </c>
      <c r="O731" s="14">
        <f t="shared" si="90"/>
        <v>-14110.625323382992</v>
      </c>
      <c r="P731" s="13">
        <f t="shared" si="91"/>
        <v>-8.7498246836053561E-2</v>
      </c>
      <c r="Q731" s="15">
        <f t="shared" si="92"/>
        <v>-3.0728713683325282</v>
      </c>
      <c r="R731" s="13">
        <f t="shared" si="93"/>
        <v>-8.7498246836053423E-2</v>
      </c>
      <c r="S731" s="15">
        <f t="shared" si="94"/>
        <v>35.267973231772061</v>
      </c>
      <c r="T731" s="15">
        <f t="shared" si="95"/>
        <v>36.984633170264992</v>
      </c>
    </row>
    <row r="732" spans="1:20" x14ac:dyDescent="0.3">
      <c r="A732" s="5">
        <v>42368.083333333336</v>
      </c>
      <c r="B732" s="14">
        <v>208583.21799035501</v>
      </c>
      <c r="C732" s="14">
        <v>227060.26267849401</v>
      </c>
      <c r="D732" s="6">
        <v>5945</v>
      </c>
      <c r="E732" s="1">
        <v>2015</v>
      </c>
      <c r="F732" s="1">
        <v>12</v>
      </c>
      <c r="G732" s="1" t="s">
        <v>20</v>
      </c>
      <c r="H732" s="12">
        <v>42339</v>
      </c>
      <c r="I732" s="1">
        <v>30</v>
      </c>
      <c r="J732" s="1">
        <v>4</v>
      </c>
      <c r="K732" s="1" t="s">
        <v>25</v>
      </c>
      <c r="L732" s="1" t="s">
        <v>22</v>
      </c>
      <c r="M732" s="15">
        <f t="shared" si="88"/>
        <v>35.085486625795632</v>
      </c>
      <c r="N732" s="15">
        <f t="shared" si="89"/>
        <v>38.19348405020925</v>
      </c>
      <c r="O732" s="14">
        <f t="shared" si="90"/>
        <v>-18477.044688138994</v>
      </c>
      <c r="P732" s="13">
        <f t="shared" si="91"/>
        <v>-8.8583563271103533E-2</v>
      </c>
      <c r="Q732" s="15">
        <f t="shared" si="92"/>
        <v>-3.1079974244136181</v>
      </c>
      <c r="R732" s="13">
        <f t="shared" si="93"/>
        <v>-8.8583563271103366E-2</v>
      </c>
      <c r="S732" s="15">
        <f t="shared" si="94"/>
        <v>35.267973231772061</v>
      </c>
      <c r="T732" s="15">
        <f t="shared" si="95"/>
        <v>36.983671745233728</v>
      </c>
    </row>
    <row r="733" spans="1:20" x14ac:dyDescent="0.3">
      <c r="A733" s="5">
        <v>42369.083333333336</v>
      </c>
      <c r="B733" s="14">
        <v>325457.52500147902</v>
      </c>
      <c r="C733" s="14">
        <v>353929.73835499201</v>
      </c>
      <c r="D733" s="6">
        <v>9266</v>
      </c>
      <c r="E733" s="1">
        <v>2015</v>
      </c>
      <c r="F733" s="1">
        <v>12</v>
      </c>
      <c r="G733" s="1" t="s">
        <v>20</v>
      </c>
      <c r="H733" s="12">
        <v>42339</v>
      </c>
      <c r="I733" s="1">
        <v>31</v>
      </c>
      <c r="J733" s="1">
        <v>5</v>
      </c>
      <c r="K733" s="1" t="s">
        <v>26</v>
      </c>
      <c r="L733" s="1" t="s">
        <v>22</v>
      </c>
      <c r="M733" s="15">
        <f t="shared" si="88"/>
        <v>35.123842542788587</v>
      </c>
      <c r="N733" s="15">
        <f t="shared" si="89"/>
        <v>38.196604614180011</v>
      </c>
      <c r="O733" s="14">
        <f t="shared" si="90"/>
        <v>-28472.213353512983</v>
      </c>
      <c r="P733" s="13">
        <f t="shared" si="91"/>
        <v>-8.7483653522479138E-2</v>
      </c>
      <c r="Q733" s="15">
        <f t="shared" si="92"/>
        <v>-3.0727620713914234</v>
      </c>
      <c r="R733" s="13">
        <f t="shared" si="93"/>
        <v>-8.7483653522478971E-2</v>
      </c>
      <c r="S733" s="15">
        <f t="shared" si="94"/>
        <v>35.267973231772061</v>
      </c>
      <c r="T733" s="15">
        <f t="shared" si="95"/>
        <v>36.984210587203776</v>
      </c>
    </row>
    <row r="734" spans="1:20" x14ac:dyDescent="0.3">
      <c r="A734" s="5">
        <v>42370.083333333336</v>
      </c>
      <c r="B734" s="14">
        <v>111650.239774079</v>
      </c>
      <c r="C734" s="14">
        <v>121448.283817139</v>
      </c>
      <c r="D734" s="6">
        <v>3179</v>
      </c>
      <c r="E734" s="1">
        <v>2016</v>
      </c>
      <c r="F734" s="1">
        <v>1</v>
      </c>
      <c r="G734" s="1" t="s">
        <v>24</v>
      </c>
      <c r="H734" s="12">
        <v>42370</v>
      </c>
      <c r="I734" s="1">
        <v>1</v>
      </c>
      <c r="J734" s="1">
        <v>6</v>
      </c>
      <c r="K734" s="1" t="s">
        <v>27</v>
      </c>
      <c r="L734" s="1" t="s">
        <v>22</v>
      </c>
      <c r="M734" s="15">
        <f t="shared" si="88"/>
        <v>35.121182690808119</v>
      </c>
      <c r="N734" s="15">
        <f t="shared" si="89"/>
        <v>38.203297834897455</v>
      </c>
      <c r="O734" s="14">
        <f t="shared" si="90"/>
        <v>-9798.0440430599992</v>
      </c>
      <c r="P734" s="13">
        <f t="shared" si="91"/>
        <v>-8.7756587562069319E-2</v>
      </c>
      <c r="Q734" s="15">
        <f t="shared" si="92"/>
        <v>-3.082115144089336</v>
      </c>
      <c r="R734" s="13">
        <f t="shared" si="93"/>
        <v>-8.7756587562069319E-2</v>
      </c>
      <c r="S734" s="15">
        <f t="shared" si="94"/>
        <v>35.267973231772061</v>
      </c>
      <c r="T734" s="15">
        <f t="shared" si="95"/>
        <v>36.981269136737261</v>
      </c>
    </row>
    <row r="735" spans="1:20" x14ac:dyDescent="0.3">
      <c r="A735" s="5">
        <v>42371.083333333336</v>
      </c>
      <c r="B735" s="14">
        <v>262421.281864558</v>
      </c>
      <c r="C735" s="14">
        <v>285675.84571316099</v>
      </c>
      <c r="D735" s="6">
        <v>7479</v>
      </c>
      <c r="E735" s="1">
        <v>2016</v>
      </c>
      <c r="F735" s="1">
        <v>1</v>
      </c>
      <c r="G735" s="1" t="s">
        <v>24</v>
      </c>
      <c r="H735" s="12">
        <v>42370</v>
      </c>
      <c r="I735" s="1">
        <v>2</v>
      </c>
      <c r="J735" s="1">
        <v>7</v>
      </c>
      <c r="K735" s="1" t="s">
        <v>28</v>
      </c>
      <c r="L735" s="1" t="s">
        <v>22</v>
      </c>
      <c r="M735" s="15">
        <f t="shared" si="88"/>
        <v>35.087749948463433</v>
      </c>
      <c r="N735" s="15">
        <f t="shared" si="89"/>
        <v>38.197064542473726</v>
      </c>
      <c r="O735" s="14">
        <f t="shared" si="90"/>
        <v>-23254.563848602993</v>
      </c>
      <c r="P735" s="13">
        <f t="shared" si="91"/>
        <v>-8.8615388520986035E-2</v>
      </c>
      <c r="Q735" s="15">
        <f t="shared" si="92"/>
        <v>-3.1093145940102929</v>
      </c>
      <c r="R735" s="13">
        <f t="shared" si="93"/>
        <v>-8.861538852098598E-2</v>
      </c>
      <c r="S735" s="15">
        <f t="shared" si="94"/>
        <v>35.267973231772061</v>
      </c>
      <c r="T735" s="15">
        <f t="shared" si="95"/>
        <v>36.981700354711883</v>
      </c>
    </row>
    <row r="736" spans="1:20" x14ac:dyDescent="0.3">
      <c r="A736" s="5">
        <v>42372.083333333336</v>
      </c>
      <c r="B736" s="14">
        <v>164527.53891335501</v>
      </c>
      <c r="C736" s="14">
        <v>179308.94953055499</v>
      </c>
      <c r="D736" s="6">
        <v>4694</v>
      </c>
      <c r="E736" s="1">
        <v>2016</v>
      </c>
      <c r="F736" s="1">
        <v>1</v>
      </c>
      <c r="G736" s="1" t="s">
        <v>24</v>
      </c>
      <c r="H736" s="12">
        <v>42370</v>
      </c>
      <c r="I736" s="1">
        <v>3</v>
      </c>
      <c r="J736" s="1">
        <v>1</v>
      </c>
      <c r="K736" s="1" t="s">
        <v>29</v>
      </c>
      <c r="L736" s="1" t="s">
        <v>22</v>
      </c>
      <c r="M736" s="15">
        <f t="shared" si="88"/>
        <v>35.050604796198343</v>
      </c>
      <c r="N736" s="15">
        <f t="shared" si="89"/>
        <v>38.199605779837022</v>
      </c>
      <c r="O736" s="14">
        <f t="shared" si="90"/>
        <v>-14781.410617199988</v>
      </c>
      <c r="P736" s="13">
        <f t="shared" si="91"/>
        <v>-8.9841559138523971E-2</v>
      </c>
      <c r="Q736" s="15">
        <f t="shared" si="92"/>
        <v>-3.149000983638679</v>
      </c>
      <c r="R736" s="13">
        <f t="shared" si="93"/>
        <v>-8.9841559138523791E-2</v>
      </c>
      <c r="S736" s="15">
        <f t="shared" si="94"/>
        <v>35.267973231772061</v>
      </c>
      <c r="T736" s="15">
        <f t="shared" si="95"/>
        <v>36.978368515853688</v>
      </c>
    </row>
    <row r="737" spans="1:20" x14ac:dyDescent="0.3">
      <c r="A737" s="5">
        <v>42373.083333333336</v>
      </c>
      <c r="B737" s="14">
        <v>274990.14649919898</v>
      </c>
      <c r="C737" s="14">
        <v>299576.24136966298</v>
      </c>
      <c r="D737" s="6">
        <v>7843</v>
      </c>
      <c r="E737" s="1">
        <v>2016</v>
      </c>
      <c r="F737" s="1">
        <v>1</v>
      </c>
      <c r="G737" s="1" t="s">
        <v>24</v>
      </c>
      <c r="H737" s="12">
        <v>42370</v>
      </c>
      <c r="I737" s="1">
        <v>4</v>
      </c>
      <c r="J737" s="1">
        <v>2</v>
      </c>
      <c r="K737" s="1" t="s">
        <v>21</v>
      </c>
      <c r="L737" s="1" t="s">
        <v>22</v>
      </c>
      <c r="M737" s="15">
        <f t="shared" si="88"/>
        <v>35.061857261149939</v>
      </c>
      <c r="N737" s="15">
        <f t="shared" si="89"/>
        <v>38.196639215818308</v>
      </c>
      <c r="O737" s="14">
        <f t="shared" si="90"/>
        <v>-24586.094870464003</v>
      </c>
      <c r="P737" s="13">
        <f t="shared" si="91"/>
        <v>-8.9407184888116054E-2</v>
      </c>
      <c r="Q737" s="15">
        <f t="shared" si="92"/>
        <v>-3.1347819546683695</v>
      </c>
      <c r="R737" s="13">
        <f t="shared" si="93"/>
        <v>-8.9407184888116123E-2</v>
      </c>
      <c r="S737" s="15">
        <f t="shared" si="94"/>
        <v>35.267973231772061</v>
      </c>
      <c r="T737" s="15">
        <f t="shared" si="95"/>
        <v>36.971946140875595</v>
      </c>
    </row>
    <row r="738" spans="1:20" x14ac:dyDescent="0.3">
      <c r="A738" s="5">
        <v>42374.083333333336</v>
      </c>
      <c r="B738" s="14">
        <v>215737.842798714</v>
      </c>
      <c r="C738" s="14">
        <v>234642.085748132</v>
      </c>
      <c r="D738" s="6">
        <v>6150</v>
      </c>
      <c r="E738" s="1">
        <v>2016</v>
      </c>
      <c r="F738" s="1">
        <v>1</v>
      </c>
      <c r="G738" s="1" t="s">
        <v>24</v>
      </c>
      <c r="H738" s="12">
        <v>42370</v>
      </c>
      <c r="I738" s="1">
        <v>5</v>
      </c>
      <c r="J738" s="1">
        <v>3</v>
      </c>
      <c r="K738" s="1" t="s">
        <v>23</v>
      </c>
      <c r="L738" s="1" t="s">
        <v>22</v>
      </c>
      <c r="M738" s="15">
        <f t="shared" si="88"/>
        <v>35.07932403231122</v>
      </c>
      <c r="N738" s="15">
        <f t="shared" si="89"/>
        <v>38.153184674493005</v>
      </c>
      <c r="O738" s="14">
        <f t="shared" si="90"/>
        <v>-18904.242949417996</v>
      </c>
      <c r="P738" s="13">
        <f t="shared" si="91"/>
        <v>-8.7625994142603358E-2</v>
      </c>
      <c r="Q738" s="15">
        <f t="shared" si="92"/>
        <v>-3.0738606421817849</v>
      </c>
      <c r="R738" s="13">
        <f t="shared" si="93"/>
        <v>-8.7625994142603261E-2</v>
      </c>
      <c r="S738" s="15">
        <f t="shared" si="94"/>
        <v>35.267973231772061</v>
      </c>
      <c r="T738" s="15">
        <f t="shared" si="95"/>
        <v>36.957936378346247</v>
      </c>
    </row>
    <row r="739" spans="1:20" x14ac:dyDescent="0.3">
      <c r="A739" s="5">
        <v>42375.083333333336</v>
      </c>
      <c r="B739" s="14">
        <v>98646.982697528802</v>
      </c>
      <c r="C739" s="14">
        <v>91610.560001972306</v>
      </c>
      <c r="D739" s="6">
        <v>2401</v>
      </c>
      <c r="E739" s="1">
        <v>2016</v>
      </c>
      <c r="F739" s="1">
        <v>1</v>
      </c>
      <c r="G739" s="1" t="s">
        <v>24</v>
      </c>
      <c r="H739" s="12">
        <v>42370</v>
      </c>
      <c r="I739" s="1">
        <v>6</v>
      </c>
      <c r="J739" s="1">
        <v>4</v>
      </c>
      <c r="K739" s="1" t="s">
        <v>25</v>
      </c>
      <c r="L739" s="1" t="s">
        <v>22</v>
      </c>
      <c r="M739" s="15">
        <f t="shared" si="88"/>
        <v>41.085790377979507</v>
      </c>
      <c r="N739" s="15">
        <f t="shared" si="89"/>
        <v>38.155168680538239</v>
      </c>
      <c r="O739" s="14">
        <f t="shared" si="90"/>
        <v>7036.4226955564955</v>
      </c>
      <c r="P739" s="13">
        <f t="shared" si="91"/>
        <v>7.1329325065436239E-2</v>
      </c>
      <c r="Q739" s="15">
        <f t="shared" si="92"/>
        <v>2.9306216974412678</v>
      </c>
      <c r="R739" s="13">
        <f t="shared" si="93"/>
        <v>7.1329325065436114E-2</v>
      </c>
      <c r="S739" s="15">
        <f t="shared" si="94"/>
        <v>35.267973231772061</v>
      </c>
      <c r="T739" s="15">
        <f t="shared" si="95"/>
        <v>36.95588851486837</v>
      </c>
    </row>
    <row r="740" spans="1:20" x14ac:dyDescent="0.3">
      <c r="A740" s="5">
        <v>42376.083333333336</v>
      </c>
      <c r="B740" s="14">
        <v>74401.215293020505</v>
      </c>
      <c r="C740" s="14">
        <v>68988.861259106401</v>
      </c>
      <c r="D740" s="6">
        <v>1808</v>
      </c>
      <c r="E740" s="1">
        <v>2016</v>
      </c>
      <c r="F740" s="1">
        <v>1</v>
      </c>
      <c r="G740" s="1" t="s">
        <v>24</v>
      </c>
      <c r="H740" s="12">
        <v>42370</v>
      </c>
      <c r="I740" s="1">
        <v>7</v>
      </c>
      <c r="J740" s="1">
        <v>5</v>
      </c>
      <c r="K740" s="1" t="s">
        <v>26</v>
      </c>
      <c r="L740" s="1" t="s">
        <v>22</v>
      </c>
      <c r="M740" s="15">
        <f t="shared" si="88"/>
        <v>41.151114653219302</v>
      </c>
      <c r="N740" s="15">
        <f t="shared" si="89"/>
        <v>38.157556006142919</v>
      </c>
      <c r="O740" s="14">
        <f t="shared" si="90"/>
        <v>5412.3540339141036</v>
      </c>
      <c r="P740" s="13">
        <f t="shared" si="91"/>
        <v>7.2745505736676194E-2</v>
      </c>
      <c r="Q740" s="15">
        <f t="shared" si="92"/>
        <v>2.9935586470763837</v>
      </c>
      <c r="R740" s="13">
        <f t="shared" si="93"/>
        <v>7.274550573667618E-2</v>
      </c>
      <c r="S740" s="15">
        <f t="shared" si="94"/>
        <v>35.267973231772061</v>
      </c>
      <c r="T740" s="15">
        <f t="shared" si="95"/>
        <v>37.098240187917021</v>
      </c>
    </row>
    <row r="741" spans="1:20" x14ac:dyDescent="0.3">
      <c r="A741" s="5">
        <v>42377.083333333336</v>
      </c>
      <c r="B741" s="14">
        <v>106592.34299626799</v>
      </c>
      <c r="C741" s="14">
        <v>99021.682920692198</v>
      </c>
      <c r="D741" s="6">
        <v>2594</v>
      </c>
      <c r="E741" s="1">
        <v>2016</v>
      </c>
      <c r="F741" s="1">
        <v>1</v>
      </c>
      <c r="G741" s="1" t="s">
        <v>24</v>
      </c>
      <c r="H741" s="12">
        <v>42370</v>
      </c>
      <c r="I741" s="1">
        <v>8</v>
      </c>
      <c r="J741" s="1">
        <v>6</v>
      </c>
      <c r="K741" s="1" t="s">
        <v>27</v>
      </c>
      <c r="L741" s="1" t="s">
        <v>22</v>
      </c>
      <c r="M741" s="15">
        <f t="shared" si="88"/>
        <v>41.091882419532766</v>
      </c>
      <c r="N741" s="15">
        <f t="shared" si="89"/>
        <v>38.173355019542093</v>
      </c>
      <c r="O741" s="14">
        <f t="shared" si="90"/>
        <v>7570.6600755757972</v>
      </c>
      <c r="P741" s="13">
        <f t="shared" si="91"/>
        <v>7.1024426921930603E-2</v>
      </c>
      <c r="Q741" s="15">
        <f t="shared" si="92"/>
        <v>2.9185273999906727</v>
      </c>
      <c r="R741" s="13">
        <f t="shared" si="93"/>
        <v>7.1024426921930672E-2</v>
      </c>
      <c r="S741" s="15">
        <f t="shared" si="94"/>
        <v>35.267973231772061</v>
      </c>
      <c r="T741" s="15">
        <f t="shared" si="95"/>
        <v>37.233173277336576</v>
      </c>
    </row>
    <row r="742" spans="1:20" x14ac:dyDescent="0.3">
      <c r="A742" s="5">
        <v>42378.083333333336</v>
      </c>
      <c r="B742" s="14">
        <v>134629.65819692999</v>
      </c>
      <c r="C742" s="14">
        <v>124963.465513847</v>
      </c>
      <c r="D742" s="6">
        <v>3274</v>
      </c>
      <c r="E742" s="1">
        <v>2016</v>
      </c>
      <c r="F742" s="1">
        <v>1</v>
      </c>
      <c r="G742" s="1" t="s">
        <v>24</v>
      </c>
      <c r="H742" s="12">
        <v>42370</v>
      </c>
      <c r="I742" s="1">
        <v>9</v>
      </c>
      <c r="J742" s="1">
        <v>7</v>
      </c>
      <c r="K742" s="1" t="s">
        <v>28</v>
      </c>
      <c r="L742" s="1" t="s">
        <v>22</v>
      </c>
      <c r="M742" s="15">
        <f t="shared" si="88"/>
        <v>41.120848563509462</v>
      </c>
      <c r="N742" s="15">
        <f t="shared" si="89"/>
        <v>38.168437847845752</v>
      </c>
      <c r="O742" s="14">
        <f t="shared" si="90"/>
        <v>9666.1926830829907</v>
      </c>
      <c r="P742" s="13">
        <f t="shared" si="91"/>
        <v>7.179838983876595E-2</v>
      </c>
      <c r="Q742" s="15">
        <f t="shared" si="92"/>
        <v>2.9524107156637101</v>
      </c>
      <c r="R742" s="13">
        <f t="shared" si="93"/>
        <v>7.1798389838765922E-2</v>
      </c>
      <c r="S742" s="15">
        <f t="shared" si="94"/>
        <v>35.267973231772061</v>
      </c>
      <c r="T742" s="15">
        <f t="shared" si="95"/>
        <v>37.374101898149817</v>
      </c>
    </row>
    <row r="743" spans="1:20" x14ac:dyDescent="0.3">
      <c r="A743" s="5">
        <v>42379.083333333336</v>
      </c>
      <c r="B743" s="14">
        <v>90773.653057909105</v>
      </c>
      <c r="C743" s="14">
        <v>84299.288239980393</v>
      </c>
      <c r="D743" s="6">
        <v>2207</v>
      </c>
      <c r="E743" s="1">
        <v>2016</v>
      </c>
      <c r="F743" s="1">
        <v>1</v>
      </c>
      <c r="G743" s="1" t="s">
        <v>24</v>
      </c>
      <c r="H743" s="12">
        <v>42370</v>
      </c>
      <c r="I743" s="1">
        <v>10</v>
      </c>
      <c r="J743" s="1">
        <v>1</v>
      </c>
      <c r="K743" s="1" t="s">
        <v>29</v>
      </c>
      <c r="L743" s="1" t="s">
        <v>22</v>
      </c>
      <c r="M743" s="15">
        <f t="shared" si="88"/>
        <v>41.129883578572318</v>
      </c>
      <c r="N743" s="15">
        <f t="shared" si="89"/>
        <v>38.196324531028722</v>
      </c>
      <c r="O743" s="14">
        <f t="shared" si="90"/>
        <v>6474.364817928712</v>
      </c>
      <c r="P743" s="13">
        <f t="shared" si="91"/>
        <v>7.1324273066309091E-2</v>
      </c>
      <c r="Q743" s="15">
        <f t="shared" si="92"/>
        <v>2.9335590475435964</v>
      </c>
      <c r="R743" s="13">
        <f t="shared" si="93"/>
        <v>7.1324273066309146E-2</v>
      </c>
      <c r="S743" s="15">
        <f t="shared" si="94"/>
        <v>35.267973231772061</v>
      </c>
      <c r="T743" s="15">
        <f t="shared" si="95"/>
        <v>37.515654966633186</v>
      </c>
    </row>
    <row r="744" spans="1:20" x14ac:dyDescent="0.3">
      <c r="A744" s="5">
        <v>42380.083333333336</v>
      </c>
      <c r="B744" s="14">
        <v>121373.068224416</v>
      </c>
      <c r="C744" s="14">
        <v>112550.432308733</v>
      </c>
      <c r="D744" s="6">
        <v>2949</v>
      </c>
      <c r="E744" s="1">
        <v>2016</v>
      </c>
      <c r="F744" s="1">
        <v>1</v>
      </c>
      <c r="G744" s="1" t="s">
        <v>24</v>
      </c>
      <c r="H744" s="12">
        <v>42370</v>
      </c>
      <c r="I744" s="1">
        <v>11</v>
      </c>
      <c r="J744" s="1">
        <v>2</v>
      </c>
      <c r="K744" s="1" t="s">
        <v>21</v>
      </c>
      <c r="L744" s="1" t="s">
        <v>22</v>
      </c>
      <c r="M744" s="15">
        <f t="shared" si="88"/>
        <v>41.15736460644829</v>
      </c>
      <c r="N744" s="15">
        <f t="shared" si="89"/>
        <v>38.165626418695489</v>
      </c>
      <c r="O744" s="14">
        <f t="shared" si="90"/>
        <v>8822.6359156830003</v>
      </c>
      <c r="P744" s="13">
        <f t="shared" si="91"/>
        <v>7.2690227286420328E-2</v>
      </c>
      <c r="Q744" s="15">
        <f t="shared" si="92"/>
        <v>2.9917381877528015</v>
      </c>
      <c r="R744" s="13">
        <f t="shared" si="93"/>
        <v>7.2690227286420425E-2</v>
      </c>
      <c r="S744" s="15">
        <f t="shared" si="94"/>
        <v>35.267973231772061</v>
      </c>
      <c r="T744" s="15">
        <f t="shared" si="95"/>
        <v>37.707744018650232</v>
      </c>
    </row>
    <row r="745" spans="1:20" x14ac:dyDescent="0.3">
      <c r="A745" s="5">
        <v>42381.083333333336</v>
      </c>
      <c r="B745" s="14">
        <v>99445.557103979198</v>
      </c>
      <c r="C745" s="14">
        <v>92226.518095758001</v>
      </c>
      <c r="D745" s="6">
        <v>2417</v>
      </c>
      <c r="E745" s="1">
        <v>2016</v>
      </c>
      <c r="F745" s="1">
        <v>1</v>
      </c>
      <c r="G745" s="1" t="s">
        <v>24</v>
      </c>
      <c r="H745" s="12">
        <v>42370</v>
      </c>
      <c r="I745" s="1">
        <v>12</v>
      </c>
      <c r="J745" s="1">
        <v>3</v>
      </c>
      <c r="K745" s="1" t="s">
        <v>23</v>
      </c>
      <c r="L745" s="1" t="s">
        <v>22</v>
      </c>
      <c r="M745" s="15">
        <f t="shared" si="88"/>
        <v>41.144210634662471</v>
      </c>
      <c r="N745" s="15">
        <f t="shared" si="89"/>
        <v>38.157434048720731</v>
      </c>
      <c r="O745" s="14">
        <f t="shared" si="90"/>
        <v>7219.0390082211961</v>
      </c>
      <c r="P745" s="13">
        <f t="shared" si="91"/>
        <v>7.2592876126914826E-2</v>
      </c>
      <c r="Q745" s="15">
        <f t="shared" si="92"/>
        <v>2.9867765859417403</v>
      </c>
      <c r="R745" s="13">
        <f t="shared" si="93"/>
        <v>7.2592876126914729E-2</v>
      </c>
      <c r="S745" s="15">
        <f t="shared" si="94"/>
        <v>35.267973231772061</v>
      </c>
      <c r="T745" s="15">
        <f t="shared" si="95"/>
        <v>37.846516698387582</v>
      </c>
    </row>
    <row r="746" spans="1:20" x14ac:dyDescent="0.3">
      <c r="A746" s="5">
        <v>42382.083333333336</v>
      </c>
      <c r="B746" s="14">
        <v>67587.546930070399</v>
      </c>
      <c r="C746" s="14">
        <v>62760.356831462297</v>
      </c>
      <c r="D746" s="6">
        <v>1644</v>
      </c>
      <c r="E746" s="1">
        <v>2016</v>
      </c>
      <c r="F746" s="1">
        <v>1</v>
      </c>
      <c r="G746" s="1" t="s">
        <v>24</v>
      </c>
      <c r="H746" s="12">
        <v>42370</v>
      </c>
      <c r="I746" s="1">
        <v>13</v>
      </c>
      <c r="J746" s="1">
        <v>4</v>
      </c>
      <c r="K746" s="1" t="s">
        <v>25</v>
      </c>
      <c r="L746" s="1" t="s">
        <v>22</v>
      </c>
      <c r="M746" s="15">
        <f t="shared" si="88"/>
        <v>41.11164655113771</v>
      </c>
      <c r="N746" s="15">
        <f t="shared" si="89"/>
        <v>38.175399532519648</v>
      </c>
      <c r="O746" s="14">
        <f t="shared" si="90"/>
        <v>4827.1900986081018</v>
      </c>
      <c r="P746" s="13">
        <f t="shared" si="91"/>
        <v>7.1421294570767069E-2</v>
      </c>
      <c r="Q746" s="15">
        <f t="shared" si="92"/>
        <v>2.9362470186180616</v>
      </c>
      <c r="R746" s="13">
        <f t="shared" si="93"/>
        <v>7.1421294570766958E-2</v>
      </c>
      <c r="S746" s="15">
        <f t="shared" si="94"/>
        <v>35.267973231772061</v>
      </c>
      <c r="T746" s="15">
        <f t="shared" si="95"/>
        <v>37.987967955511586</v>
      </c>
    </row>
    <row r="747" spans="1:20" x14ac:dyDescent="0.3">
      <c r="A747" s="5">
        <v>42383.083333333336</v>
      </c>
      <c r="B747" s="14">
        <v>61685.935238410399</v>
      </c>
      <c r="C747" s="14">
        <v>57191.439317791599</v>
      </c>
      <c r="D747" s="6">
        <v>1499</v>
      </c>
      <c r="E747" s="1">
        <v>2016</v>
      </c>
      <c r="F747" s="1">
        <v>1</v>
      </c>
      <c r="G747" s="1" t="s">
        <v>24</v>
      </c>
      <c r="H747" s="12">
        <v>42370</v>
      </c>
      <c r="I747" s="1">
        <v>14</v>
      </c>
      <c r="J747" s="1">
        <v>5</v>
      </c>
      <c r="K747" s="1" t="s">
        <v>26</v>
      </c>
      <c r="L747" s="1" t="s">
        <v>22</v>
      </c>
      <c r="M747" s="15">
        <f t="shared" si="88"/>
        <v>41.151391086331152</v>
      </c>
      <c r="N747" s="15">
        <f t="shared" si="89"/>
        <v>38.153061586251901</v>
      </c>
      <c r="O747" s="14">
        <f t="shared" si="90"/>
        <v>4494.4959206187996</v>
      </c>
      <c r="P747" s="13">
        <f t="shared" si="91"/>
        <v>7.2860951256522102E-2</v>
      </c>
      <c r="Q747" s="15">
        <f t="shared" si="92"/>
        <v>2.9983295000792509</v>
      </c>
      <c r="R747" s="13">
        <f t="shared" si="93"/>
        <v>7.2860951256522075E-2</v>
      </c>
      <c r="S747" s="15">
        <f t="shared" si="94"/>
        <v>35.267973231772061</v>
      </c>
      <c r="T747" s="15">
        <f t="shared" si="95"/>
        <v>38.177712106847942</v>
      </c>
    </row>
    <row r="748" spans="1:20" x14ac:dyDescent="0.3">
      <c r="A748" s="5">
        <v>42384.083333333336</v>
      </c>
      <c r="B748" s="14">
        <v>150006.92979182399</v>
      </c>
      <c r="C748" s="14">
        <v>139244.89576770901</v>
      </c>
      <c r="D748" s="6">
        <v>3648</v>
      </c>
      <c r="E748" s="1">
        <v>2016</v>
      </c>
      <c r="F748" s="1">
        <v>1</v>
      </c>
      <c r="G748" s="1" t="s">
        <v>24</v>
      </c>
      <c r="H748" s="12">
        <v>42370</v>
      </c>
      <c r="I748" s="1">
        <v>15</v>
      </c>
      <c r="J748" s="1">
        <v>6</v>
      </c>
      <c r="K748" s="1" t="s">
        <v>27</v>
      </c>
      <c r="L748" s="1" t="s">
        <v>22</v>
      </c>
      <c r="M748" s="15">
        <f t="shared" si="88"/>
        <v>41.120320666618419</v>
      </c>
      <c r="N748" s="15">
        <f t="shared" si="89"/>
        <v>38.170201690709703</v>
      </c>
      <c r="O748" s="14">
        <f t="shared" si="90"/>
        <v>10762.034024114982</v>
      </c>
      <c r="P748" s="13">
        <f t="shared" si="91"/>
        <v>7.1743579040316835E-2</v>
      </c>
      <c r="Q748" s="15">
        <f t="shared" si="92"/>
        <v>2.9501189759087154</v>
      </c>
      <c r="R748" s="13">
        <f t="shared" si="93"/>
        <v>7.1743579040316904E-2</v>
      </c>
      <c r="S748" s="15">
        <f t="shared" si="94"/>
        <v>35.267973231772061</v>
      </c>
      <c r="T748" s="15">
        <f t="shared" si="95"/>
        <v>38.361509830940051</v>
      </c>
    </row>
    <row r="749" spans="1:20" x14ac:dyDescent="0.3">
      <c r="A749" s="5">
        <v>42385.083333333336</v>
      </c>
      <c r="B749" s="14">
        <v>191287.353485503</v>
      </c>
      <c r="C749" s="14">
        <v>177577.287213495</v>
      </c>
      <c r="D749" s="6">
        <v>4652</v>
      </c>
      <c r="E749" s="1">
        <v>2016</v>
      </c>
      <c r="F749" s="1">
        <v>1</v>
      </c>
      <c r="G749" s="1" t="s">
        <v>24</v>
      </c>
      <c r="H749" s="12">
        <v>42370</v>
      </c>
      <c r="I749" s="1">
        <v>16</v>
      </c>
      <c r="J749" s="1">
        <v>7</v>
      </c>
      <c r="K749" s="1" t="s">
        <v>28</v>
      </c>
      <c r="L749" s="1" t="s">
        <v>22</v>
      </c>
      <c r="M749" s="15">
        <f t="shared" si="88"/>
        <v>41.119379511071152</v>
      </c>
      <c r="N749" s="15">
        <f t="shared" si="89"/>
        <v>38.172245746667024</v>
      </c>
      <c r="O749" s="14">
        <f t="shared" si="90"/>
        <v>13710.066272008</v>
      </c>
      <c r="P749" s="13">
        <f t="shared" si="91"/>
        <v>7.1672622482317094E-2</v>
      </c>
      <c r="Q749" s="15">
        <f t="shared" si="92"/>
        <v>2.9471337644041284</v>
      </c>
      <c r="R749" s="13">
        <f t="shared" si="93"/>
        <v>7.1672622482317122E-2</v>
      </c>
      <c r="S749" s="15">
        <f t="shared" si="94"/>
        <v>35.267973231772061</v>
      </c>
      <c r="T749" s="15">
        <f t="shared" si="95"/>
        <v>38.554509485934751</v>
      </c>
    </row>
    <row r="750" spans="1:20" x14ac:dyDescent="0.3">
      <c r="A750" s="5">
        <v>42386.083333333336</v>
      </c>
      <c r="B750" s="14">
        <v>92595.460836939106</v>
      </c>
      <c r="C750" s="14">
        <v>86018.189605519394</v>
      </c>
      <c r="D750" s="6">
        <v>2252</v>
      </c>
      <c r="E750" s="1">
        <v>2016</v>
      </c>
      <c r="F750" s="1">
        <v>1</v>
      </c>
      <c r="G750" s="1" t="s">
        <v>24</v>
      </c>
      <c r="H750" s="12">
        <v>42370</v>
      </c>
      <c r="I750" s="1">
        <v>17</v>
      </c>
      <c r="J750" s="1">
        <v>1</v>
      </c>
      <c r="K750" s="1" t="s">
        <v>29</v>
      </c>
      <c r="L750" s="1" t="s">
        <v>22</v>
      </c>
      <c r="M750" s="15">
        <f t="shared" si="88"/>
        <v>41.116989714448984</v>
      </c>
      <c r="N750" s="15">
        <f t="shared" si="89"/>
        <v>38.196354176518383</v>
      </c>
      <c r="O750" s="14">
        <f t="shared" si="90"/>
        <v>6577.2712314197124</v>
      </c>
      <c r="P750" s="13">
        <f t="shared" si="91"/>
        <v>7.1032328928113522E-2</v>
      </c>
      <c r="Q750" s="15">
        <f t="shared" si="92"/>
        <v>2.9206355379306004</v>
      </c>
      <c r="R750" s="13">
        <f t="shared" si="93"/>
        <v>7.1032328928113508E-2</v>
      </c>
      <c r="S750" s="15">
        <f t="shared" si="94"/>
        <v>35.267973231772061</v>
      </c>
      <c r="T750" s="15">
        <f t="shared" si="95"/>
        <v>38.748460692346292</v>
      </c>
    </row>
    <row r="751" spans="1:20" x14ac:dyDescent="0.3">
      <c r="A751" s="5">
        <v>42387.083333333336</v>
      </c>
      <c r="B751" s="14">
        <v>96947.054288479194</v>
      </c>
      <c r="C751" s="14">
        <v>89961.359503772706</v>
      </c>
      <c r="D751" s="6">
        <v>2357</v>
      </c>
      <c r="E751" s="1">
        <v>2016</v>
      </c>
      <c r="F751" s="1">
        <v>1</v>
      </c>
      <c r="G751" s="1" t="s">
        <v>24</v>
      </c>
      <c r="H751" s="12">
        <v>42370</v>
      </c>
      <c r="I751" s="1">
        <v>18</v>
      </c>
      <c r="J751" s="1">
        <v>2</v>
      </c>
      <c r="K751" s="1" t="s">
        <v>21</v>
      </c>
      <c r="L751" s="1" t="s">
        <v>22</v>
      </c>
      <c r="M751" s="15">
        <f t="shared" si="88"/>
        <v>41.131546155485445</v>
      </c>
      <c r="N751" s="15">
        <f t="shared" si="89"/>
        <v>38.167738440293896</v>
      </c>
      <c r="O751" s="14">
        <f t="shared" si="90"/>
        <v>6985.6947847064876</v>
      </c>
      <c r="P751" s="13">
        <f t="shared" si="91"/>
        <v>7.2056802921722604E-2</v>
      </c>
      <c r="Q751" s="15">
        <f t="shared" si="92"/>
        <v>2.9638077151915496</v>
      </c>
      <c r="R751" s="13">
        <f t="shared" si="93"/>
        <v>7.2056802921722549E-2</v>
      </c>
      <c r="S751" s="15">
        <f t="shared" si="94"/>
        <v>35.267973231772061</v>
      </c>
      <c r="T751" s="15">
        <f t="shared" si="95"/>
        <v>38.934030009509407</v>
      </c>
    </row>
    <row r="752" spans="1:20" x14ac:dyDescent="0.3">
      <c r="A752" s="5">
        <v>42388.083333333336</v>
      </c>
      <c r="B752" s="14">
        <v>70512.894500490496</v>
      </c>
      <c r="C752" s="14">
        <v>65453.2763915545</v>
      </c>
      <c r="D752" s="6">
        <v>1715</v>
      </c>
      <c r="E752" s="1">
        <v>2016</v>
      </c>
      <c r="F752" s="1">
        <v>1</v>
      </c>
      <c r="G752" s="1" t="s">
        <v>24</v>
      </c>
      <c r="H752" s="12">
        <v>42370</v>
      </c>
      <c r="I752" s="1">
        <v>19</v>
      </c>
      <c r="J752" s="1">
        <v>3</v>
      </c>
      <c r="K752" s="1" t="s">
        <v>23</v>
      </c>
      <c r="L752" s="1" t="s">
        <v>22</v>
      </c>
      <c r="M752" s="15">
        <f t="shared" si="88"/>
        <v>41.115390379294752</v>
      </c>
      <c r="N752" s="15">
        <f t="shared" si="89"/>
        <v>38.165175738515742</v>
      </c>
      <c r="O752" s="14">
        <f t="shared" si="90"/>
        <v>5059.6181089359961</v>
      </c>
      <c r="P752" s="13">
        <f t="shared" si="91"/>
        <v>7.1754508799816763E-2</v>
      </c>
      <c r="Q752" s="15">
        <f t="shared" si="92"/>
        <v>2.9502146407790093</v>
      </c>
      <c r="R752" s="13">
        <f t="shared" si="93"/>
        <v>7.1754508799816819E-2</v>
      </c>
      <c r="S752" s="15">
        <f t="shared" si="94"/>
        <v>35.267973231772061</v>
      </c>
      <c r="T752" s="15">
        <f t="shared" si="95"/>
        <v>39.123097838353949</v>
      </c>
    </row>
    <row r="753" spans="1:20" x14ac:dyDescent="0.3">
      <c r="A753" s="5">
        <v>42389.083333333336</v>
      </c>
      <c r="B753" s="14">
        <v>159590.49006920101</v>
      </c>
      <c r="C753" s="14">
        <v>182351.13884524201</v>
      </c>
      <c r="D753" s="6">
        <v>4776</v>
      </c>
      <c r="E753" s="1">
        <v>2016</v>
      </c>
      <c r="F753" s="1">
        <v>1</v>
      </c>
      <c r="G753" s="1" t="s">
        <v>24</v>
      </c>
      <c r="H753" s="12">
        <v>42370</v>
      </c>
      <c r="I753" s="1">
        <v>20</v>
      </c>
      <c r="J753" s="1">
        <v>4</v>
      </c>
      <c r="K753" s="1" t="s">
        <v>25</v>
      </c>
      <c r="L753" s="1" t="s">
        <v>22</v>
      </c>
      <c r="M753" s="15">
        <f t="shared" si="88"/>
        <v>33.41509423559485</v>
      </c>
      <c r="N753" s="15">
        <f t="shared" si="89"/>
        <v>38.180724213827894</v>
      </c>
      <c r="O753" s="14">
        <f t="shared" si="90"/>
        <v>-22760.648776040995</v>
      </c>
      <c r="P753" s="13">
        <f t="shared" si="91"/>
        <v>-0.14261907940862648</v>
      </c>
      <c r="Q753" s="15">
        <f t="shared" si="92"/>
        <v>-4.7656299782330436</v>
      </c>
      <c r="R753" s="13">
        <f t="shared" si="93"/>
        <v>-0.14261907940862661</v>
      </c>
      <c r="S753" s="15">
        <f t="shared" si="94"/>
        <v>35.267973231772061</v>
      </c>
      <c r="T753" s="15">
        <f t="shared" si="95"/>
        <v>39.060574368770155</v>
      </c>
    </row>
    <row r="754" spans="1:20" x14ac:dyDescent="0.3">
      <c r="A754" s="5">
        <v>42390.083333333336</v>
      </c>
      <c r="B754" s="14">
        <v>67046.273415800402</v>
      </c>
      <c r="C754" s="14">
        <v>61894.2625605305</v>
      </c>
      <c r="D754" s="6">
        <v>1628</v>
      </c>
      <c r="E754" s="1">
        <v>2016</v>
      </c>
      <c r="F754" s="1">
        <v>1</v>
      </c>
      <c r="G754" s="1" t="s">
        <v>24</v>
      </c>
      <c r="H754" s="12">
        <v>42370</v>
      </c>
      <c r="I754" s="1">
        <v>21</v>
      </c>
      <c r="J754" s="1">
        <v>5</v>
      </c>
      <c r="K754" s="1" t="s">
        <v>26</v>
      </c>
      <c r="L754" s="1" t="s">
        <v>22</v>
      </c>
      <c r="M754" s="15">
        <f t="shared" si="88"/>
        <v>41.183214628870026</v>
      </c>
      <c r="N754" s="15">
        <f t="shared" si="89"/>
        <v>38.018588796394653</v>
      </c>
      <c r="O754" s="14">
        <f t="shared" si="90"/>
        <v>5152.0108552699021</v>
      </c>
      <c r="P754" s="13">
        <f t="shared" si="91"/>
        <v>7.6842613210114041E-2</v>
      </c>
      <c r="Q754" s="15">
        <f t="shared" si="92"/>
        <v>3.1646258324753731</v>
      </c>
      <c r="R754" s="13">
        <f t="shared" si="93"/>
        <v>7.6842613210114125E-2</v>
      </c>
      <c r="S754" s="15">
        <f t="shared" si="94"/>
        <v>35.267973231772061</v>
      </c>
      <c r="T754" s="15">
        <f t="shared" si="95"/>
        <v>39.255698287394992</v>
      </c>
    </row>
    <row r="755" spans="1:20" x14ac:dyDescent="0.3">
      <c r="A755" s="5">
        <v>42391.083333333336</v>
      </c>
      <c r="B755" s="14">
        <v>266949.23879314202</v>
      </c>
      <c r="C755" s="14">
        <v>294322.927182735</v>
      </c>
      <c r="D755" s="6">
        <v>7806</v>
      </c>
      <c r="E755" s="1">
        <v>2016</v>
      </c>
      <c r="F755" s="1">
        <v>1</v>
      </c>
      <c r="G755" s="1" t="s">
        <v>24</v>
      </c>
      <c r="H755" s="12">
        <v>42370</v>
      </c>
      <c r="I755" s="1">
        <v>22</v>
      </c>
      <c r="J755" s="1">
        <v>6</v>
      </c>
      <c r="K755" s="1" t="s">
        <v>27</v>
      </c>
      <c r="L755" s="1" t="s">
        <v>22</v>
      </c>
      <c r="M755" s="15">
        <f t="shared" si="88"/>
        <v>34.197955264302081</v>
      </c>
      <c r="N755" s="15">
        <f t="shared" si="89"/>
        <v>37.704704993945043</v>
      </c>
      <c r="O755" s="14">
        <f t="shared" si="90"/>
        <v>-27373.688389592979</v>
      </c>
      <c r="P755" s="13">
        <f t="shared" si="91"/>
        <v>-0.10254267258205126</v>
      </c>
      <c r="Q755" s="15">
        <f t="shared" si="92"/>
        <v>-3.5067497296429622</v>
      </c>
      <c r="R755" s="13">
        <f t="shared" si="93"/>
        <v>-0.10254267258205119</v>
      </c>
      <c r="S755" s="15">
        <f t="shared" si="94"/>
        <v>35.267973231772061</v>
      </c>
      <c r="T755" s="15">
        <f t="shared" si="95"/>
        <v>39.026737196648817</v>
      </c>
    </row>
    <row r="756" spans="1:20" x14ac:dyDescent="0.3">
      <c r="A756" s="5">
        <v>42392.083333333336</v>
      </c>
      <c r="B756" s="14">
        <v>315272.22477212199</v>
      </c>
      <c r="C756" s="14">
        <v>346093.06700429099</v>
      </c>
      <c r="D756" s="6">
        <v>9210</v>
      </c>
      <c r="E756" s="1">
        <v>2016</v>
      </c>
      <c r="F756" s="1">
        <v>1</v>
      </c>
      <c r="G756" s="1" t="s">
        <v>24</v>
      </c>
      <c r="H756" s="12">
        <v>42370</v>
      </c>
      <c r="I756" s="1">
        <v>23</v>
      </c>
      <c r="J756" s="1">
        <v>7</v>
      </c>
      <c r="K756" s="1" t="s">
        <v>28</v>
      </c>
      <c r="L756" s="1" t="s">
        <v>22</v>
      </c>
      <c r="M756" s="15">
        <f t="shared" si="88"/>
        <v>34.231511918797175</v>
      </c>
      <c r="N756" s="15">
        <f t="shared" si="89"/>
        <v>37.577966015666775</v>
      </c>
      <c r="O756" s="14">
        <f t="shared" si="90"/>
        <v>-30820.842232169001</v>
      </c>
      <c r="P756" s="13">
        <f t="shared" si="91"/>
        <v>-9.7759459319469805E-2</v>
      </c>
      <c r="Q756" s="15">
        <f t="shared" si="92"/>
        <v>-3.3464540968695999</v>
      </c>
      <c r="R756" s="13">
        <f t="shared" si="93"/>
        <v>-9.775945931946986E-2</v>
      </c>
      <c r="S756" s="15">
        <f t="shared" si="94"/>
        <v>35.267973231772061</v>
      </c>
      <c r="T756" s="15">
        <f t="shared" si="95"/>
        <v>38.797318907853722</v>
      </c>
    </row>
    <row r="757" spans="1:20" x14ac:dyDescent="0.3">
      <c r="A757" s="5">
        <v>42393.083333333336</v>
      </c>
      <c r="B757" s="14">
        <v>149138.92151888501</v>
      </c>
      <c r="C757" s="14">
        <v>163505.71301989799</v>
      </c>
      <c r="D757" s="6">
        <v>4351</v>
      </c>
      <c r="E757" s="1">
        <v>2016</v>
      </c>
      <c r="F757" s="1">
        <v>1</v>
      </c>
      <c r="G757" s="1" t="s">
        <v>24</v>
      </c>
      <c r="H757" s="12">
        <v>42370</v>
      </c>
      <c r="I757" s="1">
        <v>24</v>
      </c>
      <c r="J757" s="1">
        <v>1</v>
      </c>
      <c r="K757" s="1" t="s">
        <v>29</v>
      </c>
      <c r="L757" s="1" t="s">
        <v>22</v>
      </c>
      <c r="M757" s="15">
        <f t="shared" si="88"/>
        <v>34.276929790596419</v>
      </c>
      <c r="N757" s="15">
        <f t="shared" si="89"/>
        <v>37.578881411146398</v>
      </c>
      <c r="O757" s="14">
        <f t="shared" si="90"/>
        <v>-14366.79150101298</v>
      </c>
      <c r="P757" s="13">
        <f t="shared" si="91"/>
        <v>-9.633160381405706E-2</v>
      </c>
      <c r="Q757" s="15">
        <f t="shared" si="92"/>
        <v>-3.3019516205499784</v>
      </c>
      <c r="R757" s="13">
        <f t="shared" si="93"/>
        <v>-9.6331603814056893E-2</v>
      </c>
      <c r="S757" s="15">
        <f t="shared" si="94"/>
        <v>35.267973231772061</v>
      </c>
      <c r="T757" s="15">
        <f t="shared" si="95"/>
        <v>38.570831394230979</v>
      </c>
    </row>
    <row r="758" spans="1:20" x14ac:dyDescent="0.3">
      <c r="A758" s="5">
        <v>42394.083333333336</v>
      </c>
      <c r="B758" s="14">
        <v>215171.03820176999</v>
      </c>
      <c r="C758" s="14">
        <v>234621.59885970899</v>
      </c>
      <c r="D758" s="6">
        <v>6278</v>
      </c>
      <c r="E758" s="1">
        <v>2016</v>
      </c>
      <c r="F758" s="1">
        <v>1</v>
      </c>
      <c r="G758" s="1" t="s">
        <v>24</v>
      </c>
      <c r="H758" s="12">
        <v>42370</v>
      </c>
      <c r="I758" s="1">
        <v>25</v>
      </c>
      <c r="J758" s="1">
        <v>2</v>
      </c>
      <c r="K758" s="1" t="s">
        <v>21</v>
      </c>
      <c r="L758" s="1" t="s">
        <v>22</v>
      </c>
      <c r="M758" s="15">
        <f t="shared" si="88"/>
        <v>34.273819401365081</v>
      </c>
      <c r="N758" s="15">
        <f t="shared" si="89"/>
        <v>37.372029127064188</v>
      </c>
      <c r="O758" s="14">
        <f t="shared" si="90"/>
        <v>-19450.560657939001</v>
      </c>
      <c r="P758" s="13">
        <f t="shared" si="91"/>
        <v>-9.0395811724902492E-2</v>
      </c>
      <c r="Q758" s="15">
        <f t="shared" si="92"/>
        <v>-3.0982097256991068</v>
      </c>
      <c r="R758" s="13">
        <f t="shared" si="93"/>
        <v>-9.039581172490245E-2</v>
      </c>
      <c r="S758" s="15">
        <f t="shared" si="94"/>
        <v>35.267973231772061</v>
      </c>
      <c r="T758" s="15">
        <f t="shared" si="95"/>
        <v>38.342561058192523</v>
      </c>
    </row>
    <row r="759" spans="1:20" x14ac:dyDescent="0.3">
      <c r="A759" s="5">
        <v>42395.083333333336</v>
      </c>
      <c r="B759" s="14">
        <v>205197.898357169</v>
      </c>
      <c r="C759" s="14">
        <v>221931.58005274399</v>
      </c>
      <c r="D759" s="6">
        <v>5992</v>
      </c>
      <c r="E759" s="1">
        <v>2016</v>
      </c>
      <c r="F759" s="1">
        <v>1</v>
      </c>
      <c r="G759" s="1" t="s">
        <v>24</v>
      </c>
      <c r="H759" s="12">
        <v>42370</v>
      </c>
      <c r="I759" s="1">
        <v>26</v>
      </c>
      <c r="J759" s="1">
        <v>3</v>
      </c>
      <c r="K759" s="1" t="s">
        <v>23</v>
      </c>
      <c r="L759" s="1" t="s">
        <v>22</v>
      </c>
      <c r="M759" s="15">
        <f t="shared" si="88"/>
        <v>34.245310139714455</v>
      </c>
      <c r="N759" s="15">
        <f t="shared" si="89"/>
        <v>37.037980649656873</v>
      </c>
      <c r="O759" s="14">
        <f t="shared" si="90"/>
        <v>-16733.681695574982</v>
      </c>
      <c r="P759" s="13">
        <f t="shared" si="91"/>
        <v>-8.1548991629769085E-2</v>
      </c>
      <c r="Q759" s="15">
        <f t="shared" si="92"/>
        <v>-2.7926705099424183</v>
      </c>
      <c r="R759" s="13">
        <f t="shared" si="93"/>
        <v>-8.1548991629769016E-2</v>
      </c>
      <c r="S759" s="15">
        <f t="shared" si="94"/>
        <v>35.267973231772061</v>
      </c>
      <c r="T759" s="15">
        <f t="shared" si="95"/>
        <v>38.114433157925717</v>
      </c>
    </row>
    <row r="760" spans="1:20" x14ac:dyDescent="0.3">
      <c r="A760" s="5">
        <v>42396.083333333336</v>
      </c>
      <c r="B760" s="14">
        <v>214452.24842869499</v>
      </c>
      <c r="C760" s="14">
        <v>231730.23274989799</v>
      </c>
      <c r="D760" s="6">
        <v>6265</v>
      </c>
      <c r="E760" s="1">
        <v>2016</v>
      </c>
      <c r="F760" s="1">
        <v>1</v>
      </c>
      <c r="G760" s="1" t="s">
        <v>24</v>
      </c>
      <c r="H760" s="12">
        <v>42370</v>
      </c>
      <c r="I760" s="1">
        <v>27</v>
      </c>
      <c r="J760" s="1">
        <v>4</v>
      </c>
      <c r="K760" s="1" t="s">
        <v>25</v>
      </c>
      <c r="L760" s="1" t="s">
        <v>22</v>
      </c>
      <c r="M760" s="15">
        <f t="shared" si="88"/>
        <v>34.230207251188347</v>
      </c>
      <c r="N760" s="15">
        <f t="shared" si="89"/>
        <v>36.988065881867193</v>
      </c>
      <c r="O760" s="14">
        <f t="shared" si="90"/>
        <v>-17277.984321202995</v>
      </c>
      <c r="P760" s="13">
        <f t="shared" si="91"/>
        <v>-8.0567979341787582E-2</v>
      </c>
      <c r="Q760" s="15">
        <f t="shared" si="92"/>
        <v>-2.7578586306788466</v>
      </c>
      <c r="R760" s="13">
        <f t="shared" si="93"/>
        <v>-8.0567979341787471E-2</v>
      </c>
      <c r="S760" s="15">
        <f t="shared" si="94"/>
        <v>35.267973231772061</v>
      </c>
      <c r="T760" s="15">
        <f t="shared" si="95"/>
        <v>37.884369433487251</v>
      </c>
    </row>
    <row r="761" spans="1:20" x14ac:dyDescent="0.3">
      <c r="A761" s="5">
        <v>42397.083333333336</v>
      </c>
      <c r="B761" s="14">
        <v>195767.97355403801</v>
      </c>
      <c r="C761" s="14">
        <v>210639.84818927501</v>
      </c>
      <c r="D761" s="6">
        <v>5723</v>
      </c>
      <c r="E761" s="1">
        <v>2016</v>
      </c>
      <c r="F761" s="1">
        <v>1</v>
      </c>
      <c r="G761" s="1" t="s">
        <v>24</v>
      </c>
      <c r="H761" s="12">
        <v>42370</v>
      </c>
      <c r="I761" s="1">
        <v>28</v>
      </c>
      <c r="J761" s="1">
        <v>5</v>
      </c>
      <c r="K761" s="1" t="s">
        <v>26</v>
      </c>
      <c r="L761" s="1" t="s">
        <v>22</v>
      </c>
      <c r="M761" s="15">
        <f t="shared" si="88"/>
        <v>34.207229347202166</v>
      </c>
      <c r="N761" s="15">
        <f t="shared" si="89"/>
        <v>36.805844520229776</v>
      </c>
      <c r="O761" s="14">
        <f t="shared" si="90"/>
        <v>-14871.874635237007</v>
      </c>
      <c r="P761" s="13">
        <f t="shared" si="91"/>
        <v>-7.5966841589295564E-2</v>
      </c>
      <c r="Q761" s="15">
        <f t="shared" si="92"/>
        <v>-2.5986151730276106</v>
      </c>
      <c r="R761" s="13">
        <f t="shared" si="93"/>
        <v>-7.5966841589295606E-2</v>
      </c>
      <c r="S761" s="15">
        <f t="shared" si="94"/>
        <v>35.267973231772061</v>
      </c>
      <c r="T761" s="15">
        <f t="shared" si="95"/>
        <v>37.853969292448603</v>
      </c>
    </row>
    <row r="762" spans="1:20" x14ac:dyDescent="0.3">
      <c r="A762" s="5">
        <v>42398.083333333336</v>
      </c>
      <c r="B762" s="14">
        <v>397984.329262888</v>
      </c>
      <c r="C762" s="14">
        <v>437198.92957971501</v>
      </c>
      <c r="D762" s="6">
        <v>11900</v>
      </c>
      <c r="E762" s="1">
        <v>2016</v>
      </c>
      <c r="F762" s="1">
        <v>1</v>
      </c>
      <c r="G762" s="1" t="s">
        <v>24</v>
      </c>
      <c r="H762" s="12">
        <v>42370</v>
      </c>
      <c r="I762" s="1">
        <v>29</v>
      </c>
      <c r="J762" s="1">
        <v>6</v>
      </c>
      <c r="K762" s="1" t="s">
        <v>27</v>
      </c>
      <c r="L762" s="1" t="s">
        <v>22</v>
      </c>
      <c r="M762" s="15">
        <f t="shared" si="88"/>
        <v>33.444061282595634</v>
      </c>
      <c r="N762" s="15">
        <f t="shared" si="89"/>
        <v>36.739405847034874</v>
      </c>
      <c r="O762" s="14">
        <f t="shared" si="90"/>
        <v>-39214.600316827011</v>
      </c>
      <c r="P762" s="13">
        <f t="shared" si="91"/>
        <v>-9.8533026135619178E-2</v>
      </c>
      <c r="Q762" s="15">
        <f t="shared" si="92"/>
        <v>-3.2953445644392403</v>
      </c>
      <c r="R762" s="13">
        <f t="shared" si="93"/>
        <v>-9.853302613561904E-2</v>
      </c>
      <c r="S762" s="15">
        <f t="shared" si="94"/>
        <v>35.267973231772061</v>
      </c>
      <c r="T762" s="15">
        <f t="shared" si="95"/>
        <v>37.799255114341932</v>
      </c>
    </row>
    <row r="763" spans="1:20" x14ac:dyDescent="0.3">
      <c r="A763" s="5">
        <v>42399.083333333336</v>
      </c>
      <c r="B763" s="14">
        <v>512603.10345302301</v>
      </c>
      <c r="C763" s="14">
        <v>561872.20603299001</v>
      </c>
      <c r="D763" s="6">
        <v>15345</v>
      </c>
      <c r="E763" s="1">
        <v>2016</v>
      </c>
      <c r="F763" s="1">
        <v>1</v>
      </c>
      <c r="G763" s="1" t="s">
        <v>24</v>
      </c>
      <c r="H763" s="12">
        <v>42370</v>
      </c>
      <c r="I763" s="1">
        <v>30</v>
      </c>
      <c r="J763" s="1">
        <v>7</v>
      </c>
      <c r="K763" s="1" t="s">
        <v>28</v>
      </c>
      <c r="L763" s="1" t="s">
        <v>22</v>
      </c>
      <c r="M763" s="15">
        <f t="shared" si="88"/>
        <v>33.40522016637491</v>
      </c>
      <c r="N763" s="15">
        <f t="shared" si="89"/>
        <v>36.615979539458458</v>
      </c>
      <c r="O763" s="14">
        <f t="shared" si="90"/>
        <v>-49269.102579967002</v>
      </c>
      <c r="P763" s="13">
        <f t="shared" si="91"/>
        <v>-9.6115498029719248E-2</v>
      </c>
      <c r="Q763" s="15">
        <f t="shared" si="92"/>
        <v>-3.2107593730835475</v>
      </c>
      <c r="R763" s="13">
        <f t="shared" si="93"/>
        <v>-9.6115498029719318E-2</v>
      </c>
      <c r="S763" s="15">
        <f t="shared" si="94"/>
        <v>35.267973231772061</v>
      </c>
      <c r="T763" s="15">
        <f t="shared" si="95"/>
        <v>37.741967701794806</v>
      </c>
    </row>
    <row r="764" spans="1:20" x14ac:dyDescent="0.3">
      <c r="A764" s="5">
        <v>42400.083333333336</v>
      </c>
      <c r="B764" s="14">
        <v>218104.066939171</v>
      </c>
      <c r="C764" s="14">
        <v>238662.19210478599</v>
      </c>
      <c r="D764" s="6">
        <v>6525</v>
      </c>
      <c r="E764" s="1">
        <v>2016</v>
      </c>
      <c r="F764" s="1">
        <v>1</v>
      </c>
      <c r="G764" s="1" t="s">
        <v>24</v>
      </c>
      <c r="H764" s="12">
        <v>42370</v>
      </c>
      <c r="I764" s="1">
        <v>31</v>
      </c>
      <c r="J764" s="1">
        <v>1</v>
      </c>
      <c r="K764" s="1" t="s">
        <v>29</v>
      </c>
      <c r="L764" s="1" t="s">
        <v>22</v>
      </c>
      <c r="M764" s="15">
        <f t="shared" si="88"/>
        <v>33.425910642018543</v>
      </c>
      <c r="N764" s="15">
        <f t="shared" si="89"/>
        <v>36.576581165484441</v>
      </c>
      <c r="O764" s="14">
        <f t="shared" si="90"/>
        <v>-20558.125165614998</v>
      </c>
      <c r="P764" s="13">
        <f t="shared" si="91"/>
        <v>-9.4258330227966994E-2</v>
      </c>
      <c r="Q764" s="15">
        <f t="shared" si="92"/>
        <v>-3.150670523465898</v>
      </c>
      <c r="R764" s="13">
        <f t="shared" si="93"/>
        <v>-9.4258330227966938E-2</v>
      </c>
      <c r="S764" s="15">
        <f t="shared" si="94"/>
        <v>35.267973231772061</v>
      </c>
      <c r="T764" s="15">
        <f t="shared" si="95"/>
        <v>37.685458633501824</v>
      </c>
    </row>
    <row r="765" spans="1:20" x14ac:dyDescent="0.3">
      <c r="A765" s="5">
        <v>42401.083333333336</v>
      </c>
      <c r="B765" s="14">
        <v>339004.336886762</v>
      </c>
      <c r="C765" s="14">
        <v>371177.18688303197</v>
      </c>
      <c r="D765" s="6">
        <v>10153</v>
      </c>
      <c r="E765" s="1">
        <v>2016</v>
      </c>
      <c r="F765" s="1">
        <v>2</v>
      </c>
      <c r="G765" s="1" t="s">
        <v>30</v>
      </c>
      <c r="H765" s="12">
        <v>42401</v>
      </c>
      <c r="I765" s="1">
        <v>1</v>
      </c>
      <c r="J765" s="1">
        <v>2</v>
      </c>
      <c r="K765" s="1" t="s">
        <v>21</v>
      </c>
      <c r="L765" s="1" t="s">
        <v>22</v>
      </c>
      <c r="M765" s="15">
        <f t="shared" si="88"/>
        <v>33.389573218434158</v>
      </c>
      <c r="N765" s="15">
        <f t="shared" si="89"/>
        <v>36.558375542502901</v>
      </c>
      <c r="O765" s="14">
        <f t="shared" si="90"/>
        <v>-32172.849996269972</v>
      </c>
      <c r="P765" s="13">
        <f t="shared" si="91"/>
        <v>-9.4903948107946196E-2</v>
      </c>
      <c r="Q765" s="15">
        <f t="shared" si="92"/>
        <v>-3.1688023240687428</v>
      </c>
      <c r="R765" s="13">
        <f t="shared" si="93"/>
        <v>-9.4903948107946126E-2</v>
      </c>
      <c r="S765" s="15">
        <f t="shared" si="94"/>
        <v>35.267973231772061</v>
      </c>
      <c r="T765" s="15">
        <f t="shared" si="95"/>
        <v>37.628852742500847</v>
      </c>
    </row>
    <row r="766" spans="1:20" x14ac:dyDescent="0.3">
      <c r="A766" s="5">
        <v>42402.083333333336</v>
      </c>
      <c r="B766" s="14">
        <v>278116.36932756298</v>
      </c>
      <c r="C766" s="14">
        <v>295645.62910879799</v>
      </c>
      <c r="D766" s="6">
        <v>8116</v>
      </c>
      <c r="E766" s="1">
        <v>2016</v>
      </c>
      <c r="F766" s="1">
        <v>2</v>
      </c>
      <c r="G766" s="1" t="s">
        <v>30</v>
      </c>
      <c r="H766" s="12">
        <v>42401</v>
      </c>
      <c r="I766" s="1">
        <v>2</v>
      </c>
      <c r="J766" s="1">
        <v>3</v>
      </c>
      <c r="K766" s="1" t="s">
        <v>23</v>
      </c>
      <c r="L766" s="1" t="s">
        <v>22</v>
      </c>
      <c r="M766" s="15">
        <f t="shared" si="88"/>
        <v>34.267665023110276</v>
      </c>
      <c r="N766" s="15">
        <f t="shared" si="89"/>
        <v>36.427504818728188</v>
      </c>
      <c r="O766" s="14">
        <f t="shared" si="90"/>
        <v>-17529.259781235014</v>
      </c>
      <c r="P766" s="13">
        <f t="shared" si="91"/>
        <v>-6.3028507899832414E-2</v>
      </c>
      <c r="Q766" s="15">
        <f t="shared" si="92"/>
        <v>-2.1598397956179127</v>
      </c>
      <c r="R766" s="13">
        <f t="shared" si="93"/>
        <v>-6.302850789983229E-2</v>
      </c>
      <c r="S766" s="15">
        <f t="shared" si="94"/>
        <v>35.267973231772061</v>
      </c>
      <c r="T766" s="15">
        <f t="shared" si="95"/>
        <v>37.602754750064577</v>
      </c>
    </row>
    <row r="767" spans="1:20" x14ac:dyDescent="0.3">
      <c r="A767" s="5">
        <v>42403.083333333336</v>
      </c>
      <c r="B767" s="14">
        <v>264159.30061037297</v>
      </c>
      <c r="C767" s="14">
        <v>280392.27359994501</v>
      </c>
      <c r="D767" s="6">
        <v>7712</v>
      </c>
      <c r="E767" s="1">
        <v>2016</v>
      </c>
      <c r="F767" s="1">
        <v>2</v>
      </c>
      <c r="G767" s="1" t="s">
        <v>30</v>
      </c>
      <c r="H767" s="12">
        <v>42401</v>
      </c>
      <c r="I767" s="1">
        <v>3</v>
      </c>
      <c r="J767" s="1">
        <v>4</v>
      </c>
      <c r="K767" s="1" t="s">
        <v>25</v>
      </c>
      <c r="L767" s="1" t="s">
        <v>22</v>
      </c>
      <c r="M767" s="15">
        <f t="shared" si="88"/>
        <v>34.253021344706042</v>
      </c>
      <c r="N767" s="15">
        <f t="shared" si="89"/>
        <v>36.35791929459868</v>
      </c>
      <c r="O767" s="14">
        <f t="shared" si="90"/>
        <v>-16232.972989572037</v>
      </c>
      <c r="P767" s="13">
        <f t="shared" si="91"/>
        <v>-6.1451453543614518E-2</v>
      </c>
      <c r="Q767" s="15">
        <f t="shared" si="92"/>
        <v>-2.1048979498926386</v>
      </c>
      <c r="R767" s="13">
        <f t="shared" si="93"/>
        <v>-6.1451453543614483E-2</v>
      </c>
      <c r="S767" s="15">
        <f t="shared" si="94"/>
        <v>35.267973231772061</v>
      </c>
      <c r="T767" s="15">
        <f t="shared" si="95"/>
        <v>37.575793552849774</v>
      </c>
    </row>
    <row r="768" spans="1:20" x14ac:dyDescent="0.3">
      <c r="A768" s="5">
        <v>42404.083333333336</v>
      </c>
      <c r="B768" s="14">
        <v>197778.13374055899</v>
      </c>
      <c r="C768" s="14">
        <v>209372.292230828</v>
      </c>
      <c r="D768" s="6">
        <v>5759</v>
      </c>
      <c r="E768" s="1">
        <v>2016</v>
      </c>
      <c r="F768" s="1">
        <v>2</v>
      </c>
      <c r="G768" s="1" t="s">
        <v>30</v>
      </c>
      <c r="H768" s="12">
        <v>42401</v>
      </c>
      <c r="I768" s="1">
        <v>4</v>
      </c>
      <c r="J768" s="1">
        <v>5</v>
      </c>
      <c r="K768" s="1" t="s">
        <v>26</v>
      </c>
      <c r="L768" s="1" t="s">
        <v>22</v>
      </c>
      <c r="M768" s="15">
        <f t="shared" si="88"/>
        <v>34.342443782003642</v>
      </c>
      <c r="N768" s="15">
        <f t="shared" si="89"/>
        <v>36.355668037997567</v>
      </c>
      <c r="O768" s="14">
        <f t="shared" si="90"/>
        <v>-11594.158490269008</v>
      </c>
      <c r="P768" s="13">
        <f t="shared" si="91"/>
        <v>-5.8622044161251774E-2</v>
      </c>
      <c r="Q768" s="15">
        <f t="shared" si="92"/>
        <v>-2.0132242559939257</v>
      </c>
      <c r="R768" s="13">
        <f t="shared" si="93"/>
        <v>-5.8622044161251829E-2</v>
      </c>
      <c r="S768" s="15">
        <f t="shared" si="94"/>
        <v>35.267973231772061</v>
      </c>
      <c r="T768" s="15">
        <f t="shared" si="95"/>
        <v>37.551230877839515</v>
      </c>
    </row>
    <row r="769" spans="1:20" x14ac:dyDescent="0.3">
      <c r="A769" s="5">
        <v>42405.083333333336</v>
      </c>
      <c r="B769" s="14">
        <v>325749.00890694698</v>
      </c>
      <c r="C769" s="14">
        <v>345287.81149657897</v>
      </c>
      <c r="D769" s="6">
        <v>9501</v>
      </c>
      <c r="E769" s="1">
        <v>2016</v>
      </c>
      <c r="F769" s="1">
        <v>2</v>
      </c>
      <c r="G769" s="1" t="s">
        <v>30</v>
      </c>
      <c r="H769" s="12">
        <v>42401</v>
      </c>
      <c r="I769" s="1">
        <v>5</v>
      </c>
      <c r="J769" s="1">
        <v>6</v>
      </c>
      <c r="K769" s="1" t="s">
        <v>27</v>
      </c>
      <c r="L769" s="1" t="s">
        <v>22</v>
      </c>
      <c r="M769" s="15">
        <f t="shared" si="88"/>
        <v>34.285760331222711</v>
      </c>
      <c r="N769" s="15">
        <f t="shared" si="89"/>
        <v>36.342259919648349</v>
      </c>
      <c r="O769" s="14">
        <f t="shared" si="90"/>
        <v>-19538.802589631989</v>
      </c>
      <c r="P769" s="13">
        <f t="shared" si="91"/>
        <v>-5.9981157441413482E-2</v>
      </c>
      <c r="Q769" s="15">
        <f t="shared" si="92"/>
        <v>-2.0564995884256376</v>
      </c>
      <c r="R769" s="13">
        <f t="shared" si="93"/>
        <v>-5.9981157441413462E-2</v>
      </c>
      <c r="S769" s="15">
        <f t="shared" si="94"/>
        <v>35.267973231772061</v>
      </c>
      <c r="T769" s="15">
        <f t="shared" si="95"/>
        <v>37.32456320961429</v>
      </c>
    </row>
    <row r="770" spans="1:20" x14ac:dyDescent="0.3">
      <c r="A770" s="5">
        <v>42406.083333333336</v>
      </c>
      <c r="B770" s="14">
        <v>371561.97638721397</v>
      </c>
      <c r="C770" s="14">
        <v>393884.43303565</v>
      </c>
      <c r="D770" s="6">
        <v>10840</v>
      </c>
      <c r="E770" s="1">
        <v>2016</v>
      </c>
      <c r="F770" s="1">
        <v>2</v>
      </c>
      <c r="G770" s="1" t="s">
        <v>30</v>
      </c>
      <c r="H770" s="12">
        <v>42401</v>
      </c>
      <c r="I770" s="1">
        <v>6</v>
      </c>
      <c r="J770" s="1">
        <v>7</v>
      </c>
      <c r="K770" s="1" t="s">
        <v>28</v>
      </c>
      <c r="L770" s="1" t="s">
        <v>22</v>
      </c>
      <c r="M770" s="15">
        <f t="shared" si="88"/>
        <v>34.276935091071401</v>
      </c>
      <c r="N770" s="15">
        <f t="shared" si="89"/>
        <v>36.336202309561806</v>
      </c>
      <c r="O770" s="14">
        <f t="shared" si="90"/>
        <v>-22322.456648436026</v>
      </c>
      <c r="P770" s="13">
        <f t="shared" si="91"/>
        <v>-6.0077343934604434E-2</v>
      </c>
      <c r="Q770" s="15">
        <f t="shared" si="92"/>
        <v>-2.0592672184904046</v>
      </c>
      <c r="R770" s="13">
        <f t="shared" si="93"/>
        <v>-6.0077343934604323E-2</v>
      </c>
      <c r="S770" s="15">
        <f t="shared" si="94"/>
        <v>35.267973231772061</v>
      </c>
      <c r="T770" s="15">
        <f t="shared" si="95"/>
        <v>37.095423890876027</v>
      </c>
    </row>
    <row r="771" spans="1:20" x14ac:dyDescent="0.3">
      <c r="A771" s="5">
        <v>42407.083333333336</v>
      </c>
      <c r="B771" s="14">
        <v>174581.67684583101</v>
      </c>
      <c r="C771" s="14">
        <v>185040.817338933</v>
      </c>
      <c r="D771" s="6">
        <v>5089</v>
      </c>
      <c r="E771" s="1">
        <v>2016</v>
      </c>
      <c r="F771" s="1">
        <v>2</v>
      </c>
      <c r="G771" s="1" t="s">
        <v>30</v>
      </c>
      <c r="H771" s="12">
        <v>42401</v>
      </c>
      <c r="I771" s="1">
        <v>7</v>
      </c>
      <c r="J771" s="1">
        <v>1</v>
      </c>
      <c r="K771" s="1" t="s">
        <v>29</v>
      </c>
      <c r="L771" s="1" t="s">
        <v>22</v>
      </c>
      <c r="M771" s="15">
        <f t="shared" ref="M771:M834" si="96">IFERROR(B771/D771,0)</f>
        <v>34.305694015686974</v>
      </c>
      <c r="N771" s="15">
        <f t="shared" ref="N771:N834" si="97">IFERROR(C771/D771,0)</f>
        <v>36.360938757896051</v>
      </c>
      <c r="O771" s="14">
        <f t="shared" ref="O771:O834" si="98">B771-C771</f>
        <v>-10459.140493101993</v>
      </c>
      <c r="P771" s="13">
        <f t="shared" ref="P771:P834" si="99">IFERROR(O771/B771,0)</f>
        <v>-5.9909726393212591E-2</v>
      </c>
      <c r="Q771" s="15">
        <f t="shared" ref="Q771:Q834" si="100">M771-N771</f>
        <v>-2.0552447422090765</v>
      </c>
      <c r="R771" s="13">
        <f t="shared" ref="R771:R834" si="101">IFERROR(Q771/M771,0)</f>
        <v>-5.990972639321257E-2</v>
      </c>
      <c r="S771" s="15">
        <f t="shared" ref="S771:S834" si="102">IFERROR(SUM($B$2:$B$1001)/SUM($D$2:$D$1001),0)</f>
        <v>35.267973231772061</v>
      </c>
      <c r="T771" s="15">
        <f t="shared" ref="T771:T834" si="103">AVERAGEIFS($M$2:$M$1001,$A$2:$A$1001,"&gt;="&amp;A771-29,$A$2:$A$1001,"&lt;="&amp;A771)</f>
        <v>36.869217610747825</v>
      </c>
    </row>
    <row r="772" spans="1:20" x14ac:dyDescent="0.3">
      <c r="A772" s="5">
        <v>42408.083333333336</v>
      </c>
      <c r="B772" s="14">
        <v>208489.36941933099</v>
      </c>
      <c r="C772" s="14">
        <v>221372.83694683199</v>
      </c>
      <c r="D772" s="6">
        <v>6087</v>
      </c>
      <c r="E772" s="1">
        <v>2016</v>
      </c>
      <c r="F772" s="1">
        <v>2</v>
      </c>
      <c r="G772" s="1" t="s">
        <v>30</v>
      </c>
      <c r="H772" s="12">
        <v>42401</v>
      </c>
      <c r="I772" s="1">
        <v>8</v>
      </c>
      <c r="J772" s="1">
        <v>2</v>
      </c>
      <c r="K772" s="1" t="s">
        <v>21</v>
      </c>
      <c r="L772" s="1" t="s">
        <v>22</v>
      </c>
      <c r="M772" s="15">
        <f t="shared" si="96"/>
        <v>34.251580321887793</v>
      </c>
      <c r="N772" s="15">
        <f t="shared" si="97"/>
        <v>36.368134868873334</v>
      </c>
      <c r="O772" s="14">
        <f t="shared" si="98"/>
        <v>-12883.467527500994</v>
      </c>
      <c r="P772" s="13">
        <f t="shared" si="99"/>
        <v>-6.1794361810307473E-2</v>
      </c>
      <c r="Q772" s="15">
        <f t="shared" si="100"/>
        <v>-2.1165545469855402</v>
      </c>
      <c r="R772" s="13">
        <f t="shared" si="101"/>
        <v>-6.1794361810307424E-2</v>
      </c>
      <c r="S772" s="15">
        <f t="shared" si="102"/>
        <v>35.267973231772061</v>
      </c>
      <c r="T772" s="15">
        <f t="shared" si="103"/>
        <v>36.640242002693775</v>
      </c>
    </row>
    <row r="773" spans="1:20" x14ac:dyDescent="0.3">
      <c r="A773" s="5">
        <v>42409.083333333336</v>
      </c>
      <c r="B773" s="14">
        <v>84495.166667640093</v>
      </c>
      <c r="C773" s="14">
        <v>74682.266818099204</v>
      </c>
      <c r="D773" s="6">
        <v>2053</v>
      </c>
      <c r="E773" s="1">
        <v>2016</v>
      </c>
      <c r="F773" s="1">
        <v>2</v>
      </c>
      <c r="G773" s="1" t="s">
        <v>30</v>
      </c>
      <c r="H773" s="12">
        <v>42401</v>
      </c>
      <c r="I773" s="1">
        <v>9</v>
      </c>
      <c r="J773" s="1">
        <v>3</v>
      </c>
      <c r="K773" s="1" t="s">
        <v>23</v>
      </c>
      <c r="L773" s="1" t="s">
        <v>22</v>
      </c>
      <c r="M773" s="15">
        <f t="shared" si="96"/>
        <v>41.156924825932826</v>
      </c>
      <c r="N773" s="15">
        <f t="shared" si="97"/>
        <v>36.377139219726843</v>
      </c>
      <c r="O773" s="14">
        <f t="shared" si="98"/>
        <v>9812.8998495408887</v>
      </c>
      <c r="P773" s="13">
        <f t="shared" si="99"/>
        <v>0.11613563516762701</v>
      </c>
      <c r="Q773" s="15">
        <f t="shared" si="100"/>
        <v>4.7797856062059836</v>
      </c>
      <c r="R773" s="13">
        <f t="shared" si="101"/>
        <v>0.11613563516762697</v>
      </c>
      <c r="S773" s="15">
        <f t="shared" si="102"/>
        <v>35.267973231772061</v>
      </c>
      <c r="T773" s="15">
        <f t="shared" si="103"/>
        <v>36.641143377605793</v>
      </c>
    </row>
    <row r="774" spans="1:20" x14ac:dyDescent="0.3">
      <c r="A774" s="5">
        <v>42410.083333333336</v>
      </c>
      <c r="B774" s="14">
        <v>76661.250030179406</v>
      </c>
      <c r="C774" s="14">
        <v>66379.563604373907</v>
      </c>
      <c r="D774" s="6">
        <v>1825</v>
      </c>
      <c r="E774" s="1">
        <v>2016</v>
      </c>
      <c r="F774" s="1">
        <v>2</v>
      </c>
      <c r="G774" s="1" t="s">
        <v>30</v>
      </c>
      <c r="H774" s="12">
        <v>42401</v>
      </c>
      <c r="I774" s="1">
        <v>10</v>
      </c>
      <c r="J774" s="1">
        <v>4</v>
      </c>
      <c r="K774" s="1" t="s">
        <v>25</v>
      </c>
      <c r="L774" s="1" t="s">
        <v>22</v>
      </c>
      <c r="M774" s="15">
        <f t="shared" si="96"/>
        <v>42.006164400098307</v>
      </c>
      <c r="N774" s="15">
        <f t="shared" si="97"/>
        <v>36.372363618835017</v>
      </c>
      <c r="O774" s="14">
        <f t="shared" si="98"/>
        <v>10281.686425805499</v>
      </c>
      <c r="P774" s="13">
        <f t="shared" si="99"/>
        <v>0.13411842908585347</v>
      </c>
      <c r="Q774" s="15">
        <f t="shared" si="100"/>
        <v>5.6338007812632895</v>
      </c>
      <c r="R774" s="13">
        <f t="shared" si="101"/>
        <v>0.13411842908585353</v>
      </c>
      <c r="S774" s="15">
        <f t="shared" si="102"/>
        <v>35.267973231772061</v>
      </c>
      <c r="T774" s="15">
        <f t="shared" si="103"/>
        <v>36.669436704060786</v>
      </c>
    </row>
    <row r="775" spans="1:20" x14ac:dyDescent="0.3">
      <c r="A775" s="5">
        <v>42411.083333333336</v>
      </c>
      <c r="B775" s="14">
        <v>64034.940459509802</v>
      </c>
      <c r="C775" s="14">
        <v>55491.338529373497</v>
      </c>
      <c r="D775" s="6">
        <v>1525</v>
      </c>
      <c r="E775" s="1">
        <v>2016</v>
      </c>
      <c r="F775" s="1">
        <v>2</v>
      </c>
      <c r="G775" s="1" t="s">
        <v>30</v>
      </c>
      <c r="H775" s="12">
        <v>42401</v>
      </c>
      <c r="I775" s="1">
        <v>11</v>
      </c>
      <c r="J775" s="1">
        <v>5</v>
      </c>
      <c r="K775" s="1" t="s">
        <v>26</v>
      </c>
      <c r="L775" s="1" t="s">
        <v>22</v>
      </c>
      <c r="M775" s="15">
        <f t="shared" si="96"/>
        <v>41.990124891481841</v>
      </c>
      <c r="N775" s="15">
        <f t="shared" si="97"/>
        <v>36.387762970080985</v>
      </c>
      <c r="O775" s="14">
        <f t="shared" si="98"/>
        <v>8543.6019301363049</v>
      </c>
      <c r="P775" s="13">
        <f t="shared" si="99"/>
        <v>0.13342093970616783</v>
      </c>
      <c r="Q775" s="15">
        <f t="shared" si="100"/>
        <v>5.6023619214008562</v>
      </c>
      <c r="R775" s="13">
        <f t="shared" si="101"/>
        <v>0.13342093970616783</v>
      </c>
      <c r="S775" s="15">
        <f t="shared" si="102"/>
        <v>35.267973231772061</v>
      </c>
      <c r="T775" s="15">
        <f t="shared" si="103"/>
        <v>36.697633845954776</v>
      </c>
    </row>
    <row r="776" spans="1:20" x14ac:dyDescent="0.3">
      <c r="A776" s="5">
        <v>42412.083333333336</v>
      </c>
      <c r="B776" s="14">
        <v>148839.97486826501</v>
      </c>
      <c r="C776" s="14">
        <v>129583.49206739799</v>
      </c>
      <c r="D776" s="6">
        <v>3542</v>
      </c>
      <c r="E776" s="1">
        <v>2016</v>
      </c>
      <c r="F776" s="1">
        <v>2</v>
      </c>
      <c r="G776" s="1" t="s">
        <v>30</v>
      </c>
      <c r="H776" s="12">
        <v>42401</v>
      </c>
      <c r="I776" s="1">
        <v>12</v>
      </c>
      <c r="J776" s="1">
        <v>6</v>
      </c>
      <c r="K776" s="1" t="s">
        <v>27</v>
      </c>
      <c r="L776" s="1" t="s">
        <v>22</v>
      </c>
      <c r="M776" s="15">
        <f t="shared" si="96"/>
        <v>42.021449708714009</v>
      </c>
      <c r="N776" s="15">
        <f t="shared" si="97"/>
        <v>36.584836834386785</v>
      </c>
      <c r="O776" s="14">
        <f t="shared" si="98"/>
        <v>19256.482800867016</v>
      </c>
      <c r="P776" s="13">
        <f t="shared" si="99"/>
        <v>0.12937708984370969</v>
      </c>
      <c r="Q776" s="15">
        <f t="shared" si="100"/>
        <v>5.4366128743272242</v>
      </c>
      <c r="R776" s="13">
        <f t="shared" si="101"/>
        <v>0.12937708984370977</v>
      </c>
      <c r="S776" s="15">
        <f t="shared" si="102"/>
        <v>35.267973231772061</v>
      </c>
      <c r="T776" s="15">
        <f t="shared" si="103"/>
        <v>36.72796061787399</v>
      </c>
    </row>
    <row r="777" spans="1:20" x14ac:dyDescent="0.3">
      <c r="A777" s="5">
        <v>42413.083333333336</v>
      </c>
      <c r="B777" s="14">
        <v>172541.507929524</v>
      </c>
      <c r="C777" s="14">
        <v>150538.98368314101</v>
      </c>
      <c r="D777" s="6">
        <v>4105</v>
      </c>
      <c r="E777" s="1">
        <v>2016</v>
      </c>
      <c r="F777" s="1">
        <v>2</v>
      </c>
      <c r="G777" s="1" t="s">
        <v>30</v>
      </c>
      <c r="H777" s="12">
        <v>42401</v>
      </c>
      <c r="I777" s="1">
        <v>13</v>
      </c>
      <c r="J777" s="1">
        <v>7</v>
      </c>
      <c r="K777" s="1" t="s">
        <v>28</v>
      </c>
      <c r="L777" s="1" t="s">
        <v>22</v>
      </c>
      <c r="M777" s="15">
        <f t="shared" si="96"/>
        <v>42.032036036424849</v>
      </c>
      <c r="N777" s="15">
        <f t="shared" si="97"/>
        <v>36.672103211483801</v>
      </c>
      <c r="O777" s="14">
        <f t="shared" si="98"/>
        <v>22002.524246382993</v>
      </c>
      <c r="P777" s="13">
        <f t="shared" si="99"/>
        <v>0.12752018056646466</v>
      </c>
      <c r="Q777" s="15">
        <f t="shared" si="100"/>
        <v>5.3599328249410476</v>
      </c>
      <c r="R777" s="13">
        <f t="shared" si="101"/>
        <v>0.12752018056646469</v>
      </c>
      <c r="S777" s="15">
        <f t="shared" si="102"/>
        <v>35.267973231772061</v>
      </c>
      <c r="T777" s="15">
        <f t="shared" si="103"/>
        <v>36.757315449543775</v>
      </c>
    </row>
    <row r="778" spans="1:20" x14ac:dyDescent="0.3">
      <c r="A778" s="5">
        <v>42414.083333333336</v>
      </c>
      <c r="B778" s="14">
        <v>87991.663002118497</v>
      </c>
      <c r="C778" s="14">
        <v>76378.504638063896</v>
      </c>
      <c r="D778" s="6">
        <v>2094</v>
      </c>
      <c r="E778" s="1">
        <v>2016</v>
      </c>
      <c r="F778" s="1">
        <v>2</v>
      </c>
      <c r="G778" s="1" t="s">
        <v>30</v>
      </c>
      <c r="H778" s="12">
        <v>42401</v>
      </c>
      <c r="I778" s="1">
        <v>14</v>
      </c>
      <c r="J778" s="1">
        <v>1</v>
      </c>
      <c r="K778" s="1" t="s">
        <v>29</v>
      </c>
      <c r="L778" s="1" t="s">
        <v>22</v>
      </c>
      <c r="M778" s="15">
        <f t="shared" si="96"/>
        <v>42.020851481431947</v>
      </c>
      <c r="N778" s="15">
        <f t="shared" si="97"/>
        <v>36.474930581692405</v>
      </c>
      <c r="O778" s="14">
        <f t="shared" si="98"/>
        <v>11613.158364054601</v>
      </c>
      <c r="P778" s="13">
        <f t="shared" si="99"/>
        <v>0.13198021230460211</v>
      </c>
      <c r="Q778" s="15">
        <f t="shared" si="100"/>
        <v>5.5459208997395422</v>
      </c>
      <c r="R778" s="13">
        <f t="shared" si="101"/>
        <v>0.13198021230460211</v>
      </c>
      <c r="S778" s="15">
        <f t="shared" si="102"/>
        <v>35.267973231772061</v>
      </c>
      <c r="T778" s="15">
        <f t="shared" si="103"/>
        <v>36.787333143370894</v>
      </c>
    </row>
    <row r="779" spans="1:20" x14ac:dyDescent="0.3">
      <c r="A779" s="5">
        <v>42415.083333333336</v>
      </c>
      <c r="B779" s="14">
        <v>123445.38155042801</v>
      </c>
      <c r="C779" s="14">
        <v>108669.225381257</v>
      </c>
      <c r="D779" s="6">
        <v>2940</v>
      </c>
      <c r="E779" s="1">
        <v>2016</v>
      </c>
      <c r="F779" s="1">
        <v>2</v>
      </c>
      <c r="G779" s="1" t="s">
        <v>30</v>
      </c>
      <c r="H779" s="12">
        <v>42401</v>
      </c>
      <c r="I779" s="1">
        <v>15</v>
      </c>
      <c r="J779" s="1">
        <v>2</v>
      </c>
      <c r="K779" s="1" t="s">
        <v>21</v>
      </c>
      <c r="L779" s="1" t="s">
        <v>22</v>
      </c>
      <c r="M779" s="15">
        <f t="shared" si="96"/>
        <v>41.988225017152381</v>
      </c>
      <c r="N779" s="15">
        <f t="shared" si="97"/>
        <v>36.962321558250679</v>
      </c>
      <c r="O779" s="14">
        <f t="shared" si="98"/>
        <v>14776.156169171009</v>
      </c>
      <c r="P779" s="13">
        <f t="shared" si="99"/>
        <v>0.11969792618879695</v>
      </c>
      <c r="Q779" s="15">
        <f t="shared" si="100"/>
        <v>5.025903458901702</v>
      </c>
      <c r="R779" s="13">
        <f t="shared" si="101"/>
        <v>0.11969792618879692</v>
      </c>
      <c r="S779" s="15">
        <f t="shared" si="102"/>
        <v>35.267973231772061</v>
      </c>
      <c r="T779" s="15">
        <f t="shared" si="103"/>
        <v>36.816294660240267</v>
      </c>
    </row>
    <row r="780" spans="1:20" x14ac:dyDescent="0.3">
      <c r="A780" s="5">
        <v>42416.083333333336</v>
      </c>
      <c r="B780" s="14">
        <v>77344.691873669406</v>
      </c>
      <c r="C780" s="14">
        <v>68269.248838410698</v>
      </c>
      <c r="D780" s="6">
        <v>1841</v>
      </c>
      <c r="E780" s="1">
        <v>2016</v>
      </c>
      <c r="F780" s="1">
        <v>2</v>
      </c>
      <c r="G780" s="1" t="s">
        <v>30</v>
      </c>
      <c r="H780" s="12">
        <v>42401</v>
      </c>
      <c r="I780" s="1">
        <v>16</v>
      </c>
      <c r="J780" s="1">
        <v>3</v>
      </c>
      <c r="K780" s="1" t="s">
        <v>23</v>
      </c>
      <c r="L780" s="1" t="s">
        <v>22</v>
      </c>
      <c r="M780" s="15">
        <f t="shared" si="96"/>
        <v>42.012325841210973</v>
      </c>
      <c r="N780" s="15">
        <f t="shared" si="97"/>
        <v>37.08269898881624</v>
      </c>
      <c r="O780" s="14">
        <f t="shared" si="98"/>
        <v>9075.4430352587078</v>
      </c>
      <c r="P780" s="13">
        <f t="shared" si="99"/>
        <v>0.11733763255637557</v>
      </c>
      <c r="Q780" s="15">
        <f t="shared" si="100"/>
        <v>4.9296268523947333</v>
      </c>
      <c r="R780" s="13">
        <f t="shared" si="101"/>
        <v>0.11733763255637553</v>
      </c>
      <c r="S780" s="15">
        <f t="shared" si="102"/>
        <v>35.267973231772061</v>
      </c>
      <c r="T780" s="15">
        <f t="shared" si="103"/>
        <v>36.846139197798998</v>
      </c>
    </row>
    <row r="781" spans="1:20" x14ac:dyDescent="0.3">
      <c r="A781" s="5">
        <v>42417.083333333336</v>
      </c>
      <c r="B781" s="14">
        <v>158963.02488179499</v>
      </c>
      <c r="C781" s="14">
        <v>167521.52586053699</v>
      </c>
      <c r="D781" s="6">
        <v>4529</v>
      </c>
      <c r="E781" s="1">
        <v>2016</v>
      </c>
      <c r="F781" s="1">
        <v>2</v>
      </c>
      <c r="G781" s="1" t="s">
        <v>30</v>
      </c>
      <c r="H781" s="12">
        <v>42401</v>
      </c>
      <c r="I781" s="1">
        <v>17</v>
      </c>
      <c r="J781" s="1">
        <v>4</v>
      </c>
      <c r="K781" s="1" t="s">
        <v>25</v>
      </c>
      <c r="L781" s="1" t="s">
        <v>22</v>
      </c>
      <c r="M781" s="15">
        <f t="shared" si="96"/>
        <v>35.098923577344884</v>
      </c>
      <c r="N781" s="15">
        <f t="shared" si="97"/>
        <v>36.988634546376019</v>
      </c>
      <c r="O781" s="14">
        <f t="shared" si="98"/>
        <v>-8558.5009787419986</v>
      </c>
      <c r="P781" s="13">
        <f t="shared" si="99"/>
        <v>-5.3839570460527571E-2</v>
      </c>
      <c r="Q781" s="15">
        <f t="shared" si="100"/>
        <v>-1.8897109690311353</v>
      </c>
      <c r="R781" s="13">
        <f t="shared" si="101"/>
        <v>-5.3839570460527654E-2</v>
      </c>
      <c r="S781" s="15">
        <f t="shared" si="102"/>
        <v>35.267973231772061</v>
      </c>
      <c r="T781" s="15">
        <f t="shared" si="103"/>
        <v>36.645051778527652</v>
      </c>
    </row>
    <row r="782" spans="1:20" x14ac:dyDescent="0.3">
      <c r="A782" s="5">
        <v>42418.083333333336</v>
      </c>
      <c r="B782" s="14">
        <v>69598.071152939694</v>
      </c>
      <c r="C782" s="14">
        <v>61492.968308179203</v>
      </c>
      <c r="D782" s="6">
        <v>1658</v>
      </c>
      <c r="E782" s="1">
        <v>2016</v>
      </c>
      <c r="F782" s="1">
        <v>2</v>
      </c>
      <c r="G782" s="1" t="s">
        <v>30</v>
      </c>
      <c r="H782" s="12">
        <v>42401</v>
      </c>
      <c r="I782" s="1">
        <v>18</v>
      </c>
      <c r="J782" s="1">
        <v>5</v>
      </c>
      <c r="K782" s="1" t="s">
        <v>26</v>
      </c>
      <c r="L782" s="1" t="s">
        <v>22</v>
      </c>
      <c r="M782" s="15">
        <f t="shared" si="96"/>
        <v>41.977123735186787</v>
      </c>
      <c r="N782" s="15">
        <f t="shared" si="97"/>
        <v>37.088641922906639</v>
      </c>
      <c r="O782" s="14">
        <f t="shared" si="98"/>
        <v>8105.1028447604913</v>
      </c>
      <c r="P782" s="13">
        <f t="shared" si="99"/>
        <v>0.11645585445823302</v>
      </c>
      <c r="Q782" s="15">
        <f t="shared" si="100"/>
        <v>4.8884818122801477</v>
      </c>
      <c r="R782" s="13">
        <f t="shared" si="101"/>
        <v>0.11645585445823294</v>
      </c>
      <c r="S782" s="15">
        <f t="shared" si="102"/>
        <v>35.267973231772061</v>
      </c>
      <c r="T782" s="15">
        <f t="shared" si="103"/>
        <v>36.673776223724055</v>
      </c>
    </row>
    <row r="783" spans="1:20" x14ac:dyDescent="0.3">
      <c r="A783" s="5">
        <v>42419.083333333336</v>
      </c>
      <c r="B783" s="14">
        <v>161275.60219880499</v>
      </c>
      <c r="C783" s="14">
        <v>143446.358327586</v>
      </c>
      <c r="D783" s="6">
        <v>3841</v>
      </c>
      <c r="E783" s="1">
        <v>2016</v>
      </c>
      <c r="F783" s="1">
        <v>2</v>
      </c>
      <c r="G783" s="1" t="s">
        <v>30</v>
      </c>
      <c r="H783" s="12">
        <v>42401</v>
      </c>
      <c r="I783" s="1">
        <v>19</v>
      </c>
      <c r="J783" s="1">
        <v>6</v>
      </c>
      <c r="K783" s="1" t="s">
        <v>27</v>
      </c>
      <c r="L783" s="1" t="s">
        <v>22</v>
      </c>
      <c r="M783" s="15">
        <f t="shared" si="96"/>
        <v>41.987920385005204</v>
      </c>
      <c r="N783" s="15">
        <f t="shared" si="97"/>
        <v>37.346096935065347</v>
      </c>
      <c r="O783" s="14">
        <f t="shared" si="98"/>
        <v>17829.243871218991</v>
      </c>
      <c r="P783" s="13">
        <f t="shared" si="99"/>
        <v>0.11055140162639616</v>
      </c>
      <c r="Q783" s="15">
        <f t="shared" si="100"/>
        <v>4.6418234499398565</v>
      </c>
      <c r="R783" s="13">
        <f t="shared" si="101"/>
        <v>0.11055140162639615</v>
      </c>
      <c r="S783" s="15">
        <f t="shared" si="102"/>
        <v>35.267973231772061</v>
      </c>
      <c r="T783" s="15">
        <f t="shared" si="103"/>
        <v>36.959537095371068</v>
      </c>
    </row>
    <row r="784" spans="1:20" x14ac:dyDescent="0.3">
      <c r="A784" s="5">
        <v>42420.083333333336</v>
      </c>
      <c r="B784" s="14">
        <v>325215.07679238199</v>
      </c>
      <c r="C784" s="14">
        <v>345446.00184871</v>
      </c>
      <c r="D784" s="6">
        <v>9260</v>
      </c>
      <c r="E784" s="1">
        <v>2016</v>
      </c>
      <c r="F784" s="1">
        <v>2</v>
      </c>
      <c r="G784" s="1" t="s">
        <v>30</v>
      </c>
      <c r="H784" s="12">
        <v>42401</v>
      </c>
      <c r="I784" s="1">
        <v>20</v>
      </c>
      <c r="J784" s="1">
        <v>7</v>
      </c>
      <c r="K784" s="1" t="s">
        <v>28</v>
      </c>
      <c r="L784" s="1" t="s">
        <v>22</v>
      </c>
      <c r="M784" s="15">
        <f t="shared" si="96"/>
        <v>35.120418660084447</v>
      </c>
      <c r="N784" s="15">
        <f t="shared" si="97"/>
        <v>37.305183784957883</v>
      </c>
      <c r="O784" s="14">
        <f t="shared" si="98"/>
        <v>-20230.925056328007</v>
      </c>
      <c r="P784" s="13">
        <f t="shared" si="99"/>
        <v>-6.2207832600711416E-2</v>
      </c>
      <c r="Q784" s="15">
        <f t="shared" si="100"/>
        <v>-2.1847651248734365</v>
      </c>
      <c r="R784" s="13">
        <f t="shared" si="101"/>
        <v>-6.2207832600711464E-2</v>
      </c>
      <c r="S784" s="15">
        <f t="shared" si="102"/>
        <v>35.267973231772061</v>
      </c>
      <c r="T784" s="15">
        <f t="shared" si="103"/>
        <v>36.757443896411552</v>
      </c>
    </row>
    <row r="785" spans="1:20" x14ac:dyDescent="0.3">
      <c r="A785" s="5">
        <v>42421.083333333336</v>
      </c>
      <c r="B785" s="14">
        <v>96957.295844458102</v>
      </c>
      <c r="C785" s="14">
        <v>86455.494378043601</v>
      </c>
      <c r="D785" s="6">
        <v>2308</v>
      </c>
      <c r="E785" s="1">
        <v>2016</v>
      </c>
      <c r="F785" s="1">
        <v>2</v>
      </c>
      <c r="G785" s="1" t="s">
        <v>30</v>
      </c>
      <c r="H785" s="12">
        <v>42401</v>
      </c>
      <c r="I785" s="1">
        <v>21</v>
      </c>
      <c r="J785" s="1">
        <v>1</v>
      </c>
      <c r="K785" s="1" t="s">
        <v>29</v>
      </c>
      <c r="L785" s="1" t="s">
        <v>22</v>
      </c>
      <c r="M785" s="15">
        <f t="shared" si="96"/>
        <v>42.009226969002647</v>
      </c>
      <c r="N785" s="15">
        <f t="shared" si="97"/>
        <v>37.45905302341577</v>
      </c>
      <c r="O785" s="14">
        <f t="shared" si="98"/>
        <v>10501.801466414501</v>
      </c>
      <c r="P785" s="13">
        <f t="shared" si="99"/>
        <v>0.10831367949103919</v>
      </c>
      <c r="Q785" s="15">
        <f t="shared" si="100"/>
        <v>4.5501739455868773</v>
      </c>
      <c r="R785" s="13">
        <f t="shared" si="101"/>
        <v>0.1083136794910393</v>
      </c>
      <c r="S785" s="15">
        <f t="shared" si="102"/>
        <v>35.267973231772061</v>
      </c>
      <c r="T785" s="15">
        <f t="shared" si="103"/>
        <v>37.017819619901552</v>
      </c>
    </row>
    <row r="786" spans="1:20" x14ac:dyDescent="0.3">
      <c r="A786" s="5">
        <v>42422.083333333336</v>
      </c>
      <c r="B786" s="14">
        <v>85224.477091228793</v>
      </c>
      <c r="C786" s="14">
        <v>75960.718021940396</v>
      </c>
      <c r="D786" s="6">
        <v>2028</v>
      </c>
      <c r="E786" s="1">
        <v>2016</v>
      </c>
      <c r="F786" s="1">
        <v>2</v>
      </c>
      <c r="G786" s="1" t="s">
        <v>30</v>
      </c>
      <c r="H786" s="12">
        <v>42401</v>
      </c>
      <c r="I786" s="1">
        <v>22</v>
      </c>
      <c r="J786" s="1">
        <v>2</v>
      </c>
      <c r="K786" s="1" t="s">
        <v>21</v>
      </c>
      <c r="L786" s="1" t="s">
        <v>22</v>
      </c>
      <c r="M786" s="15">
        <f t="shared" si="96"/>
        <v>42.02390389113846</v>
      </c>
      <c r="N786" s="15">
        <f t="shared" si="97"/>
        <v>37.455975355986389</v>
      </c>
      <c r="O786" s="14">
        <f t="shared" si="98"/>
        <v>9263.7590692883969</v>
      </c>
      <c r="P786" s="13">
        <f t="shared" si="99"/>
        <v>0.10869833861663919</v>
      </c>
      <c r="Q786" s="15">
        <f t="shared" si="100"/>
        <v>4.5679285351520704</v>
      </c>
      <c r="R786" s="13">
        <f t="shared" si="101"/>
        <v>0.10869833861663922</v>
      </c>
      <c r="S786" s="15">
        <f t="shared" si="102"/>
        <v>35.267973231772061</v>
      </c>
      <c r="T786" s="15">
        <f t="shared" si="103"/>
        <v>37.277566018979606</v>
      </c>
    </row>
    <row r="787" spans="1:20" x14ac:dyDescent="0.3">
      <c r="A787" s="5">
        <v>42423.083333333336</v>
      </c>
      <c r="B787" s="14">
        <v>54612.878841539903</v>
      </c>
      <c r="C787" s="14">
        <v>49071.802537897202</v>
      </c>
      <c r="D787" s="6">
        <v>1301</v>
      </c>
      <c r="E787" s="1">
        <v>2016</v>
      </c>
      <c r="F787" s="1">
        <v>2</v>
      </c>
      <c r="G787" s="1" t="s">
        <v>30</v>
      </c>
      <c r="H787" s="12">
        <v>42401</v>
      </c>
      <c r="I787" s="1">
        <v>23</v>
      </c>
      <c r="J787" s="1">
        <v>3</v>
      </c>
      <c r="K787" s="1" t="s">
        <v>23</v>
      </c>
      <c r="L787" s="1" t="s">
        <v>22</v>
      </c>
      <c r="M787" s="15">
        <f t="shared" si="96"/>
        <v>41.977616327086778</v>
      </c>
      <c r="N787" s="15">
        <f t="shared" si="97"/>
        <v>37.718526162872564</v>
      </c>
      <c r="O787" s="14">
        <f t="shared" si="98"/>
        <v>5541.0763036427015</v>
      </c>
      <c r="P787" s="13">
        <f t="shared" si="99"/>
        <v>0.10146098175341056</v>
      </c>
      <c r="Q787" s="15">
        <f t="shared" si="100"/>
        <v>4.2590901642142143</v>
      </c>
      <c r="R787" s="13">
        <f t="shared" si="101"/>
        <v>0.10146098175341041</v>
      </c>
      <c r="S787" s="15">
        <f t="shared" si="102"/>
        <v>35.267973231772061</v>
      </c>
      <c r="T787" s="15">
        <f t="shared" si="103"/>
        <v>37.534255570195938</v>
      </c>
    </row>
    <row r="788" spans="1:20" x14ac:dyDescent="0.3">
      <c r="A788" s="5">
        <v>42424.083333333336</v>
      </c>
      <c r="B788" s="14">
        <v>81530.612382324602</v>
      </c>
      <c r="C788" s="14">
        <v>81738.0564373136</v>
      </c>
      <c r="D788" s="6">
        <v>2213</v>
      </c>
      <c r="E788" s="1">
        <v>2016</v>
      </c>
      <c r="F788" s="1">
        <v>2</v>
      </c>
      <c r="G788" s="1" t="s">
        <v>30</v>
      </c>
      <c r="H788" s="12">
        <v>42401</v>
      </c>
      <c r="I788" s="1">
        <v>24</v>
      </c>
      <c r="J788" s="1">
        <v>4</v>
      </c>
      <c r="K788" s="1" t="s">
        <v>25</v>
      </c>
      <c r="L788" s="1" t="s">
        <v>22</v>
      </c>
      <c r="M788" s="15">
        <f t="shared" si="96"/>
        <v>36.841668496305736</v>
      </c>
      <c r="N788" s="15">
        <f t="shared" si="97"/>
        <v>36.935407337240669</v>
      </c>
      <c r="O788" s="14">
        <f t="shared" si="98"/>
        <v>-207.44405498899869</v>
      </c>
      <c r="P788" s="13">
        <f t="shared" si="99"/>
        <v>-2.5443701319968429E-3</v>
      </c>
      <c r="Q788" s="15">
        <f t="shared" si="100"/>
        <v>-9.3738840934932455E-2</v>
      </c>
      <c r="R788" s="13">
        <f t="shared" si="101"/>
        <v>-2.5443701319969271E-3</v>
      </c>
      <c r="S788" s="15">
        <f t="shared" si="102"/>
        <v>35.267973231772061</v>
      </c>
      <c r="T788" s="15">
        <f t="shared" si="103"/>
        <v>37.619850540027301</v>
      </c>
    </row>
    <row r="789" spans="1:20" x14ac:dyDescent="0.3">
      <c r="A789" s="5">
        <v>42425.083333333336</v>
      </c>
      <c r="B789" s="14">
        <v>160947.532640188</v>
      </c>
      <c r="C789" s="14">
        <v>162597.496845268</v>
      </c>
      <c r="D789" s="6">
        <v>4404</v>
      </c>
      <c r="E789" s="1">
        <v>2016</v>
      </c>
      <c r="F789" s="1">
        <v>2</v>
      </c>
      <c r="G789" s="1" t="s">
        <v>30</v>
      </c>
      <c r="H789" s="12">
        <v>42401</v>
      </c>
      <c r="I789" s="1">
        <v>25</v>
      </c>
      <c r="J789" s="1">
        <v>5</v>
      </c>
      <c r="K789" s="1" t="s">
        <v>26</v>
      </c>
      <c r="L789" s="1" t="s">
        <v>22</v>
      </c>
      <c r="M789" s="15">
        <f t="shared" si="96"/>
        <v>36.545761271613991</v>
      </c>
      <c r="N789" s="15">
        <f t="shared" si="97"/>
        <v>36.920412544338781</v>
      </c>
      <c r="O789" s="14">
        <f t="shared" si="98"/>
        <v>-1649.964205080003</v>
      </c>
      <c r="P789" s="13">
        <f t="shared" si="99"/>
        <v>-1.0251565699790126E-2</v>
      </c>
      <c r="Q789" s="15">
        <f t="shared" si="100"/>
        <v>-0.37465127272479037</v>
      </c>
      <c r="R789" s="13">
        <f t="shared" si="101"/>
        <v>-1.0251565699789963E-2</v>
      </c>
      <c r="S789" s="15">
        <f t="shared" si="102"/>
        <v>35.267973231772061</v>
      </c>
      <c r="T789" s="15">
        <f t="shared" si="103"/>
        <v>37.696532244423956</v>
      </c>
    </row>
    <row r="790" spans="1:20" x14ac:dyDescent="0.3">
      <c r="A790" s="5">
        <v>42426.083333333336</v>
      </c>
      <c r="B790" s="14">
        <v>188736.24741743499</v>
      </c>
      <c r="C790" s="14">
        <v>183103.23368799101</v>
      </c>
      <c r="D790" s="6">
        <v>4935</v>
      </c>
      <c r="E790" s="1">
        <v>2016</v>
      </c>
      <c r="F790" s="1">
        <v>2</v>
      </c>
      <c r="G790" s="1" t="s">
        <v>30</v>
      </c>
      <c r="H790" s="12">
        <v>42401</v>
      </c>
      <c r="I790" s="1">
        <v>26</v>
      </c>
      <c r="J790" s="1">
        <v>6</v>
      </c>
      <c r="K790" s="1" t="s">
        <v>27</v>
      </c>
      <c r="L790" s="1" t="s">
        <v>22</v>
      </c>
      <c r="M790" s="15">
        <f t="shared" si="96"/>
        <v>38.244427034941232</v>
      </c>
      <c r="N790" s="15">
        <f t="shared" si="97"/>
        <v>37.102985549744886</v>
      </c>
      <c r="O790" s="14">
        <f t="shared" si="98"/>
        <v>5633.0137294439774</v>
      </c>
      <c r="P790" s="13">
        <f t="shared" si="99"/>
        <v>2.9845955965126462E-2</v>
      </c>
      <c r="Q790" s="15">
        <f t="shared" si="100"/>
        <v>1.1414414851963457</v>
      </c>
      <c r="R790" s="13">
        <f t="shared" si="101"/>
        <v>2.9845955965126403E-2</v>
      </c>
      <c r="S790" s="15">
        <f t="shared" si="102"/>
        <v>35.267973231772061</v>
      </c>
      <c r="T790" s="15">
        <f t="shared" si="103"/>
        <v>37.830339570549057</v>
      </c>
    </row>
    <row r="791" spans="1:20" x14ac:dyDescent="0.3">
      <c r="A791" s="5">
        <v>42427.083333333336</v>
      </c>
      <c r="B791" s="14">
        <v>215951.50786707399</v>
      </c>
      <c r="C791" s="14">
        <v>210032.78807855901</v>
      </c>
      <c r="D791" s="6">
        <v>5609</v>
      </c>
      <c r="E791" s="1">
        <v>2016</v>
      </c>
      <c r="F791" s="1">
        <v>2</v>
      </c>
      <c r="G791" s="1" t="s">
        <v>30</v>
      </c>
      <c r="H791" s="12">
        <v>42401</v>
      </c>
      <c r="I791" s="1">
        <v>27</v>
      </c>
      <c r="J791" s="1">
        <v>7</v>
      </c>
      <c r="K791" s="1" t="s">
        <v>28</v>
      </c>
      <c r="L791" s="1" t="s">
        <v>22</v>
      </c>
      <c r="M791" s="15">
        <f t="shared" si="96"/>
        <v>38.500892827076839</v>
      </c>
      <c r="N791" s="15">
        <f t="shared" si="97"/>
        <v>37.445674465779817</v>
      </c>
      <c r="O791" s="14">
        <f t="shared" si="98"/>
        <v>5918.7197885149799</v>
      </c>
      <c r="P791" s="13">
        <f t="shared" si="99"/>
        <v>2.7407633532978929E-2</v>
      </c>
      <c r="Q791" s="15">
        <f t="shared" si="100"/>
        <v>1.0552183612970225</v>
      </c>
      <c r="R791" s="13">
        <f t="shared" si="101"/>
        <v>2.7407633532979019E-2</v>
      </c>
      <c r="S791" s="15">
        <f t="shared" si="102"/>
        <v>35.267973231772061</v>
      </c>
      <c r="T791" s="15">
        <f t="shared" si="103"/>
        <v>37.973461686544873</v>
      </c>
    </row>
    <row r="792" spans="1:20" x14ac:dyDescent="0.3">
      <c r="A792" s="5">
        <v>42428.083333333336</v>
      </c>
      <c r="B792" s="14">
        <v>134995.854495943</v>
      </c>
      <c r="C792" s="14">
        <v>129938.705770359</v>
      </c>
      <c r="D792" s="6">
        <v>3452</v>
      </c>
      <c r="E792" s="1">
        <v>2016</v>
      </c>
      <c r="F792" s="1">
        <v>2</v>
      </c>
      <c r="G792" s="1" t="s">
        <v>30</v>
      </c>
      <c r="H792" s="12">
        <v>42401</v>
      </c>
      <c r="I792" s="1">
        <v>28</v>
      </c>
      <c r="J792" s="1">
        <v>1</v>
      </c>
      <c r="K792" s="1" t="s">
        <v>29</v>
      </c>
      <c r="L792" s="1" t="s">
        <v>22</v>
      </c>
      <c r="M792" s="15">
        <f t="shared" si="96"/>
        <v>39.106562716090096</v>
      </c>
      <c r="N792" s="15">
        <f t="shared" si="97"/>
        <v>37.641571775886149</v>
      </c>
      <c r="O792" s="14">
        <f t="shared" si="98"/>
        <v>5057.1487255840038</v>
      </c>
      <c r="P792" s="13">
        <f t="shared" si="99"/>
        <v>3.7461511277266553E-2</v>
      </c>
      <c r="Q792" s="15">
        <f t="shared" si="100"/>
        <v>1.4649909402039469</v>
      </c>
      <c r="R792" s="13">
        <f t="shared" si="101"/>
        <v>3.7461511277266706E-2</v>
      </c>
      <c r="S792" s="15">
        <f t="shared" si="102"/>
        <v>35.267973231772061</v>
      </c>
      <c r="T792" s="15">
        <f t="shared" si="103"/>
        <v>38.162211734328018</v>
      </c>
    </row>
    <row r="793" spans="1:20" x14ac:dyDescent="0.3">
      <c r="A793" s="5">
        <v>42429.083333333336</v>
      </c>
      <c r="B793" s="14">
        <v>163079.378043968</v>
      </c>
      <c r="C793" s="14">
        <v>160332.58940603101</v>
      </c>
      <c r="D793" s="6">
        <v>4270</v>
      </c>
      <c r="E793" s="1">
        <v>2016</v>
      </c>
      <c r="F793" s="1">
        <v>2</v>
      </c>
      <c r="G793" s="1" t="s">
        <v>30</v>
      </c>
      <c r="H793" s="12">
        <v>42401</v>
      </c>
      <c r="I793" s="1">
        <v>29</v>
      </c>
      <c r="J793" s="1">
        <v>2</v>
      </c>
      <c r="K793" s="1" t="s">
        <v>21</v>
      </c>
      <c r="L793" s="1" t="s">
        <v>22</v>
      </c>
      <c r="M793" s="15">
        <f t="shared" si="96"/>
        <v>38.191891813575644</v>
      </c>
      <c r="N793" s="15">
        <f t="shared" si="97"/>
        <v>37.548615785955739</v>
      </c>
      <c r="O793" s="14">
        <f t="shared" si="98"/>
        <v>2746.7886379369884</v>
      </c>
      <c r="P793" s="13">
        <f t="shared" si="99"/>
        <v>1.6843261673443615E-2</v>
      </c>
      <c r="Q793" s="15">
        <f t="shared" si="100"/>
        <v>0.64327602761990477</v>
      </c>
      <c r="R793" s="13">
        <f t="shared" si="101"/>
        <v>1.6843261673443646E-2</v>
      </c>
      <c r="S793" s="15">
        <f t="shared" si="102"/>
        <v>35.267973231772061</v>
      </c>
      <c r="T793" s="15">
        <f t="shared" si="103"/>
        <v>38.32176745590138</v>
      </c>
    </row>
    <row r="794" spans="1:20" x14ac:dyDescent="0.3">
      <c r="A794" s="5">
        <v>42430.083333333336</v>
      </c>
      <c r="B794" s="14">
        <v>180828.67409182599</v>
      </c>
      <c r="C794" s="14">
        <v>182962.33699647599</v>
      </c>
      <c r="D794" s="6">
        <v>4719</v>
      </c>
      <c r="E794" s="1">
        <v>2016</v>
      </c>
      <c r="F794" s="1">
        <v>3</v>
      </c>
      <c r="G794" s="1" t="s">
        <v>31</v>
      </c>
      <c r="H794" s="12">
        <v>42430</v>
      </c>
      <c r="I794" s="1">
        <v>1</v>
      </c>
      <c r="J794" s="1">
        <v>3</v>
      </c>
      <c r="K794" s="1" t="s">
        <v>23</v>
      </c>
      <c r="L794" s="1" t="s">
        <v>22</v>
      </c>
      <c r="M794" s="15">
        <f t="shared" si="96"/>
        <v>38.31927825637338</v>
      </c>
      <c r="N794" s="15">
        <f t="shared" si="97"/>
        <v>38.77142127494723</v>
      </c>
      <c r="O794" s="14">
        <f t="shared" si="98"/>
        <v>-2133.662904650002</v>
      </c>
      <c r="P794" s="13">
        <f t="shared" si="99"/>
        <v>-1.1799361552396906E-2</v>
      </c>
      <c r="Q794" s="15">
        <f t="shared" si="100"/>
        <v>-0.45214301857384953</v>
      </c>
      <c r="R794" s="13">
        <f t="shared" si="101"/>
        <v>-1.1799361552396873E-2</v>
      </c>
      <c r="S794" s="15">
        <f t="shared" si="102"/>
        <v>35.267973231772061</v>
      </c>
      <c r="T794" s="15">
        <f t="shared" si="103"/>
        <v>38.484879709713212</v>
      </c>
    </row>
    <row r="795" spans="1:20" x14ac:dyDescent="0.3">
      <c r="A795" s="5">
        <v>42431.083333333336</v>
      </c>
      <c r="B795" s="14">
        <v>171196.17519446599</v>
      </c>
      <c r="C795" s="14">
        <v>174428.680891675</v>
      </c>
      <c r="D795" s="6">
        <v>4451</v>
      </c>
      <c r="E795" s="1">
        <v>2016</v>
      </c>
      <c r="F795" s="1">
        <v>3</v>
      </c>
      <c r="G795" s="1" t="s">
        <v>31</v>
      </c>
      <c r="H795" s="12">
        <v>42430</v>
      </c>
      <c r="I795" s="1">
        <v>2</v>
      </c>
      <c r="J795" s="1">
        <v>4</v>
      </c>
      <c r="K795" s="1" t="s">
        <v>25</v>
      </c>
      <c r="L795" s="1" t="s">
        <v>22</v>
      </c>
      <c r="M795" s="15">
        <f t="shared" si="96"/>
        <v>38.462407367887216</v>
      </c>
      <c r="N795" s="15">
        <f t="shared" si="97"/>
        <v>39.188649941962481</v>
      </c>
      <c r="O795" s="14">
        <f t="shared" si="98"/>
        <v>-3232.5056972090097</v>
      </c>
      <c r="P795" s="13">
        <f t="shared" si="99"/>
        <v>-1.8881880354728289E-2</v>
      </c>
      <c r="Q795" s="15">
        <f t="shared" si="100"/>
        <v>-0.72624257407526471</v>
      </c>
      <c r="R795" s="13">
        <f t="shared" si="101"/>
        <v>-1.888188035472825E-2</v>
      </c>
      <c r="S795" s="15">
        <f t="shared" si="102"/>
        <v>35.267973231772061</v>
      </c>
      <c r="T795" s="15">
        <f t="shared" si="103"/>
        <v>38.65397418136164</v>
      </c>
    </row>
    <row r="796" spans="1:20" x14ac:dyDescent="0.3">
      <c r="A796" s="5">
        <v>42432.083333333336</v>
      </c>
      <c r="B796" s="14">
        <v>129719.050526334</v>
      </c>
      <c r="C796" s="14">
        <v>131961.932508289</v>
      </c>
      <c r="D796" s="6">
        <v>3364</v>
      </c>
      <c r="E796" s="1">
        <v>2016</v>
      </c>
      <c r="F796" s="1">
        <v>3</v>
      </c>
      <c r="G796" s="1" t="s">
        <v>31</v>
      </c>
      <c r="H796" s="12">
        <v>42430</v>
      </c>
      <c r="I796" s="1">
        <v>3</v>
      </c>
      <c r="J796" s="1">
        <v>5</v>
      </c>
      <c r="K796" s="1" t="s">
        <v>26</v>
      </c>
      <c r="L796" s="1" t="s">
        <v>22</v>
      </c>
      <c r="M796" s="15">
        <f t="shared" si="96"/>
        <v>38.56095437762604</v>
      </c>
      <c r="N796" s="15">
        <f t="shared" si="97"/>
        <v>39.227685050026459</v>
      </c>
      <c r="O796" s="14">
        <f t="shared" si="98"/>
        <v>-2242.8819819549972</v>
      </c>
      <c r="P796" s="13">
        <f t="shared" si="99"/>
        <v>-1.7290305262446199E-2</v>
      </c>
      <c r="Q796" s="15">
        <f t="shared" si="100"/>
        <v>-0.66673067240041917</v>
      </c>
      <c r="R796" s="13">
        <f t="shared" si="101"/>
        <v>-1.72903052624463E-2</v>
      </c>
      <c r="S796" s="15">
        <f t="shared" si="102"/>
        <v>35.267973231772061</v>
      </c>
      <c r="T796" s="15">
        <f t="shared" si="103"/>
        <v>38.797083826512171</v>
      </c>
    </row>
    <row r="797" spans="1:20" x14ac:dyDescent="0.3">
      <c r="A797" s="5">
        <v>42433.083333333336</v>
      </c>
      <c r="B797" s="14">
        <v>142127.64209061299</v>
      </c>
      <c r="C797" s="14">
        <v>144039.41368269999</v>
      </c>
      <c r="D797" s="6">
        <v>3665</v>
      </c>
      <c r="E797" s="1">
        <v>2016</v>
      </c>
      <c r="F797" s="1">
        <v>3</v>
      </c>
      <c r="G797" s="1" t="s">
        <v>31</v>
      </c>
      <c r="H797" s="12">
        <v>42430</v>
      </c>
      <c r="I797" s="1">
        <v>4</v>
      </c>
      <c r="J797" s="1">
        <v>6</v>
      </c>
      <c r="K797" s="1" t="s">
        <v>27</v>
      </c>
      <c r="L797" s="1" t="s">
        <v>22</v>
      </c>
      <c r="M797" s="15">
        <f t="shared" si="96"/>
        <v>38.779711348052658</v>
      </c>
      <c r="N797" s="15">
        <f t="shared" si="97"/>
        <v>39.30134070469304</v>
      </c>
      <c r="O797" s="14">
        <f t="shared" si="98"/>
        <v>-1911.771592086996</v>
      </c>
      <c r="P797" s="13">
        <f t="shared" si="99"/>
        <v>-1.3451089203802821E-2</v>
      </c>
      <c r="Q797" s="15">
        <f t="shared" si="100"/>
        <v>-0.52162935664038201</v>
      </c>
      <c r="R797" s="13">
        <f t="shared" si="101"/>
        <v>-1.3451089203802851E-2</v>
      </c>
      <c r="S797" s="15">
        <f t="shared" si="102"/>
        <v>35.267973231772061</v>
      </c>
      <c r="T797" s="15">
        <f t="shared" si="103"/>
        <v>38.947973493290391</v>
      </c>
    </row>
    <row r="798" spans="1:20" x14ac:dyDescent="0.3">
      <c r="A798" s="5">
        <v>42434.083333333336</v>
      </c>
      <c r="B798" s="14">
        <v>152124.407894328</v>
      </c>
      <c r="C798" s="14">
        <v>153377.512038677</v>
      </c>
      <c r="D798" s="6">
        <v>3889</v>
      </c>
      <c r="E798" s="1">
        <v>2016</v>
      </c>
      <c r="F798" s="1">
        <v>3</v>
      </c>
      <c r="G798" s="1" t="s">
        <v>31</v>
      </c>
      <c r="H798" s="12">
        <v>42430</v>
      </c>
      <c r="I798" s="1">
        <v>5</v>
      </c>
      <c r="J798" s="1">
        <v>7</v>
      </c>
      <c r="K798" s="1" t="s">
        <v>28</v>
      </c>
      <c r="L798" s="1" t="s">
        <v>22</v>
      </c>
      <c r="M798" s="15">
        <f t="shared" si="96"/>
        <v>39.11658727033376</v>
      </c>
      <c r="N798" s="15">
        <f t="shared" si="97"/>
        <v>39.438804844092829</v>
      </c>
      <c r="O798" s="14">
        <f t="shared" si="98"/>
        <v>-1253.1041443489958</v>
      </c>
      <c r="P798" s="13">
        <f t="shared" si="99"/>
        <v>-8.2373641527627474E-3</v>
      </c>
      <c r="Q798" s="15">
        <f t="shared" si="100"/>
        <v>-0.3222175737590689</v>
      </c>
      <c r="R798" s="13">
        <f t="shared" si="101"/>
        <v>-8.2373641527629E-3</v>
      </c>
      <c r="S798" s="15">
        <f t="shared" si="102"/>
        <v>35.267973231772061</v>
      </c>
      <c r="T798" s="15">
        <f t="shared" si="103"/>
        <v>39.107111609568065</v>
      </c>
    </row>
    <row r="799" spans="1:20" x14ac:dyDescent="0.3">
      <c r="A799" s="5">
        <v>42435.083333333336</v>
      </c>
      <c r="B799" s="14">
        <v>74132.787023074299</v>
      </c>
      <c r="C799" s="14">
        <v>74332.2794842242</v>
      </c>
      <c r="D799" s="6">
        <v>1882</v>
      </c>
      <c r="E799" s="1">
        <v>2016</v>
      </c>
      <c r="F799" s="1">
        <v>3</v>
      </c>
      <c r="G799" s="1" t="s">
        <v>31</v>
      </c>
      <c r="H799" s="12">
        <v>42430</v>
      </c>
      <c r="I799" s="1">
        <v>6</v>
      </c>
      <c r="J799" s="1">
        <v>1</v>
      </c>
      <c r="K799" s="1" t="s">
        <v>29</v>
      </c>
      <c r="L799" s="1" t="s">
        <v>22</v>
      </c>
      <c r="M799" s="15">
        <f t="shared" si="96"/>
        <v>39.390428811410359</v>
      </c>
      <c r="N799" s="15">
        <f t="shared" si="97"/>
        <v>39.496429056442189</v>
      </c>
      <c r="O799" s="14">
        <f t="shared" si="98"/>
        <v>-199.49246114990092</v>
      </c>
      <c r="P799" s="13">
        <f t="shared" si="99"/>
        <v>-2.6910152600604052E-3</v>
      </c>
      <c r="Q799" s="15">
        <f t="shared" si="100"/>
        <v>-0.10600024503182937</v>
      </c>
      <c r="R799" s="13">
        <f t="shared" si="101"/>
        <v>-2.6910152600604317E-3</v>
      </c>
      <c r="S799" s="15">
        <f t="shared" si="102"/>
        <v>35.267973231772061</v>
      </c>
      <c r="T799" s="15">
        <f t="shared" si="103"/>
        <v>39.27726722557432</v>
      </c>
    </row>
    <row r="800" spans="1:20" x14ac:dyDescent="0.3">
      <c r="A800" s="5">
        <v>42436.083333333336</v>
      </c>
      <c r="B800" s="14">
        <v>91143.028607709304</v>
      </c>
      <c r="C800" s="14">
        <v>95167.528732048901</v>
      </c>
      <c r="D800" s="6">
        <v>2405</v>
      </c>
      <c r="E800" s="1">
        <v>2016</v>
      </c>
      <c r="F800" s="1">
        <v>3</v>
      </c>
      <c r="G800" s="1" t="s">
        <v>31</v>
      </c>
      <c r="H800" s="12">
        <v>42430</v>
      </c>
      <c r="I800" s="1">
        <v>7</v>
      </c>
      <c r="J800" s="1">
        <v>2</v>
      </c>
      <c r="K800" s="1" t="s">
        <v>21</v>
      </c>
      <c r="L800" s="1" t="s">
        <v>22</v>
      </c>
      <c r="M800" s="15">
        <f t="shared" si="96"/>
        <v>37.897309192394722</v>
      </c>
      <c r="N800" s="15">
        <f t="shared" si="97"/>
        <v>39.570698017483949</v>
      </c>
      <c r="O800" s="14">
        <f t="shared" si="98"/>
        <v>-4024.5001243395964</v>
      </c>
      <c r="P800" s="13">
        <f t="shared" si="99"/>
        <v>-4.4155874407701932E-2</v>
      </c>
      <c r="Q800" s="15">
        <f t="shared" si="100"/>
        <v>-1.6733888250892264</v>
      </c>
      <c r="R800" s="13">
        <f t="shared" si="101"/>
        <v>-4.4155874407701856E-2</v>
      </c>
      <c r="S800" s="15">
        <f t="shared" si="102"/>
        <v>35.267973231772061</v>
      </c>
      <c r="T800" s="15">
        <f t="shared" si="103"/>
        <v>39.397946362285097</v>
      </c>
    </row>
    <row r="801" spans="1:20" x14ac:dyDescent="0.3">
      <c r="A801" s="5">
        <v>42437.083333333336</v>
      </c>
      <c r="B801" s="14">
        <v>60528.093358145001</v>
      </c>
      <c r="C801" s="14">
        <v>62342.881166359897</v>
      </c>
      <c r="D801" s="6">
        <v>1577</v>
      </c>
      <c r="E801" s="1">
        <v>2016</v>
      </c>
      <c r="F801" s="1">
        <v>3</v>
      </c>
      <c r="G801" s="1" t="s">
        <v>31</v>
      </c>
      <c r="H801" s="12">
        <v>42430</v>
      </c>
      <c r="I801" s="1">
        <v>8</v>
      </c>
      <c r="J801" s="1">
        <v>3</v>
      </c>
      <c r="K801" s="1" t="s">
        <v>23</v>
      </c>
      <c r="L801" s="1" t="s">
        <v>22</v>
      </c>
      <c r="M801" s="15">
        <f t="shared" si="96"/>
        <v>38.381796676058975</v>
      </c>
      <c r="N801" s="15">
        <f t="shared" si="97"/>
        <v>39.532581589321431</v>
      </c>
      <c r="O801" s="14">
        <f t="shared" si="98"/>
        <v>-1814.7878082148964</v>
      </c>
      <c r="P801" s="13">
        <f t="shared" si="99"/>
        <v>-2.9982570200531324E-2</v>
      </c>
      <c r="Q801" s="15">
        <f t="shared" si="100"/>
        <v>-1.1507849132624557</v>
      </c>
      <c r="R801" s="13">
        <f t="shared" si="101"/>
        <v>-2.9982570200531262E-2</v>
      </c>
      <c r="S801" s="15">
        <f t="shared" si="102"/>
        <v>35.267973231772061</v>
      </c>
      <c r="T801" s="15">
        <f t="shared" si="103"/>
        <v>39.533816450964167</v>
      </c>
    </row>
    <row r="802" spans="1:20" x14ac:dyDescent="0.3">
      <c r="A802" s="5">
        <v>42438.083333333336</v>
      </c>
      <c r="B802" s="14">
        <v>38340.599611080201</v>
      </c>
      <c r="C802" s="14">
        <v>35918.335153329201</v>
      </c>
      <c r="D802" s="6">
        <v>913</v>
      </c>
      <c r="E802" s="1">
        <v>2016</v>
      </c>
      <c r="F802" s="1">
        <v>3</v>
      </c>
      <c r="G802" s="1" t="s">
        <v>31</v>
      </c>
      <c r="H802" s="12">
        <v>42430</v>
      </c>
      <c r="I802" s="1">
        <v>9</v>
      </c>
      <c r="J802" s="1">
        <v>4</v>
      </c>
      <c r="K802" s="1" t="s">
        <v>25</v>
      </c>
      <c r="L802" s="1" t="s">
        <v>22</v>
      </c>
      <c r="M802" s="15">
        <f t="shared" si="96"/>
        <v>41.994085006659581</v>
      </c>
      <c r="N802" s="15">
        <f t="shared" si="97"/>
        <v>39.341002358520484</v>
      </c>
      <c r="O802" s="14">
        <f t="shared" si="98"/>
        <v>2422.264457751</v>
      </c>
      <c r="P802" s="13">
        <f t="shared" si="99"/>
        <v>6.3177531971904274E-2</v>
      </c>
      <c r="Q802" s="15">
        <f t="shared" si="100"/>
        <v>2.6530826481390974</v>
      </c>
      <c r="R802" s="13">
        <f t="shared" si="101"/>
        <v>6.3177531971904177E-2</v>
      </c>
      <c r="S802" s="15">
        <f t="shared" si="102"/>
        <v>35.267973231772061</v>
      </c>
      <c r="T802" s="15">
        <f t="shared" si="103"/>
        <v>39.79189994045656</v>
      </c>
    </row>
    <row r="803" spans="1:20" x14ac:dyDescent="0.3">
      <c r="A803" s="5">
        <v>42439.083333333336</v>
      </c>
      <c r="B803" s="14">
        <v>37453.006182510202</v>
      </c>
      <c r="C803" s="14">
        <v>35108.200106536802</v>
      </c>
      <c r="D803" s="6">
        <v>892</v>
      </c>
      <c r="E803" s="1">
        <v>2016</v>
      </c>
      <c r="F803" s="1">
        <v>3</v>
      </c>
      <c r="G803" s="1" t="s">
        <v>31</v>
      </c>
      <c r="H803" s="12">
        <v>42430</v>
      </c>
      <c r="I803" s="1">
        <v>10</v>
      </c>
      <c r="J803" s="1">
        <v>5</v>
      </c>
      <c r="K803" s="1" t="s">
        <v>26</v>
      </c>
      <c r="L803" s="1" t="s">
        <v>22</v>
      </c>
      <c r="M803" s="15">
        <f t="shared" si="96"/>
        <v>41.987675092500226</v>
      </c>
      <c r="N803" s="15">
        <f t="shared" si="97"/>
        <v>39.358968729301345</v>
      </c>
      <c r="O803" s="14">
        <f t="shared" si="98"/>
        <v>2344.8060759733999</v>
      </c>
      <c r="P803" s="13">
        <f t="shared" si="99"/>
        <v>6.2606618666257483E-2</v>
      </c>
      <c r="Q803" s="15">
        <f t="shared" si="100"/>
        <v>2.6287063631988801</v>
      </c>
      <c r="R803" s="13">
        <f t="shared" si="101"/>
        <v>6.260661866625751E-2</v>
      </c>
      <c r="S803" s="15">
        <f t="shared" si="102"/>
        <v>35.267973231772061</v>
      </c>
      <c r="T803" s="15">
        <f t="shared" si="103"/>
        <v>39.8195916160088</v>
      </c>
    </row>
    <row r="804" spans="1:20" x14ac:dyDescent="0.3">
      <c r="A804" s="5">
        <v>42440.083333333336</v>
      </c>
      <c r="B804" s="14">
        <v>77997.045012869406</v>
      </c>
      <c r="C804" s="14">
        <v>73051.675542545403</v>
      </c>
      <c r="D804" s="6">
        <v>1855</v>
      </c>
      <c r="E804" s="1">
        <v>2016</v>
      </c>
      <c r="F804" s="1">
        <v>3</v>
      </c>
      <c r="G804" s="1" t="s">
        <v>31</v>
      </c>
      <c r="H804" s="12">
        <v>42430</v>
      </c>
      <c r="I804" s="1">
        <v>11</v>
      </c>
      <c r="J804" s="1">
        <v>6</v>
      </c>
      <c r="K804" s="1" t="s">
        <v>27</v>
      </c>
      <c r="L804" s="1" t="s">
        <v>22</v>
      </c>
      <c r="M804" s="15">
        <f t="shared" si="96"/>
        <v>42.046924535239569</v>
      </c>
      <c r="N804" s="15">
        <f t="shared" si="97"/>
        <v>39.380957165792672</v>
      </c>
      <c r="O804" s="14">
        <f t="shared" si="98"/>
        <v>4945.3694703240035</v>
      </c>
      <c r="P804" s="13">
        <f t="shared" si="99"/>
        <v>6.3404574743928105E-2</v>
      </c>
      <c r="Q804" s="15">
        <f t="shared" si="100"/>
        <v>2.6659673694468964</v>
      </c>
      <c r="R804" s="13">
        <f t="shared" si="101"/>
        <v>6.340457474392798E-2</v>
      </c>
      <c r="S804" s="15">
        <f t="shared" si="102"/>
        <v>35.267973231772061</v>
      </c>
      <c r="T804" s="15">
        <f t="shared" si="103"/>
        <v>39.820950287180182</v>
      </c>
    </row>
    <row r="805" spans="1:20" x14ac:dyDescent="0.3">
      <c r="A805" s="5">
        <v>42441.083333333336</v>
      </c>
      <c r="B805" s="14">
        <v>79752.282678029296</v>
      </c>
      <c r="C805" s="14">
        <v>74962.816397036004</v>
      </c>
      <c r="D805" s="6">
        <v>1897</v>
      </c>
      <c r="E805" s="1">
        <v>2016</v>
      </c>
      <c r="F805" s="1">
        <v>3</v>
      </c>
      <c r="G805" s="1" t="s">
        <v>31</v>
      </c>
      <c r="H805" s="12">
        <v>42430</v>
      </c>
      <c r="I805" s="1">
        <v>12</v>
      </c>
      <c r="J805" s="1">
        <v>7</v>
      </c>
      <c r="K805" s="1" t="s">
        <v>28</v>
      </c>
      <c r="L805" s="1" t="s">
        <v>22</v>
      </c>
      <c r="M805" s="15">
        <f t="shared" si="96"/>
        <v>42.041266567226828</v>
      </c>
      <c r="N805" s="15">
        <f t="shared" si="97"/>
        <v>39.51650838009278</v>
      </c>
      <c r="O805" s="14">
        <f t="shared" si="98"/>
        <v>4789.4662809932925</v>
      </c>
      <c r="P805" s="13">
        <f t="shared" si="99"/>
        <v>6.0054284594323312E-2</v>
      </c>
      <c r="Q805" s="15">
        <f t="shared" si="100"/>
        <v>2.5247581871340472</v>
      </c>
      <c r="R805" s="13">
        <f t="shared" si="101"/>
        <v>6.005428459432325E-2</v>
      </c>
      <c r="S805" s="15">
        <f t="shared" si="102"/>
        <v>35.267973231772061</v>
      </c>
      <c r="T805" s="15">
        <f t="shared" si="103"/>
        <v>39.822655009705016</v>
      </c>
    </row>
    <row r="806" spans="1:20" x14ac:dyDescent="0.3">
      <c r="A806" s="5">
        <v>42442.083333333336</v>
      </c>
      <c r="B806" s="14">
        <v>37155.588484560198</v>
      </c>
      <c r="C806" s="14">
        <v>34962.830504184203</v>
      </c>
      <c r="D806" s="6">
        <v>883</v>
      </c>
      <c r="E806" s="1">
        <v>2016</v>
      </c>
      <c r="F806" s="1">
        <v>3</v>
      </c>
      <c r="G806" s="1" t="s">
        <v>31</v>
      </c>
      <c r="H806" s="12">
        <v>42430</v>
      </c>
      <c r="I806" s="1">
        <v>13</v>
      </c>
      <c r="J806" s="1">
        <v>1</v>
      </c>
      <c r="K806" s="1" t="s">
        <v>29</v>
      </c>
      <c r="L806" s="1" t="s">
        <v>22</v>
      </c>
      <c r="M806" s="15">
        <f t="shared" si="96"/>
        <v>42.078809155787312</v>
      </c>
      <c r="N806" s="15">
        <f t="shared" si="97"/>
        <v>39.595504534749949</v>
      </c>
      <c r="O806" s="14">
        <f t="shared" si="98"/>
        <v>2192.7579803759945</v>
      </c>
      <c r="P806" s="13">
        <f t="shared" si="99"/>
        <v>5.9015563198176316E-2</v>
      </c>
      <c r="Q806" s="15">
        <f t="shared" si="100"/>
        <v>2.4833046210373624</v>
      </c>
      <c r="R806" s="13">
        <f t="shared" si="101"/>
        <v>5.9015563198176225E-2</v>
      </c>
      <c r="S806" s="15">
        <f t="shared" si="102"/>
        <v>35.267973231772061</v>
      </c>
      <c r="T806" s="15">
        <f t="shared" si="103"/>
        <v>39.824566991274118</v>
      </c>
    </row>
    <row r="807" spans="1:20" x14ac:dyDescent="0.3">
      <c r="A807" s="5">
        <v>42443.083333333336</v>
      </c>
      <c r="B807" s="14">
        <v>45046.513214430197</v>
      </c>
      <c r="C807" s="14">
        <v>42368.045353504102</v>
      </c>
      <c r="D807" s="6">
        <v>1071</v>
      </c>
      <c r="E807" s="1">
        <v>2016</v>
      </c>
      <c r="F807" s="1">
        <v>3</v>
      </c>
      <c r="G807" s="1" t="s">
        <v>31</v>
      </c>
      <c r="H807" s="12">
        <v>42430</v>
      </c>
      <c r="I807" s="1">
        <v>14</v>
      </c>
      <c r="J807" s="1">
        <v>2</v>
      </c>
      <c r="K807" s="1" t="s">
        <v>21</v>
      </c>
      <c r="L807" s="1" t="s">
        <v>22</v>
      </c>
      <c r="M807" s="15">
        <f t="shared" si="96"/>
        <v>42.060236428039403</v>
      </c>
      <c r="N807" s="15">
        <f t="shared" si="97"/>
        <v>39.559332729695704</v>
      </c>
      <c r="O807" s="14">
        <f t="shared" si="98"/>
        <v>2678.4678609260955</v>
      </c>
      <c r="P807" s="13">
        <f t="shared" si="99"/>
        <v>5.9460048509771789E-2</v>
      </c>
      <c r="Q807" s="15">
        <f t="shared" si="100"/>
        <v>2.5009036983436985</v>
      </c>
      <c r="R807" s="13">
        <f t="shared" si="101"/>
        <v>5.9460048509771914E-2</v>
      </c>
      <c r="S807" s="15">
        <f t="shared" si="102"/>
        <v>35.267973231772061</v>
      </c>
      <c r="T807" s="15">
        <f t="shared" si="103"/>
        <v>39.825507004327939</v>
      </c>
    </row>
    <row r="808" spans="1:20" x14ac:dyDescent="0.3">
      <c r="A808" s="5">
        <v>42444.083333333336</v>
      </c>
      <c r="B808" s="14">
        <v>55489.332757800199</v>
      </c>
      <c r="C808" s="14">
        <v>52263.056988226599</v>
      </c>
      <c r="D808" s="6">
        <v>1320</v>
      </c>
      <c r="E808" s="1">
        <v>2016</v>
      </c>
      <c r="F808" s="1">
        <v>3</v>
      </c>
      <c r="G808" s="1" t="s">
        <v>31</v>
      </c>
      <c r="H808" s="12">
        <v>42430</v>
      </c>
      <c r="I808" s="1">
        <v>15</v>
      </c>
      <c r="J808" s="1">
        <v>3</v>
      </c>
      <c r="K808" s="1" t="s">
        <v>23</v>
      </c>
      <c r="L808" s="1" t="s">
        <v>22</v>
      </c>
      <c r="M808" s="15">
        <f t="shared" si="96"/>
        <v>42.037373301363786</v>
      </c>
      <c r="N808" s="15">
        <f t="shared" si="97"/>
        <v>39.59322499108076</v>
      </c>
      <c r="O808" s="14">
        <f t="shared" si="98"/>
        <v>3226.2757695736</v>
      </c>
      <c r="P808" s="13">
        <f t="shared" si="99"/>
        <v>5.8142270040543578E-2</v>
      </c>
      <c r="Q808" s="15">
        <f t="shared" si="100"/>
        <v>2.4441483102830261</v>
      </c>
      <c r="R808" s="13">
        <f t="shared" si="101"/>
        <v>5.8142270040543481E-2</v>
      </c>
      <c r="S808" s="15">
        <f t="shared" si="102"/>
        <v>35.267973231772061</v>
      </c>
      <c r="T808" s="15">
        <f t="shared" si="103"/>
        <v>39.826057731658992</v>
      </c>
    </row>
    <row r="809" spans="1:20" x14ac:dyDescent="0.3">
      <c r="A809" s="5">
        <v>42445.083333333336</v>
      </c>
      <c r="B809" s="14">
        <v>41893.303158000199</v>
      </c>
      <c r="C809" s="14">
        <v>39495.455901503301</v>
      </c>
      <c r="D809" s="6">
        <v>997</v>
      </c>
      <c r="E809" s="1">
        <v>2016</v>
      </c>
      <c r="F809" s="1">
        <v>3</v>
      </c>
      <c r="G809" s="1" t="s">
        <v>31</v>
      </c>
      <c r="H809" s="12">
        <v>42430</v>
      </c>
      <c r="I809" s="1">
        <v>16</v>
      </c>
      <c r="J809" s="1">
        <v>4</v>
      </c>
      <c r="K809" s="1" t="s">
        <v>25</v>
      </c>
      <c r="L809" s="1" t="s">
        <v>22</v>
      </c>
      <c r="M809" s="15">
        <f t="shared" si="96"/>
        <v>42.019361241725377</v>
      </c>
      <c r="N809" s="15">
        <f t="shared" si="97"/>
        <v>39.614298797896993</v>
      </c>
      <c r="O809" s="14">
        <f t="shared" si="98"/>
        <v>2397.8472564968979</v>
      </c>
      <c r="P809" s="13">
        <f t="shared" si="99"/>
        <v>5.7237006293188189E-2</v>
      </c>
      <c r="Q809" s="15">
        <f t="shared" si="100"/>
        <v>2.4050624438283847</v>
      </c>
      <c r="R809" s="13">
        <f t="shared" si="101"/>
        <v>5.7237006293188224E-2</v>
      </c>
      <c r="S809" s="15">
        <f t="shared" si="102"/>
        <v>35.267973231772061</v>
      </c>
      <c r="T809" s="15">
        <f t="shared" si="103"/>
        <v>39.827095605811422</v>
      </c>
    </row>
    <row r="810" spans="1:20" x14ac:dyDescent="0.3">
      <c r="A810" s="5">
        <v>42446.083333333336</v>
      </c>
      <c r="B810" s="14">
        <v>34348.504189710096</v>
      </c>
      <c r="C810" s="14">
        <v>32292.837602068401</v>
      </c>
      <c r="D810" s="6">
        <v>817</v>
      </c>
      <c r="E810" s="1">
        <v>2016</v>
      </c>
      <c r="F810" s="1">
        <v>3</v>
      </c>
      <c r="G810" s="1" t="s">
        <v>31</v>
      </c>
      <c r="H810" s="12">
        <v>42430</v>
      </c>
      <c r="I810" s="1">
        <v>17</v>
      </c>
      <c r="J810" s="1">
        <v>5</v>
      </c>
      <c r="K810" s="1" t="s">
        <v>26</v>
      </c>
      <c r="L810" s="1" t="s">
        <v>22</v>
      </c>
      <c r="M810" s="15">
        <f t="shared" si="96"/>
        <v>42.042232790342837</v>
      </c>
      <c r="N810" s="15">
        <f t="shared" si="97"/>
        <v>39.526117015995595</v>
      </c>
      <c r="O810" s="14">
        <f t="shared" si="98"/>
        <v>2055.6665876416955</v>
      </c>
      <c r="P810" s="13">
        <f t="shared" si="99"/>
        <v>5.9847339385961353E-2</v>
      </c>
      <c r="Q810" s="15">
        <f t="shared" si="100"/>
        <v>2.5161157743472415</v>
      </c>
      <c r="R810" s="13">
        <f t="shared" si="101"/>
        <v>5.9847339385961373E-2</v>
      </c>
      <c r="S810" s="15">
        <f t="shared" si="102"/>
        <v>35.267973231772061</v>
      </c>
      <c r="T810" s="15">
        <f t="shared" si="103"/>
        <v>39.828092504115816</v>
      </c>
    </row>
    <row r="811" spans="1:20" x14ac:dyDescent="0.3">
      <c r="A811" s="5">
        <v>42447.083333333336</v>
      </c>
      <c r="B811" s="14">
        <v>78276.831216934501</v>
      </c>
      <c r="C811" s="14">
        <v>73746.758711538598</v>
      </c>
      <c r="D811" s="6">
        <v>1866</v>
      </c>
      <c r="E811" s="1">
        <v>2016</v>
      </c>
      <c r="F811" s="1">
        <v>3</v>
      </c>
      <c r="G811" s="1" t="s">
        <v>31</v>
      </c>
      <c r="H811" s="12">
        <v>42430</v>
      </c>
      <c r="I811" s="1">
        <v>18</v>
      </c>
      <c r="J811" s="1">
        <v>6</v>
      </c>
      <c r="K811" s="1" t="s">
        <v>27</v>
      </c>
      <c r="L811" s="1" t="s">
        <v>22</v>
      </c>
      <c r="M811" s="15">
        <f t="shared" si="96"/>
        <v>41.94899850853939</v>
      </c>
      <c r="N811" s="15">
        <f t="shared" si="97"/>
        <v>39.521306919366879</v>
      </c>
      <c r="O811" s="14">
        <f t="shared" si="98"/>
        <v>4530.0725053959031</v>
      </c>
      <c r="P811" s="13">
        <f t="shared" si="99"/>
        <v>5.7872456446804429E-2</v>
      </c>
      <c r="Q811" s="15">
        <f t="shared" si="100"/>
        <v>2.427691589172511</v>
      </c>
      <c r="R811" s="13">
        <f t="shared" si="101"/>
        <v>5.7872456446804457E-2</v>
      </c>
      <c r="S811" s="15">
        <f t="shared" si="102"/>
        <v>35.267973231772061</v>
      </c>
      <c r="T811" s="15">
        <f t="shared" si="103"/>
        <v>40.05642833515563</v>
      </c>
    </row>
    <row r="812" spans="1:20" x14ac:dyDescent="0.3">
      <c r="A812" s="5">
        <v>42448.083333333336</v>
      </c>
      <c r="B812" s="14">
        <v>92851.402660078806</v>
      </c>
      <c r="C812" s="14">
        <v>87451.566175781205</v>
      </c>
      <c r="D812" s="6">
        <v>2211</v>
      </c>
      <c r="E812" s="1">
        <v>2016</v>
      </c>
      <c r="F812" s="1">
        <v>3</v>
      </c>
      <c r="G812" s="1" t="s">
        <v>31</v>
      </c>
      <c r="H812" s="12">
        <v>42430</v>
      </c>
      <c r="I812" s="1">
        <v>19</v>
      </c>
      <c r="J812" s="1">
        <v>7</v>
      </c>
      <c r="K812" s="1" t="s">
        <v>28</v>
      </c>
      <c r="L812" s="1" t="s">
        <v>22</v>
      </c>
      <c r="M812" s="15">
        <f t="shared" si="96"/>
        <v>41.995206992346816</v>
      </c>
      <c r="N812" s="15">
        <f t="shared" si="97"/>
        <v>39.55294716227101</v>
      </c>
      <c r="O812" s="14">
        <f t="shared" si="98"/>
        <v>5399.8364842976007</v>
      </c>
      <c r="P812" s="13">
        <f t="shared" si="99"/>
        <v>5.8155680254674762E-2</v>
      </c>
      <c r="Q812" s="15">
        <f t="shared" si="100"/>
        <v>2.4422598300758054</v>
      </c>
      <c r="R812" s="13">
        <f t="shared" si="101"/>
        <v>5.815568025467481E-2</v>
      </c>
      <c r="S812" s="15">
        <f t="shared" si="102"/>
        <v>35.267973231772061</v>
      </c>
      <c r="T812" s="15">
        <f t="shared" si="103"/>
        <v>40.057031110394306</v>
      </c>
    </row>
    <row r="813" spans="1:20" x14ac:dyDescent="0.3">
      <c r="A813" s="5">
        <v>42449.083333333336</v>
      </c>
      <c r="B813" s="14">
        <v>54845.789298270203</v>
      </c>
      <c r="C813" s="14">
        <v>51625.511717785303</v>
      </c>
      <c r="D813" s="6">
        <v>1304</v>
      </c>
      <c r="E813" s="1">
        <v>2016</v>
      </c>
      <c r="F813" s="1">
        <v>3</v>
      </c>
      <c r="G813" s="1" t="s">
        <v>31</v>
      </c>
      <c r="H813" s="12">
        <v>42430</v>
      </c>
      <c r="I813" s="1">
        <v>20</v>
      </c>
      <c r="J813" s="1">
        <v>1</v>
      </c>
      <c r="K813" s="1" t="s">
        <v>29</v>
      </c>
      <c r="L813" s="1" t="s">
        <v>22</v>
      </c>
      <c r="M813" s="15">
        <f t="shared" si="96"/>
        <v>42.059654369839116</v>
      </c>
      <c r="N813" s="15">
        <f t="shared" si="97"/>
        <v>39.590116347994865</v>
      </c>
      <c r="O813" s="14">
        <f t="shared" si="98"/>
        <v>3220.2775804849007</v>
      </c>
      <c r="P813" s="13">
        <f t="shared" si="99"/>
        <v>5.871512875805155E-2</v>
      </c>
      <c r="Q813" s="15">
        <f t="shared" si="100"/>
        <v>2.4695380218442509</v>
      </c>
      <c r="R813" s="13">
        <f t="shared" si="101"/>
        <v>5.8715128758051592E-2</v>
      </c>
      <c r="S813" s="15">
        <f t="shared" si="102"/>
        <v>35.267973231772061</v>
      </c>
      <c r="T813" s="15">
        <f t="shared" si="103"/>
        <v>40.059422243222109</v>
      </c>
    </row>
    <row r="814" spans="1:20" x14ac:dyDescent="0.3">
      <c r="A814" s="5">
        <v>42450.083333333336</v>
      </c>
      <c r="B814" s="14">
        <v>48037.799902380197</v>
      </c>
      <c r="C814" s="14">
        <v>45187.6415757207</v>
      </c>
      <c r="D814" s="6">
        <v>1143</v>
      </c>
      <c r="E814" s="1">
        <v>2016</v>
      </c>
      <c r="F814" s="1">
        <v>3</v>
      </c>
      <c r="G814" s="1" t="s">
        <v>31</v>
      </c>
      <c r="H814" s="12">
        <v>42430</v>
      </c>
      <c r="I814" s="1">
        <v>21</v>
      </c>
      <c r="J814" s="1">
        <v>2</v>
      </c>
      <c r="K814" s="1" t="s">
        <v>21</v>
      </c>
      <c r="L814" s="1" t="s">
        <v>22</v>
      </c>
      <c r="M814" s="15">
        <f t="shared" si="96"/>
        <v>42.027821436903061</v>
      </c>
      <c r="N814" s="15">
        <f t="shared" si="97"/>
        <v>39.534244598180841</v>
      </c>
      <c r="O814" s="14">
        <f t="shared" si="98"/>
        <v>2850.1583266594971</v>
      </c>
      <c r="P814" s="13">
        <f t="shared" si="99"/>
        <v>5.9331574977443464E-2</v>
      </c>
      <c r="Q814" s="15">
        <f t="shared" si="100"/>
        <v>2.4935768387222197</v>
      </c>
      <c r="R814" s="13">
        <f t="shared" si="101"/>
        <v>5.9331574977443464E-2</v>
      </c>
      <c r="S814" s="15">
        <f t="shared" si="102"/>
        <v>35.267973231772061</v>
      </c>
      <c r="T814" s="15">
        <f t="shared" si="103"/>
        <v>40.289669002449394</v>
      </c>
    </row>
    <row r="815" spans="1:20" x14ac:dyDescent="0.3">
      <c r="A815" s="5">
        <v>42451.083333333336</v>
      </c>
      <c r="B815" s="14">
        <v>65905.723262159998</v>
      </c>
      <c r="C815" s="14">
        <v>62023.8812977001</v>
      </c>
      <c r="D815" s="6">
        <v>1573</v>
      </c>
      <c r="E815" s="1">
        <v>2016</v>
      </c>
      <c r="F815" s="1">
        <v>3</v>
      </c>
      <c r="G815" s="1" t="s">
        <v>31</v>
      </c>
      <c r="H815" s="12">
        <v>42430</v>
      </c>
      <c r="I815" s="1">
        <v>22</v>
      </c>
      <c r="J815" s="1">
        <v>3</v>
      </c>
      <c r="K815" s="1" t="s">
        <v>23</v>
      </c>
      <c r="L815" s="1" t="s">
        <v>22</v>
      </c>
      <c r="M815" s="15">
        <f t="shared" si="96"/>
        <v>41.898107604678955</v>
      </c>
      <c r="N815" s="15">
        <f t="shared" si="97"/>
        <v>39.430312331659316</v>
      </c>
      <c r="O815" s="14">
        <f t="shared" si="98"/>
        <v>3881.841964459898</v>
      </c>
      <c r="P815" s="13">
        <f t="shared" si="99"/>
        <v>5.8899922075336231E-2</v>
      </c>
      <c r="Q815" s="15">
        <f t="shared" si="100"/>
        <v>2.4677952730196395</v>
      </c>
      <c r="R815" s="13">
        <f t="shared" si="101"/>
        <v>5.8899922075336154E-2</v>
      </c>
      <c r="S815" s="15">
        <f t="shared" si="102"/>
        <v>35.267973231772061</v>
      </c>
      <c r="T815" s="15">
        <f t="shared" si="103"/>
        <v>40.285965023638603</v>
      </c>
    </row>
    <row r="816" spans="1:20" x14ac:dyDescent="0.3">
      <c r="A816" s="5">
        <v>42452.083333333336</v>
      </c>
      <c r="B816" s="14">
        <v>84870.051300869804</v>
      </c>
      <c r="C816" s="14">
        <v>81472.827175989296</v>
      </c>
      <c r="D816" s="6">
        <v>2065</v>
      </c>
      <c r="E816" s="1">
        <v>2016</v>
      </c>
      <c r="F816" s="1">
        <v>3</v>
      </c>
      <c r="G816" s="1" t="s">
        <v>31</v>
      </c>
      <c r="H816" s="12">
        <v>42430</v>
      </c>
      <c r="I816" s="1">
        <v>23</v>
      </c>
      <c r="J816" s="1">
        <v>4</v>
      </c>
      <c r="K816" s="1" t="s">
        <v>25</v>
      </c>
      <c r="L816" s="1" t="s">
        <v>22</v>
      </c>
      <c r="M816" s="15">
        <f t="shared" si="96"/>
        <v>41.09929845078441</v>
      </c>
      <c r="N816" s="15">
        <f t="shared" si="97"/>
        <v>39.454153596120726</v>
      </c>
      <c r="O816" s="14">
        <f t="shared" si="98"/>
        <v>3397.2241248805076</v>
      </c>
      <c r="P816" s="13">
        <f t="shared" si="99"/>
        <v>4.0028538604709084E-2</v>
      </c>
      <c r="Q816" s="15">
        <f t="shared" si="100"/>
        <v>1.645144854663684</v>
      </c>
      <c r="R816" s="13">
        <f t="shared" si="101"/>
        <v>4.0028538604709084E-2</v>
      </c>
      <c r="S816" s="15">
        <f t="shared" si="102"/>
        <v>35.267973231772061</v>
      </c>
      <c r="T816" s="15">
        <f t="shared" si="103"/>
        <v>40.255144842293461</v>
      </c>
    </row>
    <row r="817" spans="1:20" x14ac:dyDescent="0.3">
      <c r="A817" s="5">
        <v>42453.083333333336</v>
      </c>
      <c r="B817" s="14">
        <v>262459.50568130403</v>
      </c>
      <c r="C817" s="14">
        <v>259298.45661843699</v>
      </c>
      <c r="D817" s="6">
        <v>6588</v>
      </c>
      <c r="E817" s="1">
        <v>2016</v>
      </c>
      <c r="F817" s="1">
        <v>3</v>
      </c>
      <c r="G817" s="1" t="s">
        <v>31</v>
      </c>
      <c r="H817" s="12">
        <v>42430</v>
      </c>
      <c r="I817" s="1">
        <v>24</v>
      </c>
      <c r="J817" s="1">
        <v>5</v>
      </c>
      <c r="K817" s="1" t="s">
        <v>26</v>
      </c>
      <c r="L817" s="1" t="s">
        <v>22</v>
      </c>
      <c r="M817" s="15">
        <f t="shared" si="96"/>
        <v>39.839026363282336</v>
      </c>
      <c r="N817" s="15">
        <f t="shared" si="97"/>
        <v>39.359207136981937</v>
      </c>
      <c r="O817" s="14">
        <f t="shared" si="98"/>
        <v>3161.0490628670377</v>
      </c>
      <c r="P817" s="13">
        <f t="shared" si="99"/>
        <v>1.204394961676639E-2</v>
      </c>
      <c r="Q817" s="15">
        <f t="shared" si="100"/>
        <v>0.47981922630039975</v>
      </c>
      <c r="R817" s="13">
        <f t="shared" si="101"/>
        <v>1.2043949616766374E-2</v>
      </c>
      <c r="S817" s="15">
        <f t="shared" si="102"/>
        <v>35.267973231772061</v>
      </c>
      <c r="T817" s="15">
        <f t="shared" si="103"/>
        <v>40.183858510166644</v>
      </c>
    </row>
    <row r="818" spans="1:20" x14ac:dyDescent="0.3">
      <c r="A818" s="5">
        <v>42454.083333333336</v>
      </c>
      <c r="B818" s="14">
        <v>228124.39802927399</v>
      </c>
      <c r="C818" s="14">
        <v>222208.35038080401</v>
      </c>
      <c r="D818" s="6">
        <v>5652</v>
      </c>
      <c r="E818" s="1">
        <v>2016</v>
      </c>
      <c r="F818" s="1">
        <v>3</v>
      </c>
      <c r="G818" s="1" t="s">
        <v>31</v>
      </c>
      <c r="H818" s="12">
        <v>42430</v>
      </c>
      <c r="I818" s="1">
        <v>25</v>
      </c>
      <c r="J818" s="1">
        <v>6</v>
      </c>
      <c r="K818" s="1" t="s">
        <v>27</v>
      </c>
      <c r="L818" s="1" t="s">
        <v>22</v>
      </c>
      <c r="M818" s="15">
        <f t="shared" si="96"/>
        <v>40.361712319404454</v>
      </c>
      <c r="N818" s="15">
        <f t="shared" si="97"/>
        <v>39.314994759519465</v>
      </c>
      <c r="O818" s="14">
        <f t="shared" si="98"/>
        <v>5916.0476484699757</v>
      </c>
      <c r="P818" s="13">
        <f t="shared" si="99"/>
        <v>2.5933427987438681E-2</v>
      </c>
      <c r="Q818" s="15">
        <f t="shared" si="100"/>
        <v>1.0467175598849892</v>
      </c>
      <c r="R818" s="13">
        <f t="shared" si="101"/>
        <v>2.5933427987438609E-2</v>
      </c>
      <c r="S818" s="15">
        <f t="shared" si="102"/>
        <v>35.267973231772061</v>
      </c>
      <c r="T818" s="15">
        <f t="shared" si="103"/>
        <v>40.301193304269937</v>
      </c>
    </row>
    <row r="819" spans="1:20" x14ac:dyDescent="0.3">
      <c r="A819" s="5">
        <v>42455.083333333336</v>
      </c>
      <c r="B819" s="14">
        <v>162929.49214412601</v>
      </c>
      <c r="C819" s="14">
        <v>161434.815098505</v>
      </c>
      <c r="D819" s="6">
        <v>4103</v>
      </c>
      <c r="E819" s="1">
        <v>2016</v>
      </c>
      <c r="F819" s="1">
        <v>3</v>
      </c>
      <c r="G819" s="1" t="s">
        <v>31</v>
      </c>
      <c r="H819" s="12">
        <v>42430</v>
      </c>
      <c r="I819" s="1">
        <v>26</v>
      </c>
      <c r="J819" s="1">
        <v>7</v>
      </c>
      <c r="K819" s="1" t="s">
        <v>28</v>
      </c>
      <c r="L819" s="1" t="s">
        <v>22</v>
      </c>
      <c r="M819" s="15">
        <f t="shared" si="96"/>
        <v>39.709844539148428</v>
      </c>
      <c r="N819" s="15">
        <f t="shared" si="97"/>
        <v>39.345555714965876</v>
      </c>
      <c r="O819" s="14">
        <f t="shared" si="98"/>
        <v>1494.677045621007</v>
      </c>
      <c r="P819" s="13">
        <f t="shared" si="99"/>
        <v>9.1737660625544008E-3</v>
      </c>
      <c r="Q819" s="15">
        <f t="shared" si="100"/>
        <v>0.36428882418255171</v>
      </c>
      <c r="R819" s="13">
        <f t="shared" si="101"/>
        <v>9.1737660625544181E-3</v>
      </c>
      <c r="S819" s="15">
        <f t="shared" si="102"/>
        <v>35.267973231772061</v>
      </c>
      <c r="T819" s="15">
        <f t="shared" si="103"/>
        <v>40.406662746521086</v>
      </c>
    </row>
    <row r="820" spans="1:20" x14ac:dyDescent="0.3">
      <c r="A820" s="5">
        <v>42456.083333333336</v>
      </c>
      <c r="B820" s="14">
        <v>58359.832184820101</v>
      </c>
      <c r="C820" s="14">
        <v>57681.569884933902</v>
      </c>
      <c r="D820" s="6">
        <v>1466</v>
      </c>
      <c r="E820" s="1">
        <v>2016</v>
      </c>
      <c r="F820" s="1">
        <v>3</v>
      </c>
      <c r="G820" s="1" t="s">
        <v>31</v>
      </c>
      <c r="H820" s="12">
        <v>42430</v>
      </c>
      <c r="I820" s="1">
        <v>27</v>
      </c>
      <c r="J820" s="1">
        <v>1</v>
      </c>
      <c r="K820" s="1" t="s">
        <v>29</v>
      </c>
      <c r="L820" s="1" t="s">
        <v>22</v>
      </c>
      <c r="M820" s="15">
        <f t="shared" si="96"/>
        <v>39.80888962129611</v>
      </c>
      <c r="N820" s="15">
        <f t="shared" si="97"/>
        <v>39.346227752342365</v>
      </c>
      <c r="O820" s="14">
        <f t="shared" si="98"/>
        <v>678.26229988619889</v>
      </c>
      <c r="P820" s="13">
        <f t="shared" si="99"/>
        <v>1.1622074198880592E-2</v>
      </c>
      <c r="Q820" s="15">
        <f t="shared" si="100"/>
        <v>0.46266186895374517</v>
      </c>
      <c r="R820" s="13">
        <f t="shared" si="101"/>
        <v>1.1622074198880448E-2</v>
      </c>
      <c r="S820" s="15">
        <f t="shared" si="102"/>
        <v>35.267973231772061</v>
      </c>
      <c r="T820" s="15">
        <f t="shared" si="103"/>
        <v>40.45881149939958</v>
      </c>
    </row>
    <row r="821" spans="1:20" x14ac:dyDescent="0.3">
      <c r="A821" s="5">
        <v>42457.083333333336</v>
      </c>
      <c r="B821" s="14">
        <v>85605.331920599201</v>
      </c>
      <c r="C821" s="14">
        <v>85022.3809201806</v>
      </c>
      <c r="D821" s="6">
        <v>2162</v>
      </c>
      <c r="E821" s="1">
        <v>2016</v>
      </c>
      <c r="F821" s="1">
        <v>3</v>
      </c>
      <c r="G821" s="1" t="s">
        <v>31</v>
      </c>
      <c r="H821" s="12">
        <v>42430</v>
      </c>
      <c r="I821" s="1">
        <v>28</v>
      </c>
      <c r="J821" s="1">
        <v>2</v>
      </c>
      <c r="K821" s="1" t="s">
        <v>21</v>
      </c>
      <c r="L821" s="1" t="s">
        <v>22</v>
      </c>
      <c r="M821" s="15">
        <f t="shared" si="96"/>
        <v>39.595435670952455</v>
      </c>
      <c r="N821" s="15">
        <f t="shared" si="97"/>
        <v>39.325800610629322</v>
      </c>
      <c r="O821" s="14">
        <f t="shared" si="98"/>
        <v>582.95100041860132</v>
      </c>
      <c r="P821" s="13">
        <f t="shared" si="99"/>
        <v>6.8097510673669369E-3</v>
      </c>
      <c r="Q821" s="15">
        <f t="shared" si="100"/>
        <v>0.26963506032313234</v>
      </c>
      <c r="R821" s="13">
        <f t="shared" si="101"/>
        <v>6.8097510673670626E-3</v>
      </c>
      <c r="S821" s="15">
        <f t="shared" si="102"/>
        <v>35.267973231772061</v>
      </c>
      <c r="T821" s="15">
        <f t="shared" si="103"/>
        <v>40.495296260862112</v>
      </c>
    </row>
    <row r="822" spans="1:20" x14ac:dyDescent="0.3">
      <c r="A822" s="5">
        <v>42458.083333333336</v>
      </c>
      <c r="B822" s="14">
        <v>84836.414342129297</v>
      </c>
      <c r="C822" s="14">
        <v>84595.2179348059</v>
      </c>
      <c r="D822" s="6">
        <v>2155</v>
      </c>
      <c r="E822" s="1">
        <v>2016</v>
      </c>
      <c r="F822" s="1">
        <v>3</v>
      </c>
      <c r="G822" s="1" t="s">
        <v>31</v>
      </c>
      <c r="H822" s="12">
        <v>42430</v>
      </c>
      <c r="I822" s="1">
        <v>29</v>
      </c>
      <c r="J822" s="1">
        <v>3</v>
      </c>
      <c r="K822" s="1" t="s">
        <v>23</v>
      </c>
      <c r="L822" s="1" t="s">
        <v>22</v>
      </c>
      <c r="M822" s="15">
        <f t="shared" si="96"/>
        <v>39.367245634398749</v>
      </c>
      <c r="N822" s="15">
        <f t="shared" si="97"/>
        <v>39.255321547473734</v>
      </c>
      <c r="O822" s="14">
        <f t="shared" si="98"/>
        <v>241.19640732339758</v>
      </c>
      <c r="P822" s="13">
        <f t="shared" si="99"/>
        <v>2.8430763981926186E-3</v>
      </c>
      <c r="Q822" s="15">
        <f t="shared" si="100"/>
        <v>0.11192408692501488</v>
      </c>
      <c r="R822" s="13">
        <f t="shared" si="101"/>
        <v>2.84307639819273E-3</v>
      </c>
      <c r="S822" s="15">
        <f t="shared" si="102"/>
        <v>35.267973231772061</v>
      </c>
      <c r="T822" s="15">
        <f t="shared" si="103"/>
        <v>40.503985691472401</v>
      </c>
    </row>
    <row r="823" spans="1:20" x14ac:dyDescent="0.3">
      <c r="A823" s="5">
        <v>42459.083333333336</v>
      </c>
      <c r="B823" s="14">
        <v>64308.914216520498</v>
      </c>
      <c r="C823" s="14">
        <v>68427.594666065794</v>
      </c>
      <c r="D823" s="6">
        <v>1746</v>
      </c>
      <c r="E823" s="1">
        <v>2016</v>
      </c>
      <c r="F823" s="1">
        <v>3</v>
      </c>
      <c r="G823" s="1" t="s">
        <v>31</v>
      </c>
      <c r="H823" s="12">
        <v>42430</v>
      </c>
      <c r="I823" s="1">
        <v>30</v>
      </c>
      <c r="J823" s="1">
        <v>4</v>
      </c>
      <c r="K823" s="1" t="s">
        <v>25</v>
      </c>
      <c r="L823" s="1" t="s">
        <v>22</v>
      </c>
      <c r="M823" s="15">
        <f t="shared" si="96"/>
        <v>36.832138726529493</v>
      </c>
      <c r="N823" s="15">
        <f t="shared" si="97"/>
        <v>39.191062237151087</v>
      </c>
      <c r="O823" s="14">
        <f t="shared" si="98"/>
        <v>-4118.6804495452961</v>
      </c>
      <c r="P823" s="13">
        <f t="shared" si="99"/>
        <v>-6.404524939852331E-2</v>
      </c>
      <c r="Q823" s="15">
        <f t="shared" si="100"/>
        <v>-2.3589235106215938</v>
      </c>
      <c r="R823" s="13">
        <f t="shared" si="101"/>
        <v>-6.4045249398523407E-2</v>
      </c>
      <c r="S823" s="15">
        <f t="shared" si="102"/>
        <v>35.267973231772061</v>
      </c>
      <c r="T823" s="15">
        <f t="shared" si="103"/>
        <v>40.458660588570865</v>
      </c>
    </row>
    <row r="824" spans="1:20" x14ac:dyDescent="0.3">
      <c r="A824" s="5">
        <v>42460.083333333336</v>
      </c>
      <c r="B824" s="14">
        <v>131168.485522948</v>
      </c>
      <c r="C824" s="14">
        <v>138589.10006426301</v>
      </c>
      <c r="D824" s="6">
        <v>3554</v>
      </c>
      <c r="E824" s="1">
        <v>2016</v>
      </c>
      <c r="F824" s="1">
        <v>3</v>
      </c>
      <c r="G824" s="1" t="s">
        <v>31</v>
      </c>
      <c r="H824" s="12">
        <v>42430</v>
      </c>
      <c r="I824" s="1">
        <v>31</v>
      </c>
      <c r="J824" s="1">
        <v>5</v>
      </c>
      <c r="K824" s="1" t="s">
        <v>26</v>
      </c>
      <c r="L824" s="1" t="s">
        <v>22</v>
      </c>
      <c r="M824" s="15">
        <f t="shared" si="96"/>
        <v>36.907283489855935</v>
      </c>
      <c r="N824" s="15">
        <f t="shared" si="97"/>
        <v>38.995244812679516</v>
      </c>
      <c r="O824" s="14">
        <f t="shared" si="98"/>
        <v>-7420.614541315008</v>
      </c>
      <c r="P824" s="13">
        <f t="shared" si="99"/>
        <v>-5.6573151025798553E-2</v>
      </c>
      <c r="Q824" s="15">
        <f t="shared" si="100"/>
        <v>-2.0879613228235812</v>
      </c>
      <c r="R824" s="13">
        <f t="shared" si="101"/>
        <v>-5.6573151025798553E-2</v>
      </c>
      <c r="S824" s="15">
        <f t="shared" si="102"/>
        <v>35.267973231772061</v>
      </c>
      <c r="T824" s="15">
        <f t="shared" si="103"/>
        <v>40.411594096353618</v>
      </c>
    </row>
    <row r="825" spans="1:20" x14ac:dyDescent="0.3">
      <c r="A825" s="5">
        <v>42461.083333333336</v>
      </c>
      <c r="B825" s="14">
        <v>232410.197977815</v>
      </c>
      <c r="C825" s="14">
        <v>245358.62998053399</v>
      </c>
      <c r="D825" s="6">
        <v>6282</v>
      </c>
      <c r="E825" s="1">
        <v>2016</v>
      </c>
      <c r="F825" s="1">
        <v>4</v>
      </c>
      <c r="G825" s="1" t="s">
        <v>32</v>
      </c>
      <c r="H825" s="12">
        <v>42461</v>
      </c>
      <c r="I825" s="1">
        <v>1</v>
      </c>
      <c r="J825" s="1">
        <v>6</v>
      </c>
      <c r="K825" s="1" t="s">
        <v>27</v>
      </c>
      <c r="L825" s="1" t="s">
        <v>22</v>
      </c>
      <c r="M825" s="15">
        <f t="shared" si="96"/>
        <v>36.9962110757426</v>
      </c>
      <c r="N825" s="15">
        <f t="shared" si="97"/>
        <v>39.057406873692138</v>
      </c>
      <c r="O825" s="14">
        <f t="shared" si="98"/>
        <v>-12948.432002718997</v>
      </c>
      <c r="P825" s="13">
        <f t="shared" si="99"/>
        <v>-5.5713699809140926E-2</v>
      </c>
      <c r="Q825" s="15">
        <f t="shared" si="100"/>
        <v>-2.0611957979495372</v>
      </c>
      <c r="R825" s="13">
        <f t="shared" si="101"/>
        <v>-5.5713699809140906E-2</v>
      </c>
      <c r="S825" s="15">
        <f t="shared" si="102"/>
        <v>35.267973231772061</v>
      </c>
      <c r="T825" s="15">
        <f t="shared" si="103"/>
        <v>40.362720886615456</v>
      </c>
    </row>
    <row r="826" spans="1:20" x14ac:dyDescent="0.3">
      <c r="A826" s="5">
        <v>42462.083333333336</v>
      </c>
      <c r="B826" s="14">
        <v>195831.09745711801</v>
      </c>
      <c r="C826" s="14">
        <v>205442.82809681201</v>
      </c>
      <c r="D826" s="6">
        <v>5259</v>
      </c>
      <c r="E826" s="1">
        <v>2016</v>
      </c>
      <c r="F826" s="1">
        <v>4</v>
      </c>
      <c r="G826" s="1" t="s">
        <v>32</v>
      </c>
      <c r="H826" s="12">
        <v>42461</v>
      </c>
      <c r="I826" s="1">
        <v>2</v>
      </c>
      <c r="J826" s="1">
        <v>7</v>
      </c>
      <c r="K826" s="1" t="s">
        <v>28</v>
      </c>
      <c r="L826" s="1" t="s">
        <v>22</v>
      </c>
      <c r="M826" s="15">
        <f t="shared" si="96"/>
        <v>37.237326004395896</v>
      </c>
      <c r="N826" s="15">
        <f t="shared" si="97"/>
        <v>39.064998687357296</v>
      </c>
      <c r="O826" s="14">
        <f t="shared" si="98"/>
        <v>-9611.7306396939966</v>
      </c>
      <c r="P826" s="13">
        <f t="shared" si="99"/>
        <v>-4.9081738112603489E-2</v>
      </c>
      <c r="Q826" s="15">
        <f t="shared" si="100"/>
        <v>-1.8276726829613992</v>
      </c>
      <c r="R826" s="13">
        <f t="shared" si="101"/>
        <v>-4.9081738112603489E-2</v>
      </c>
      <c r="S826" s="15">
        <f t="shared" si="102"/>
        <v>35.267973231772061</v>
      </c>
      <c r="T826" s="15">
        <f t="shared" si="103"/>
        <v>40.318599940841118</v>
      </c>
    </row>
    <row r="827" spans="1:20" x14ac:dyDescent="0.3">
      <c r="A827" s="5">
        <v>42463.083333333336</v>
      </c>
      <c r="B827" s="14">
        <v>90716.547889139896</v>
      </c>
      <c r="C827" s="14">
        <v>95543.133646196802</v>
      </c>
      <c r="D827" s="6">
        <v>2446</v>
      </c>
      <c r="E827" s="1">
        <v>2016</v>
      </c>
      <c r="F827" s="1">
        <v>4</v>
      </c>
      <c r="G827" s="1" t="s">
        <v>32</v>
      </c>
      <c r="H827" s="12">
        <v>42461</v>
      </c>
      <c r="I827" s="1">
        <v>3</v>
      </c>
      <c r="J827" s="1">
        <v>1</v>
      </c>
      <c r="K827" s="1" t="s">
        <v>29</v>
      </c>
      <c r="L827" s="1" t="s">
        <v>22</v>
      </c>
      <c r="M827" s="15">
        <f t="shared" si="96"/>
        <v>37.087713773156132</v>
      </c>
      <c r="N827" s="15">
        <f t="shared" si="97"/>
        <v>39.060970419540801</v>
      </c>
      <c r="O827" s="14">
        <f t="shared" si="98"/>
        <v>-4826.585757056906</v>
      </c>
      <c r="P827" s="13">
        <f t="shared" si="99"/>
        <v>-5.3205130368885203E-2</v>
      </c>
      <c r="Q827" s="15">
        <f t="shared" si="100"/>
        <v>-1.9732566463846695</v>
      </c>
      <c r="R827" s="13">
        <f t="shared" si="101"/>
        <v>-5.3205130368885155E-2</v>
      </c>
      <c r="S827" s="15">
        <f t="shared" si="102"/>
        <v>35.267973231772061</v>
      </c>
      <c r="T827" s="15">
        <f t="shared" si="103"/>
        <v>40.262200021677906</v>
      </c>
    </row>
    <row r="828" spans="1:20" x14ac:dyDescent="0.3">
      <c r="A828" s="5">
        <v>42464.083333333336</v>
      </c>
      <c r="B828" s="14">
        <v>131638.01960717599</v>
      </c>
      <c r="C828" s="14">
        <v>130700.18894200699</v>
      </c>
      <c r="D828" s="6">
        <v>3345</v>
      </c>
      <c r="E828" s="1">
        <v>2016</v>
      </c>
      <c r="F828" s="1">
        <v>4</v>
      </c>
      <c r="G828" s="1" t="s">
        <v>32</v>
      </c>
      <c r="H828" s="12">
        <v>42461</v>
      </c>
      <c r="I828" s="1">
        <v>4</v>
      </c>
      <c r="J828" s="1">
        <v>2</v>
      </c>
      <c r="K828" s="1" t="s">
        <v>21</v>
      </c>
      <c r="L828" s="1" t="s">
        <v>22</v>
      </c>
      <c r="M828" s="15">
        <f t="shared" si="96"/>
        <v>39.353668043998802</v>
      </c>
      <c r="N828" s="15">
        <f t="shared" si="97"/>
        <v>39.073300132139607</v>
      </c>
      <c r="O828" s="14">
        <f t="shared" si="98"/>
        <v>937.83066516899271</v>
      </c>
      <c r="P828" s="13">
        <f t="shared" si="99"/>
        <v>7.1243146012648518E-3</v>
      </c>
      <c r="Q828" s="15">
        <f t="shared" si="100"/>
        <v>0.28036791185919441</v>
      </c>
      <c r="R828" s="13">
        <f t="shared" si="101"/>
        <v>7.1243146012649472E-3</v>
      </c>
      <c r="S828" s="15">
        <f t="shared" si="102"/>
        <v>35.267973231772061</v>
      </c>
      <c r="T828" s="15">
        <f t="shared" si="103"/>
        <v>40.270102714133408</v>
      </c>
    </row>
    <row r="829" spans="1:20" x14ac:dyDescent="0.3">
      <c r="A829" s="5">
        <v>42465.083333333336</v>
      </c>
      <c r="B829" s="14">
        <v>81910.872618989393</v>
      </c>
      <c r="C829" s="14">
        <v>79969.510545293</v>
      </c>
      <c r="D829" s="6">
        <v>2048</v>
      </c>
      <c r="E829" s="1">
        <v>2016</v>
      </c>
      <c r="F829" s="1">
        <v>4</v>
      </c>
      <c r="G829" s="1" t="s">
        <v>32</v>
      </c>
      <c r="H829" s="12">
        <v>42461</v>
      </c>
      <c r="I829" s="1">
        <v>5</v>
      </c>
      <c r="J829" s="1">
        <v>3</v>
      </c>
      <c r="K829" s="1" t="s">
        <v>23</v>
      </c>
      <c r="L829" s="1" t="s">
        <v>22</v>
      </c>
      <c r="M829" s="15">
        <f t="shared" si="96"/>
        <v>39.995543270990915</v>
      </c>
      <c r="N829" s="15">
        <f t="shared" si="97"/>
        <v>39.047612570943848</v>
      </c>
      <c r="O829" s="14">
        <f t="shared" si="98"/>
        <v>1941.3620736963931</v>
      </c>
      <c r="P829" s="13">
        <f t="shared" si="99"/>
        <v>2.3700908214306184E-2</v>
      </c>
      <c r="Q829" s="15">
        <f t="shared" si="100"/>
        <v>0.94793070004706692</v>
      </c>
      <c r="R829" s="13">
        <f t="shared" si="101"/>
        <v>2.3700908214306184E-2</v>
      </c>
      <c r="S829" s="15">
        <f t="shared" si="102"/>
        <v>35.267973231772061</v>
      </c>
      <c r="T829" s="15">
        <f t="shared" si="103"/>
        <v>40.290273196119422</v>
      </c>
    </row>
    <row r="830" spans="1:20" x14ac:dyDescent="0.3">
      <c r="A830" s="5">
        <v>42466.083333333336</v>
      </c>
      <c r="B830" s="14">
        <v>54821.908513709903</v>
      </c>
      <c r="C830" s="14">
        <v>50800.008514759298</v>
      </c>
      <c r="D830" s="6">
        <v>1303</v>
      </c>
      <c r="E830" s="1">
        <v>2016</v>
      </c>
      <c r="F830" s="1">
        <v>4</v>
      </c>
      <c r="G830" s="1" t="s">
        <v>32</v>
      </c>
      <c r="H830" s="12">
        <v>42461</v>
      </c>
      <c r="I830" s="1">
        <v>6</v>
      </c>
      <c r="J830" s="1">
        <v>4</v>
      </c>
      <c r="K830" s="1" t="s">
        <v>25</v>
      </c>
      <c r="L830" s="1" t="s">
        <v>22</v>
      </c>
      <c r="M830" s="15">
        <f t="shared" si="96"/>
        <v>42.073605919961551</v>
      </c>
      <c r="N830" s="15">
        <f t="shared" si="97"/>
        <v>38.986959719692479</v>
      </c>
      <c r="O830" s="14">
        <f t="shared" si="98"/>
        <v>4021.8999989506046</v>
      </c>
      <c r="P830" s="13">
        <f t="shared" si="99"/>
        <v>7.3363005922072289E-2</v>
      </c>
      <c r="Q830" s="15">
        <f t="shared" si="100"/>
        <v>3.0866462002690724</v>
      </c>
      <c r="R830" s="13">
        <f t="shared" si="101"/>
        <v>7.3363005922072233E-2</v>
      </c>
      <c r="S830" s="15">
        <f t="shared" si="102"/>
        <v>35.267973231772061</v>
      </c>
      <c r="T830" s="15">
        <f t="shared" si="103"/>
        <v>40.429483087038321</v>
      </c>
    </row>
    <row r="831" spans="1:20" x14ac:dyDescent="0.3">
      <c r="A831" s="5">
        <v>42467.083333333336</v>
      </c>
      <c r="B831" s="14">
        <v>155615.41941446601</v>
      </c>
      <c r="C831" s="14">
        <v>171592.12587915701</v>
      </c>
      <c r="D831" s="6">
        <v>4413</v>
      </c>
      <c r="E831" s="1">
        <v>2016</v>
      </c>
      <c r="F831" s="1">
        <v>4</v>
      </c>
      <c r="G831" s="1" t="s">
        <v>32</v>
      </c>
      <c r="H831" s="12">
        <v>42461</v>
      </c>
      <c r="I831" s="1">
        <v>7</v>
      </c>
      <c r="J831" s="1">
        <v>5</v>
      </c>
      <c r="K831" s="1" t="s">
        <v>26</v>
      </c>
      <c r="L831" s="1" t="s">
        <v>22</v>
      </c>
      <c r="M831" s="15">
        <f t="shared" si="96"/>
        <v>35.26295477327578</v>
      </c>
      <c r="N831" s="15">
        <f t="shared" si="97"/>
        <v>38.883327867472694</v>
      </c>
      <c r="O831" s="14">
        <f t="shared" si="98"/>
        <v>-15976.706464691</v>
      </c>
      <c r="P831" s="13">
        <f t="shared" si="99"/>
        <v>-0.10266788808465471</v>
      </c>
      <c r="Q831" s="15">
        <f t="shared" si="100"/>
        <v>-3.6203730941969141</v>
      </c>
      <c r="R831" s="13">
        <f t="shared" si="101"/>
        <v>-0.10266788808465459</v>
      </c>
      <c r="S831" s="15">
        <f t="shared" si="102"/>
        <v>35.267973231772061</v>
      </c>
      <c r="T831" s="15">
        <f t="shared" si="103"/>
        <v>40.325521690278869</v>
      </c>
    </row>
    <row r="832" spans="1:20" x14ac:dyDescent="0.3">
      <c r="A832" s="5">
        <v>42468.083333333336</v>
      </c>
      <c r="B832" s="14">
        <v>264086.89378034999</v>
      </c>
      <c r="C832" s="14">
        <v>291378.57980277401</v>
      </c>
      <c r="D832" s="6">
        <v>7494</v>
      </c>
      <c r="E832" s="1">
        <v>2016</v>
      </c>
      <c r="F832" s="1">
        <v>4</v>
      </c>
      <c r="G832" s="1" t="s">
        <v>32</v>
      </c>
      <c r="H832" s="12">
        <v>42461</v>
      </c>
      <c r="I832" s="1">
        <v>8</v>
      </c>
      <c r="J832" s="1">
        <v>6</v>
      </c>
      <c r="K832" s="1" t="s">
        <v>27</v>
      </c>
      <c r="L832" s="1" t="s">
        <v>22</v>
      </c>
      <c r="M832" s="15">
        <f t="shared" si="96"/>
        <v>35.239777659507602</v>
      </c>
      <c r="N832" s="15">
        <f t="shared" si="97"/>
        <v>38.88158257309501</v>
      </c>
      <c r="O832" s="14">
        <f t="shared" si="98"/>
        <v>-27291.686022424023</v>
      </c>
      <c r="P832" s="13">
        <f t="shared" si="99"/>
        <v>-0.10334358374150684</v>
      </c>
      <c r="Q832" s="15">
        <f t="shared" si="100"/>
        <v>-3.6418049135874071</v>
      </c>
      <c r="R832" s="13">
        <f t="shared" si="101"/>
        <v>-0.10334358374150687</v>
      </c>
      <c r="S832" s="15">
        <f t="shared" si="102"/>
        <v>35.267973231772061</v>
      </c>
      <c r="T832" s="15">
        <f t="shared" si="103"/>
        <v>40.100378112040488</v>
      </c>
    </row>
    <row r="833" spans="1:20" x14ac:dyDescent="0.3">
      <c r="A833" s="5">
        <v>42469.083333333336</v>
      </c>
      <c r="B833" s="14">
        <v>272761.29754268902</v>
      </c>
      <c r="C833" s="14">
        <v>298164.41609707399</v>
      </c>
      <c r="D833" s="6">
        <v>7738</v>
      </c>
      <c r="E833" s="1">
        <v>2016</v>
      </c>
      <c r="F833" s="1">
        <v>4</v>
      </c>
      <c r="G833" s="1" t="s">
        <v>32</v>
      </c>
      <c r="H833" s="12">
        <v>42461</v>
      </c>
      <c r="I833" s="1">
        <v>9</v>
      </c>
      <c r="J833" s="1">
        <v>7</v>
      </c>
      <c r="K833" s="1" t="s">
        <v>28</v>
      </c>
      <c r="L833" s="1" t="s">
        <v>22</v>
      </c>
      <c r="M833" s="15">
        <f t="shared" si="96"/>
        <v>35.249586138884595</v>
      </c>
      <c r="N833" s="15">
        <f t="shared" si="97"/>
        <v>38.532491095512277</v>
      </c>
      <c r="O833" s="14">
        <f t="shared" si="98"/>
        <v>-25403.118554384972</v>
      </c>
      <c r="P833" s="13">
        <f t="shared" si="99"/>
        <v>-9.3133148959335804E-2</v>
      </c>
      <c r="Q833" s="15">
        <f t="shared" si="100"/>
        <v>-3.2829049566276822</v>
      </c>
      <c r="R833" s="13">
        <f t="shared" si="101"/>
        <v>-9.3133148959335929E-2</v>
      </c>
      <c r="S833" s="15">
        <f t="shared" si="102"/>
        <v>35.267973231772061</v>
      </c>
      <c r="T833" s="15">
        <f t="shared" si="103"/>
        <v>39.875775146919956</v>
      </c>
    </row>
    <row r="834" spans="1:20" x14ac:dyDescent="0.3">
      <c r="A834" s="5">
        <v>42470.083333333336</v>
      </c>
      <c r="B834" s="14">
        <v>104689.427918459</v>
      </c>
      <c r="C834" s="14">
        <v>113609.30425307401</v>
      </c>
      <c r="D834" s="6">
        <v>2958</v>
      </c>
      <c r="E834" s="1">
        <v>2016</v>
      </c>
      <c r="F834" s="1">
        <v>4</v>
      </c>
      <c r="G834" s="1" t="s">
        <v>32</v>
      </c>
      <c r="H834" s="12">
        <v>42461</v>
      </c>
      <c r="I834" s="1">
        <v>10</v>
      </c>
      <c r="J834" s="1">
        <v>1</v>
      </c>
      <c r="K834" s="1" t="s">
        <v>29</v>
      </c>
      <c r="L834" s="1" t="s">
        <v>22</v>
      </c>
      <c r="M834" s="15">
        <f t="shared" si="96"/>
        <v>35.391963461277548</v>
      </c>
      <c r="N834" s="15">
        <f t="shared" si="97"/>
        <v>38.407472702188642</v>
      </c>
      <c r="O834" s="14">
        <f t="shared" si="98"/>
        <v>-8919.8763346150081</v>
      </c>
      <c r="P834" s="13">
        <f t="shared" si="99"/>
        <v>-8.5203219770792551E-2</v>
      </c>
      <c r="Q834" s="15">
        <f t="shared" si="100"/>
        <v>-3.0155092409110935</v>
      </c>
      <c r="R834" s="13">
        <f t="shared" si="101"/>
        <v>-8.5203219770792635E-2</v>
      </c>
      <c r="S834" s="15">
        <f t="shared" si="102"/>
        <v>35.267973231772061</v>
      </c>
      <c r="T834" s="15">
        <f t="shared" si="103"/>
        <v>39.653943111121215</v>
      </c>
    </row>
    <row r="835" spans="1:20" x14ac:dyDescent="0.3">
      <c r="A835" s="5">
        <v>42471.083333333336</v>
      </c>
      <c r="B835" s="14">
        <v>131170.59693377599</v>
      </c>
      <c r="C835" s="14">
        <v>142022.812593446</v>
      </c>
      <c r="D835" s="6">
        <v>3713</v>
      </c>
      <c r="E835" s="1">
        <v>2016</v>
      </c>
      <c r="F835" s="1">
        <v>4</v>
      </c>
      <c r="G835" s="1" t="s">
        <v>32</v>
      </c>
      <c r="H835" s="12">
        <v>42461</v>
      </c>
      <c r="I835" s="1">
        <v>11</v>
      </c>
      <c r="J835" s="1">
        <v>2</v>
      </c>
      <c r="K835" s="1" t="s">
        <v>21</v>
      </c>
      <c r="L835" s="1" t="s">
        <v>22</v>
      </c>
      <c r="M835" s="15">
        <f t="shared" ref="M835:M898" si="104">IFERROR(B835/D835,0)</f>
        <v>35.327389424663615</v>
      </c>
      <c r="N835" s="15">
        <f t="shared" ref="N835:N898" si="105">IFERROR(C835/D835,0)</f>
        <v>38.250151519915434</v>
      </c>
      <c r="O835" s="14">
        <f t="shared" ref="O835:O898" si="106">B835-C835</f>
        <v>-10852.215659670008</v>
      </c>
      <c r="P835" s="13">
        <f t="shared" ref="P835:P898" si="107">IFERROR(O835/B835,0)</f>
        <v>-8.2733599704123931E-2</v>
      </c>
      <c r="Q835" s="15">
        <f t="shared" ref="Q835:Q898" si="108">M835-N835</f>
        <v>-2.9227620952518194</v>
      </c>
      <c r="R835" s="13">
        <f t="shared" ref="R835:R898" si="109">IFERROR(Q835/M835,0)</f>
        <v>-8.2733599704123903E-2</v>
      </c>
      <c r="S835" s="15">
        <f t="shared" ref="S835:S898" si="110">IFERROR(SUM($B$2:$B$1001)/SUM($D$2:$D$1001),0)</f>
        <v>35.267973231772061</v>
      </c>
      <c r="T835" s="15">
        <f t="shared" ref="T835:T898" si="111">AVERAGEIFS($M$2:$M$1001,$A$2:$A$1001,"&gt;="&amp;A835-29,$A$2:$A$1001,"&lt;="&amp;A835)</f>
        <v>39.430147206369114</v>
      </c>
    </row>
    <row r="836" spans="1:20" x14ac:dyDescent="0.3">
      <c r="A836" s="5">
        <v>42472.083333333336</v>
      </c>
      <c r="B836" s="14">
        <v>123179.48940038899</v>
      </c>
      <c r="C836" s="14">
        <v>132714.9602041</v>
      </c>
      <c r="D836" s="6">
        <v>3504</v>
      </c>
      <c r="E836" s="1">
        <v>2016</v>
      </c>
      <c r="F836" s="1">
        <v>4</v>
      </c>
      <c r="G836" s="1" t="s">
        <v>32</v>
      </c>
      <c r="H836" s="12">
        <v>42461</v>
      </c>
      <c r="I836" s="1">
        <v>12</v>
      </c>
      <c r="J836" s="1">
        <v>3</v>
      </c>
      <c r="K836" s="1" t="s">
        <v>23</v>
      </c>
      <c r="L836" s="1" t="s">
        <v>22</v>
      </c>
      <c r="M836" s="15">
        <f t="shared" si="104"/>
        <v>35.153963869974028</v>
      </c>
      <c r="N836" s="15">
        <f t="shared" si="105"/>
        <v>37.875274030850456</v>
      </c>
      <c r="O836" s="14">
        <f t="shared" si="106"/>
        <v>-9535.4708037110104</v>
      </c>
      <c r="P836" s="13">
        <f t="shared" si="107"/>
        <v>-7.7411189558648216E-2</v>
      </c>
      <c r="Q836" s="15">
        <f t="shared" si="108"/>
        <v>-2.7213101608764276</v>
      </c>
      <c r="R836" s="13">
        <f t="shared" si="109"/>
        <v>-7.7411189558648147E-2</v>
      </c>
      <c r="S836" s="15">
        <f t="shared" si="110"/>
        <v>35.267973231772061</v>
      </c>
      <c r="T836" s="15">
        <f t="shared" si="111"/>
        <v>39.199319030175324</v>
      </c>
    </row>
    <row r="837" spans="1:20" x14ac:dyDescent="0.3">
      <c r="A837" s="5">
        <v>42473.083333333336</v>
      </c>
      <c r="B837" s="14">
        <v>124431.04637168899</v>
      </c>
      <c r="C837" s="14">
        <v>132889.05689693699</v>
      </c>
      <c r="D837" s="6">
        <v>3534</v>
      </c>
      <c r="E837" s="1">
        <v>2016</v>
      </c>
      <c r="F837" s="1">
        <v>4</v>
      </c>
      <c r="G837" s="1" t="s">
        <v>32</v>
      </c>
      <c r="H837" s="12">
        <v>42461</v>
      </c>
      <c r="I837" s="1">
        <v>13</v>
      </c>
      <c r="J837" s="1">
        <v>4</v>
      </c>
      <c r="K837" s="1" t="s">
        <v>25</v>
      </c>
      <c r="L837" s="1" t="s">
        <v>22</v>
      </c>
      <c r="M837" s="15">
        <f t="shared" si="104"/>
        <v>35.209690540941992</v>
      </c>
      <c r="N837" s="15">
        <f t="shared" si="105"/>
        <v>37.603015533938027</v>
      </c>
      <c r="O837" s="14">
        <f t="shared" si="106"/>
        <v>-8458.0105252479989</v>
      </c>
      <c r="P837" s="13">
        <f t="shared" si="107"/>
        <v>-6.797347424036769E-2</v>
      </c>
      <c r="Q837" s="15">
        <f t="shared" si="108"/>
        <v>-2.3933249929960354</v>
      </c>
      <c r="R837" s="13">
        <f t="shared" si="109"/>
        <v>-6.7973474240367607E-2</v>
      </c>
      <c r="S837" s="15">
        <f t="shared" si="110"/>
        <v>35.267973231772061</v>
      </c>
      <c r="T837" s="15">
        <f t="shared" si="111"/>
        <v>38.970967500605418</v>
      </c>
    </row>
    <row r="838" spans="1:20" x14ac:dyDescent="0.3">
      <c r="A838" s="5">
        <v>42474.083333333336</v>
      </c>
      <c r="B838" s="14">
        <v>162166.835990875</v>
      </c>
      <c r="C838" s="14">
        <v>172225.65270563899</v>
      </c>
      <c r="D838" s="6">
        <v>4601</v>
      </c>
      <c r="E838" s="1">
        <v>2016</v>
      </c>
      <c r="F838" s="1">
        <v>4</v>
      </c>
      <c r="G838" s="1" t="s">
        <v>32</v>
      </c>
      <c r="H838" s="12">
        <v>42461</v>
      </c>
      <c r="I838" s="1">
        <v>14</v>
      </c>
      <c r="J838" s="1">
        <v>5</v>
      </c>
      <c r="K838" s="1" t="s">
        <v>26</v>
      </c>
      <c r="L838" s="1" t="s">
        <v>22</v>
      </c>
      <c r="M838" s="15">
        <f t="shared" si="104"/>
        <v>35.245997824576179</v>
      </c>
      <c r="N838" s="15">
        <f t="shared" si="105"/>
        <v>37.432221844303193</v>
      </c>
      <c r="O838" s="14">
        <f t="shared" si="106"/>
        <v>-10058.816714763991</v>
      </c>
      <c r="P838" s="13">
        <f t="shared" si="107"/>
        <v>-6.2027581985566967E-2</v>
      </c>
      <c r="Q838" s="15">
        <f t="shared" si="108"/>
        <v>-2.186224019727014</v>
      </c>
      <c r="R838" s="13">
        <f t="shared" si="109"/>
        <v>-6.2027581985566967E-2</v>
      </c>
      <c r="S838" s="15">
        <f t="shared" si="110"/>
        <v>35.267973231772061</v>
      </c>
      <c r="T838" s="15">
        <f t="shared" si="111"/>
        <v>38.744588318045821</v>
      </c>
    </row>
    <row r="839" spans="1:20" x14ac:dyDescent="0.3">
      <c r="A839" s="5">
        <v>42475.083333333336</v>
      </c>
      <c r="B839" s="14">
        <v>354042.023239829</v>
      </c>
      <c r="C839" s="14">
        <v>373200.30598406302</v>
      </c>
      <c r="D839" s="6">
        <v>10045</v>
      </c>
      <c r="E839" s="1">
        <v>2016</v>
      </c>
      <c r="F839" s="1">
        <v>4</v>
      </c>
      <c r="G839" s="1" t="s">
        <v>32</v>
      </c>
      <c r="H839" s="12">
        <v>42461</v>
      </c>
      <c r="I839" s="1">
        <v>15</v>
      </c>
      <c r="J839" s="1">
        <v>6</v>
      </c>
      <c r="K839" s="1" t="s">
        <v>27</v>
      </c>
      <c r="L839" s="1" t="s">
        <v>22</v>
      </c>
      <c r="M839" s="15">
        <f t="shared" si="104"/>
        <v>35.245597136866998</v>
      </c>
      <c r="N839" s="15">
        <f t="shared" si="105"/>
        <v>37.152842805780288</v>
      </c>
      <c r="O839" s="14">
        <f t="shared" si="106"/>
        <v>-19158.28274423402</v>
      </c>
      <c r="P839" s="13">
        <f t="shared" si="107"/>
        <v>-5.4113019039144256E-2</v>
      </c>
      <c r="Q839" s="15">
        <f t="shared" si="108"/>
        <v>-1.9072456689132906</v>
      </c>
      <c r="R839" s="13">
        <f t="shared" si="109"/>
        <v>-5.4113019039144214E-2</v>
      </c>
      <c r="S839" s="15">
        <f t="shared" si="110"/>
        <v>35.267973231772061</v>
      </c>
      <c r="T839" s="15">
        <f t="shared" si="111"/>
        <v>38.518796181217212</v>
      </c>
    </row>
    <row r="840" spans="1:20" x14ac:dyDescent="0.3">
      <c r="A840" s="5">
        <v>42476.083333333336</v>
      </c>
      <c r="B840" s="14">
        <v>327352.26139595901</v>
      </c>
      <c r="C840" s="14">
        <v>345338.62806920602</v>
      </c>
      <c r="D840" s="6">
        <v>9301</v>
      </c>
      <c r="E840" s="1">
        <v>2016</v>
      </c>
      <c r="F840" s="1">
        <v>4</v>
      </c>
      <c r="G840" s="1" t="s">
        <v>32</v>
      </c>
      <c r="H840" s="12">
        <v>42461</v>
      </c>
      <c r="I840" s="1">
        <v>16</v>
      </c>
      <c r="J840" s="1">
        <v>7</v>
      </c>
      <c r="K840" s="1" t="s">
        <v>28</v>
      </c>
      <c r="L840" s="1" t="s">
        <v>22</v>
      </c>
      <c r="M840" s="15">
        <f t="shared" si="104"/>
        <v>35.195383442206108</v>
      </c>
      <c r="N840" s="15">
        <f t="shared" si="105"/>
        <v>37.129193427503068</v>
      </c>
      <c r="O840" s="14">
        <f t="shared" si="106"/>
        <v>-17986.366673247016</v>
      </c>
      <c r="P840" s="13">
        <f t="shared" si="107"/>
        <v>-5.4944989830056655E-2</v>
      </c>
      <c r="Q840" s="15">
        <f t="shared" si="108"/>
        <v>-1.9338099852969606</v>
      </c>
      <c r="R840" s="13">
        <f t="shared" si="109"/>
        <v>-5.4944989830056704E-2</v>
      </c>
      <c r="S840" s="15">
        <f t="shared" si="110"/>
        <v>35.267973231772061</v>
      </c>
      <c r="T840" s="15">
        <f t="shared" si="111"/>
        <v>38.290567869612659</v>
      </c>
    </row>
    <row r="841" spans="1:20" x14ac:dyDescent="0.3">
      <c r="A841" s="5">
        <v>42477.083333333336</v>
      </c>
      <c r="B841" s="14">
        <v>164809.30304825399</v>
      </c>
      <c r="C841" s="14">
        <v>175167.42875983001</v>
      </c>
      <c r="D841" s="6">
        <v>4678</v>
      </c>
      <c r="E841" s="1">
        <v>2016</v>
      </c>
      <c r="F841" s="1">
        <v>4</v>
      </c>
      <c r="G841" s="1" t="s">
        <v>32</v>
      </c>
      <c r="H841" s="12">
        <v>42461</v>
      </c>
      <c r="I841" s="1">
        <v>17</v>
      </c>
      <c r="J841" s="1">
        <v>1</v>
      </c>
      <c r="K841" s="1" t="s">
        <v>29</v>
      </c>
      <c r="L841" s="1" t="s">
        <v>22</v>
      </c>
      <c r="M841" s="15">
        <f t="shared" si="104"/>
        <v>35.230718907279602</v>
      </c>
      <c r="N841" s="15">
        <f t="shared" si="105"/>
        <v>37.444939880254388</v>
      </c>
      <c r="O841" s="14">
        <f t="shared" si="106"/>
        <v>-10358.125711576024</v>
      </c>
      <c r="P841" s="13">
        <f t="shared" si="107"/>
        <v>-6.2849156691981767E-2</v>
      </c>
      <c r="Q841" s="15">
        <f t="shared" si="108"/>
        <v>-2.2142209729747862</v>
      </c>
      <c r="R841" s="13">
        <f t="shared" si="109"/>
        <v>-6.2849156691981933E-2</v>
      </c>
      <c r="S841" s="15">
        <f t="shared" si="110"/>
        <v>35.267973231772061</v>
      </c>
      <c r="T841" s="15">
        <f t="shared" si="111"/>
        <v>38.066625216237334</v>
      </c>
    </row>
    <row r="842" spans="1:20" x14ac:dyDescent="0.3">
      <c r="A842" s="5">
        <v>42478.083333333336</v>
      </c>
      <c r="B842" s="14">
        <v>151157.79430871501</v>
      </c>
      <c r="C842" s="14">
        <v>159828.76503430499</v>
      </c>
      <c r="D842" s="6">
        <v>4294</v>
      </c>
      <c r="E842" s="1">
        <v>2016</v>
      </c>
      <c r="F842" s="1">
        <v>4</v>
      </c>
      <c r="G842" s="1" t="s">
        <v>32</v>
      </c>
      <c r="H842" s="12">
        <v>42461</v>
      </c>
      <c r="I842" s="1">
        <v>18</v>
      </c>
      <c r="J842" s="1">
        <v>2</v>
      </c>
      <c r="K842" s="1" t="s">
        <v>21</v>
      </c>
      <c r="L842" s="1" t="s">
        <v>22</v>
      </c>
      <c r="M842" s="15">
        <f t="shared" si="104"/>
        <v>35.202094622430138</v>
      </c>
      <c r="N842" s="15">
        <f t="shared" si="105"/>
        <v>37.221417101608054</v>
      </c>
      <c r="O842" s="14">
        <f t="shared" si="106"/>
        <v>-8670.9707255899848</v>
      </c>
      <c r="P842" s="13">
        <f t="shared" si="107"/>
        <v>-5.7363702382961138E-2</v>
      </c>
      <c r="Q842" s="15">
        <f t="shared" si="108"/>
        <v>-2.0193224791779159</v>
      </c>
      <c r="R842" s="13">
        <f t="shared" si="109"/>
        <v>-5.736370238296104E-2</v>
      </c>
      <c r="S842" s="15">
        <f t="shared" si="110"/>
        <v>35.267973231772061</v>
      </c>
      <c r="T842" s="15">
        <f t="shared" si="111"/>
        <v>37.840188137240119</v>
      </c>
    </row>
    <row r="843" spans="1:20" x14ac:dyDescent="0.3">
      <c r="A843" s="5">
        <v>42479.083333333336</v>
      </c>
      <c r="B843" s="14">
        <v>126895.936497538</v>
      </c>
      <c r="C843" s="14">
        <v>133726.280561525</v>
      </c>
      <c r="D843" s="6">
        <v>3606</v>
      </c>
      <c r="E843" s="1">
        <v>2016</v>
      </c>
      <c r="F843" s="1">
        <v>4</v>
      </c>
      <c r="G843" s="1" t="s">
        <v>32</v>
      </c>
      <c r="H843" s="12">
        <v>42461</v>
      </c>
      <c r="I843" s="1">
        <v>19</v>
      </c>
      <c r="J843" s="1">
        <v>3</v>
      </c>
      <c r="K843" s="1" t="s">
        <v>23</v>
      </c>
      <c r="L843" s="1" t="s">
        <v>22</v>
      </c>
      <c r="M843" s="15">
        <f t="shared" si="104"/>
        <v>35.190220881180807</v>
      </c>
      <c r="N843" s="15">
        <f t="shared" si="105"/>
        <v>37.084381741964783</v>
      </c>
      <c r="O843" s="14">
        <f t="shared" si="106"/>
        <v>-6830.344063986995</v>
      </c>
      <c r="P843" s="13">
        <f t="shared" si="107"/>
        <v>-5.3826341902756793E-2</v>
      </c>
      <c r="Q843" s="15">
        <f t="shared" si="108"/>
        <v>-1.8941608607839768</v>
      </c>
      <c r="R843" s="13">
        <f t="shared" si="109"/>
        <v>-5.3826341902757001E-2</v>
      </c>
      <c r="S843" s="15">
        <f t="shared" si="110"/>
        <v>35.267973231772061</v>
      </c>
      <c r="T843" s="15">
        <f t="shared" si="111"/>
        <v>37.611207020951504</v>
      </c>
    </row>
    <row r="844" spans="1:20" x14ac:dyDescent="0.3">
      <c r="A844" s="5">
        <v>42480.083333333336</v>
      </c>
      <c r="B844" s="14">
        <v>166395.44582883999</v>
      </c>
      <c r="C844" s="14">
        <v>179020.54245850799</v>
      </c>
      <c r="D844" s="6">
        <v>4838</v>
      </c>
      <c r="E844" s="1">
        <v>2016</v>
      </c>
      <c r="F844" s="1">
        <v>4</v>
      </c>
      <c r="G844" s="1" t="s">
        <v>32</v>
      </c>
      <c r="H844" s="12">
        <v>42461</v>
      </c>
      <c r="I844" s="1">
        <v>20</v>
      </c>
      <c r="J844" s="1">
        <v>4</v>
      </c>
      <c r="K844" s="1" t="s">
        <v>25</v>
      </c>
      <c r="L844" s="1" t="s">
        <v>22</v>
      </c>
      <c r="M844" s="15">
        <f t="shared" si="104"/>
        <v>34.3934365086482</v>
      </c>
      <c r="N844" s="15">
        <f t="shared" si="105"/>
        <v>37.003005882287717</v>
      </c>
      <c r="O844" s="14">
        <f t="shared" si="106"/>
        <v>-12625.096629667998</v>
      </c>
      <c r="P844" s="13">
        <f t="shared" si="107"/>
        <v>-7.5874051520944882E-2</v>
      </c>
      <c r="Q844" s="15">
        <f t="shared" si="108"/>
        <v>-2.6095693736395162</v>
      </c>
      <c r="R844" s="13">
        <f t="shared" si="109"/>
        <v>-7.5874051520944771E-2</v>
      </c>
      <c r="S844" s="15">
        <f t="shared" si="110"/>
        <v>35.267973231772061</v>
      </c>
      <c r="T844" s="15">
        <f t="shared" si="111"/>
        <v>37.356727523343011</v>
      </c>
    </row>
    <row r="845" spans="1:20" x14ac:dyDescent="0.3">
      <c r="A845" s="5">
        <v>42481.083333333336</v>
      </c>
      <c r="B845" s="14">
        <v>167796.35478000101</v>
      </c>
      <c r="C845" s="14">
        <v>182485.09893705399</v>
      </c>
      <c r="D845" s="6">
        <v>4914</v>
      </c>
      <c r="E845" s="1">
        <v>2016</v>
      </c>
      <c r="F845" s="1">
        <v>4</v>
      </c>
      <c r="G845" s="1" t="s">
        <v>32</v>
      </c>
      <c r="H845" s="12">
        <v>42461</v>
      </c>
      <c r="I845" s="1">
        <v>21</v>
      </c>
      <c r="J845" s="1">
        <v>5</v>
      </c>
      <c r="K845" s="1" t="s">
        <v>26</v>
      </c>
      <c r="L845" s="1" t="s">
        <v>22</v>
      </c>
      <c r="M845" s="15">
        <f t="shared" si="104"/>
        <v>34.146592344322549</v>
      </c>
      <c r="N845" s="15">
        <f t="shared" si="105"/>
        <v>37.135754769445256</v>
      </c>
      <c r="O845" s="14">
        <f t="shared" si="106"/>
        <v>-14688.744157052977</v>
      </c>
      <c r="P845" s="13">
        <f t="shared" si="107"/>
        <v>-8.7539113566033624E-2</v>
      </c>
      <c r="Q845" s="15">
        <f t="shared" si="108"/>
        <v>-2.9891624251227071</v>
      </c>
      <c r="R845" s="13">
        <f t="shared" si="109"/>
        <v>-8.7539113566033652E-2</v>
      </c>
      <c r="S845" s="15">
        <f t="shared" si="110"/>
        <v>35.267973231772061</v>
      </c>
      <c r="T845" s="15">
        <f t="shared" si="111"/>
        <v>37.09834368133113</v>
      </c>
    </row>
    <row r="846" spans="1:20" x14ac:dyDescent="0.3">
      <c r="A846" s="5">
        <v>42482.083333333336</v>
      </c>
      <c r="B846" s="14">
        <v>351146.01699924399</v>
      </c>
      <c r="C846" s="14">
        <v>380098.15640387399</v>
      </c>
      <c r="D846" s="6">
        <v>10269</v>
      </c>
      <c r="E846" s="1">
        <v>2016</v>
      </c>
      <c r="F846" s="1">
        <v>4</v>
      </c>
      <c r="G846" s="1" t="s">
        <v>32</v>
      </c>
      <c r="H846" s="12">
        <v>42461</v>
      </c>
      <c r="I846" s="1">
        <v>22</v>
      </c>
      <c r="J846" s="1">
        <v>6</v>
      </c>
      <c r="K846" s="1" t="s">
        <v>27</v>
      </c>
      <c r="L846" s="1" t="s">
        <v>22</v>
      </c>
      <c r="M846" s="15">
        <f t="shared" si="104"/>
        <v>34.194762586351544</v>
      </c>
      <c r="N846" s="15">
        <f t="shared" si="105"/>
        <v>37.01413539817645</v>
      </c>
      <c r="O846" s="14">
        <f t="shared" si="106"/>
        <v>-28952.139404629997</v>
      </c>
      <c r="P846" s="13">
        <f t="shared" si="107"/>
        <v>-8.2450428035731729E-2</v>
      </c>
      <c r="Q846" s="15">
        <f t="shared" si="108"/>
        <v>-2.8193728118249055</v>
      </c>
      <c r="R846" s="13">
        <f t="shared" si="109"/>
        <v>-8.2450428035731604E-2</v>
      </c>
      <c r="S846" s="15">
        <f t="shared" si="110"/>
        <v>35.267973231772061</v>
      </c>
      <c r="T846" s="15">
        <f t="shared" si="111"/>
        <v>36.868192485850045</v>
      </c>
    </row>
    <row r="847" spans="1:20" x14ac:dyDescent="0.3">
      <c r="A847" s="5">
        <v>42483.083333333336</v>
      </c>
      <c r="B847" s="14">
        <v>420738.82175964501</v>
      </c>
      <c r="C847" s="14">
        <v>455415.34932803002</v>
      </c>
      <c r="D847" s="6">
        <v>12317</v>
      </c>
      <c r="E847" s="1">
        <v>2016</v>
      </c>
      <c r="F847" s="1">
        <v>4</v>
      </c>
      <c r="G847" s="1" t="s">
        <v>32</v>
      </c>
      <c r="H847" s="12">
        <v>42461</v>
      </c>
      <c r="I847" s="1">
        <v>23</v>
      </c>
      <c r="J847" s="1">
        <v>7</v>
      </c>
      <c r="K847" s="1" t="s">
        <v>28</v>
      </c>
      <c r="L847" s="1" t="s">
        <v>22</v>
      </c>
      <c r="M847" s="15">
        <f t="shared" si="104"/>
        <v>34.159196375712028</v>
      </c>
      <c r="N847" s="15">
        <f t="shared" si="105"/>
        <v>36.97453514070228</v>
      </c>
      <c r="O847" s="14">
        <f t="shared" si="106"/>
        <v>-34676.527568385005</v>
      </c>
      <c r="P847" s="13">
        <f t="shared" si="107"/>
        <v>-8.2418179105408593E-2</v>
      </c>
      <c r="Q847" s="15">
        <f t="shared" si="108"/>
        <v>-2.8153387649902513</v>
      </c>
      <c r="R847" s="13">
        <f t="shared" si="109"/>
        <v>-8.2418179105408398E-2</v>
      </c>
      <c r="S847" s="15">
        <f t="shared" si="110"/>
        <v>35.267973231772061</v>
      </c>
      <c r="T847" s="15">
        <f t="shared" si="111"/>
        <v>36.678864819597706</v>
      </c>
    </row>
    <row r="848" spans="1:20" x14ac:dyDescent="0.3">
      <c r="A848" s="5">
        <v>42484.083333333336</v>
      </c>
      <c r="B848" s="14">
        <v>186166.15078643899</v>
      </c>
      <c r="C848" s="14">
        <v>202391.17869529</v>
      </c>
      <c r="D848" s="6">
        <v>5453</v>
      </c>
      <c r="E848" s="1">
        <v>2016</v>
      </c>
      <c r="F848" s="1">
        <v>4</v>
      </c>
      <c r="G848" s="1" t="s">
        <v>32</v>
      </c>
      <c r="H848" s="12">
        <v>42461</v>
      </c>
      <c r="I848" s="1">
        <v>24</v>
      </c>
      <c r="J848" s="1">
        <v>1</v>
      </c>
      <c r="K848" s="1" t="s">
        <v>29</v>
      </c>
      <c r="L848" s="1" t="s">
        <v>22</v>
      </c>
      <c r="M848" s="15">
        <f t="shared" si="104"/>
        <v>34.140134015484868</v>
      </c>
      <c r="N848" s="15">
        <f t="shared" si="105"/>
        <v>37.115565504362735</v>
      </c>
      <c r="O848" s="14">
        <f t="shared" si="106"/>
        <v>-16225.027908851014</v>
      </c>
      <c r="P848" s="13">
        <f t="shared" si="107"/>
        <v>-8.7153480051610457E-2</v>
      </c>
      <c r="Q848" s="15">
        <f t="shared" si="108"/>
        <v>-2.9754314888778666</v>
      </c>
      <c r="R848" s="13">
        <f t="shared" si="109"/>
        <v>-8.7153480051610416E-2</v>
      </c>
      <c r="S848" s="15">
        <f t="shared" si="110"/>
        <v>35.267973231772061</v>
      </c>
      <c r="T848" s="15">
        <f t="shared" si="111"/>
        <v>36.471478876133709</v>
      </c>
    </row>
    <row r="849" spans="1:20" x14ac:dyDescent="0.3">
      <c r="A849" s="5">
        <v>42485.083333333336</v>
      </c>
      <c r="B849" s="14">
        <v>251449.52963919099</v>
      </c>
      <c r="C849" s="14">
        <v>273255.09853079298</v>
      </c>
      <c r="D849" s="6">
        <v>7372</v>
      </c>
      <c r="E849" s="1">
        <v>2016</v>
      </c>
      <c r="F849" s="1">
        <v>4</v>
      </c>
      <c r="G849" s="1" t="s">
        <v>32</v>
      </c>
      <c r="H849" s="12">
        <v>42461</v>
      </c>
      <c r="I849" s="1">
        <v>25</v>
      </c>
      <c r="J849" s="1">
        <v>2</v>
      </c>
      <c r="K849" s="1" t="s">
        <v>21</v>
      </c>
      <c r="L849" s="1" t="s">
        <v>22</v>
      </c>
      <c r="M849" s="15">
        <f t="shared" si="104"/>
        <v>34.108726212586951</v>
      </c>
      <c r="N849" s="15">
        <f t="shared" si="105"/>
        <v>37.066616729624656</v>
      </c>
      <c r="O849" s="14">
        <f t="shared" si="106"/>
        <v>-21805.568891601986</v>
      </c>
      <c r="P849" s="13">
        <f t="shared" si="107"/>
        <v>-8.6719465822390485E-2</v>
      </c>
      <c r="Q849" s="15">
        <f t="shared" si="108"/>
        <v>-2.9578905170377041</v>
      </c>
      <c r="R849" s="13">
        <f t="shared" si="109"/>
        <v>-8.671946582239036E-2</v>
      </c>
      <c r="S849" s="15">
        <f t="shared" si="110"/>
        <v>35.267973231772061</v>
      </c>
      <c r="T849" s="15">
        <f t="shared" si="111"/>
        <v>36.284774931914995</v>
      </c>
    </row>
    <row r="850" spans="1:20" x14ac:dyDescent="0.3">
      <c r="A850" s="5">
        <v>42486.083333333336</v>
      </c>
      <c r="B850" s="14">
        <v>280321.81074676599</v>
      </c>
      <c r="C850" s="14">
        <v>302469.83197523502</v>
      </c>
      <c r="D850" s="6">
        <v>8211</v>
      </c>
      <c r="E850" s="1">
        <v>2016</v>
      </c>
      <c r="F850" s="1">
        <v>4</v>
      </c>
      <c r="G850" s="1" t="s">
        <v>32</v>
      </c>
      <c r="H850" s="12">
        <v>42461</v>
      </c>
      <c r="I850" s="1">
        <v>26</v>
      </c>
      <c r="J850" s="1">
        <v>3</v>
      </c>
      <c r="K850" s="1" t="s">
        <v>23</v>
      </c>
      <c r="L850" s="1" t="s">
        <v>22</v>
      </c>
      <c r="M850" s="15">
        <f t="shared" si="104"/>
        <v>34.139789397974177</v>
      </c>
      <c r="N850" s="15">
        <f t="shared" si="105"/>
        <v>36.837149187094752</v>
      </c>
      <c r="O850" s="14">
        <f t="shared" si="106"/>
        <v>-22148.021228469035</v>
      </c>
      <c r="P850" s="13">
        <f t="shared" si="107"/>
        <v>-7.9009268559829871E-2</v>
      </c>
      <c r="Q850" s="15">
        <f t="shared" si="108"/>
        <v>-2.6973597891205756</v>
      </c>
      <c r="R850" s="13">
        <f t="shared" si="109"/>
        <v>-7.9009268559829912E-2</v>
      </c>
      <c r="S850" s="15">
        <f t="shared" si="110"/>
        <v>35.267973231772061</v>
      </c>
      <c r="T850" s="15">
        <f t="shared" si="111"/>
        <v>36.095804924470933</v>
      </c>
    </row>
    <row r="851" spans="1:20" x14ac:dyDescent="0.3">
      <c r="A851" s="5">
        <v>42487.083333333336</v>
      </c>
      <c r="B851" s="14">
        <v>313434.93331366498</v>
      </c>
      <c r="C851" s="14">
        <v>337931.11696619698</v>
      </c>
      <c r="D851" s="6">
        <v>9182</v>
      </c>
      <c r="E851" s="1">
        <v>2016</v>
      </c>
      <c r="F851" s="1">
        <v>4</v>
      </c>
      <c r="G851" s="1" t="s">
        <v>32</v>
      </c>
      <c r="H851" s="12">
        <v>42461</v>
      </c>
      <c r="I851" s="1">
        <v>27</v>
      </c>
      <c r="J851" s="1">
        <v>4</v>
      </c>
      <c r="K851" s="1" t="s">
        <v>25</v>
      </c>
      <c r="L851" s="1" t="s">
        <v>22</v>
      </c>
      <c r="M851" s="15">
        <f t="shared" si="104"/>
        <v>34.135801929172835</v>
      </c>
      <c r="N851" s="15">
        <f t="shared" si="105"/>
        <v>36.80365029037214</v>
      </c>
      <c r="O851" s="14">
        <f t="shared" si="106"/>
        <v>-24496.183652531996</v>
      </c>
      <c r="P851" s="13">
        <f t="shared" si="107"/>
        <v>-7.8153967694525719E-2</v>
      </c>
      <c r="Q851" s="15">
        <f t="shared" si="108"/>
        <v>-2.6678483611993045</v>
      </c>
      <c r="R851" s="13">
        <f t="shared" si="109"/>
        <v>-7.8153967694525775E-2</v>
      </c>
      <c r="S851" s="15">
        <f t="shared" si="110"/>
        <v>35.267973231772061</v>
      </c>
      <c r="T851" s="15">
        <f t="shared" si="111"/>
        <v>35.913817133078275</v>
      </c>
    </row>
    <row r="852" spans="1:20" x14ac:dyDescent="0.3">
      <c r="A852" s="5">
        <v>42488.083333333336</v>
      </c>
      <c r="B852" s="14">
        <v>257324.60308094</v>
      </c>
      <c r="C852" s="14">
        <v>276852.17994257697</v>
      </c>
      <c r="D852" s="6">
        <v>7520</v>
      </c>
      <c r="E852" s="1">
        <v>2016</v>
      </c>
      <c r="F852" s="1">
        <v>4</v>
      </c>
      <c r="G852" s="1" t="s">
        <v>32</v>
      </c>
      <c r="H852" s="12">
        <v>42461</v>
      </c>
      <c r="I852" s="1">
        <v>28</v>
      </c>
      <c r="J852" s="1">
        <v>5</v>
      </c>
      <c r="K852" s="1" t="s">
        <v>26</v>
      </c>
      <c r="L852" s="1" t="s">
        <v>22</v>
      </c>
      <c r="M852" s="15">
        <f t="shared" si="104"/>
        <v>34.218697218210103</v>
      </c>
      <c r="N852" s="15">
        <f t="shared" si="105"/>
        <v>36.815449460449067</v>
      </c>
      <c r="O852" s="14">
        <f t="shared" si="106"/>
        <v>-19527.576861636975</v>
      </c>
      <c r="P852" s="13">
        <f t="shared" si="107"/>
        <v>-7.5886940571689862E-2</v>
      </c>
      <c r="Q852" s="15">
        <f t="shared" si="108"/>
        <v>-2.5967522422389635</v>
      </c>
      <c r="R852" s="13">
        <f t="shared" si="109"/>
        <v>-7.5886940571689987E-2</v>
      </c>
      <c r="S852" s="15">
        <f t="shared" si="110"/>
        <v>35.267973231772061</v>
      </c>
      <c r="T852" s="15">
        <f t="shared" si="111"/>
        <v>35.74219885253865</v>
      </c>
    </row>
    <row r="853" spans="1:20" x14ac:dyDescent="0.3">
      <c r="A853" s="5">
        <v>42489.083333333336</v>
      </c>
      <c r="B853" s="14">
        <v>455554.33604822902</v>
      </c>
      <c r="C853" s="14">
        <v>489215.06753789599</v>
      </c>
      <c r="D853" s="6">
        <v>13321</v>
      </c>
      <c r="E853" s="1">
        <v>2016</v>
      </c>
      <c r="F853" s="1">
        <v>4</v>
      </c>
      <c r="G853" s="1" t="s">
        <v>32</v>
      </c>
      <c r="H853" s="12">
        <v>42461</v>
      </c>
      <c r="I853" s="1">
        <v>29</v>
      </c>
      <c r="J853" s="1">
        <v>6</v>
      </c>
      <c r="K853" s="1" t="s">
        <v>27</v>
      </c>
      <c r="L853" s="1" t="s">
        <v>22</v>
      </c>
      <c r="M853" s="15">
        <f t="shared" si="104"/>
        <v>34.198208546522707</v>
      </c>
      <c r="N853" s="15">
        <f t="shared" si="105"/>
        <v>36.725100783567001</v>
      </c>
      <c r="O853" s="14">
        <f t="shared" si="106"/>
        <v>-33660.73148966697</v>
      </c>
      <c r="P853" s="13">
        <f t="shared" si="107"/>
        <v>-7.3889608387139455E-2</v>
      </c>
      <c r="Q853" s="15">
        <f t="shared" si="108"/>
        <v>-2.5268922370442937</v>
      </c>
      <c r="R853" s="13">
        <f t="shared" si="109"/>
        <v>-7.3889608387139608E-2</v>
      </c>
      <c r="S853" s="15">
        <f t="shared" si="110"/>
        <v>35.267973231772061</v>
      </c>
      <c r="T853" s="15">
        <f t="shared" si="111"/>
        <v>35.654401179871762</v>
      </c>
    </row>
    <row r="854" spans="1:20" x14ac:dyDescent="0.3">
      <c r="A854" s="5">
        <v>42490.083333333336</v>
      </c>
      <c r="B854" s="14">
        <v>556865.20327505202</v>
      </c>
      <c r="C854" s="14">
        <v>598925.66788870096</v>
      </c>
      <c r="D854" s="6">
        <v>16276</v>
      </c>
      <c r="E854" s="1">
        <v>2016</v>
      </c>
      <c r="F854" s="1">
        <v>4</v>
      </c>
      <c r="G854" s="1" t="s">
        <v>32</v>
      </c>
      <c r="H854" s="12">
        <v>42461</v>
      </c>
      <c r="I854" s="1">
        <v>30</v>
      </c>
      <c r="J854" s="1">
        <v>7</v>
      </c>
      <c r="K854" s="1" t="s">
        <v>28</v>
      </c>
      <c r="L854" s="1" t="s">
        <v>22</v>
      </c>
      <c r="M854" s="15">
        <f t="shared" si="104"/>
        <v>34.21388567676653</v>
      </c>
      <c r="N854" s="15">
        <f t="shared" si="105"/>
        <v>36.798087238185119</v>
      </c>
      <c r="O854" s="14">
        <f t="shared" si="106"/>
        <v>-42060.464613648946</v>
      </c>
      <c r="P854" s="13">
        <f t="shared" si="107"/>
        <v>-7.553078261360506E-2</v>
      </c>
      <c r="Q854" s="15">
        <f t="shared" si="108"/>
        <v>-2.5842015614185883</v>
      </c>
      <c r="R854" s="13">
        <f t="shared" si="109"/>
        <v>-7.5530782613605046E-2</v>
      </c>
      <c r="S854" s="15">
        <f t="shared" si="110"/>
        <v>35.267973231772061</v>
      </c>
      <c r="T854" s="15">
        <f t="shared" si="111"/>
        <v>35.564621252768781</v>
      </c>
    </row>
    <row r="855" spans="1:20" x14ac:dyDescent="0.3">
      <c r="A855" s="5">
        <v>42491.083333333336</v>
      </c>
      <c r="B855" s="14">
        <v>354856.04492208699</v>
      </c>
      <c r="C855" s="14">
        <v>380511.15915810899</v>
      </c>
      <c r="D855" s="6">
        <v>10388</v>
      </c>
      <c r="E855" s="1">
        <v>2016</v>
      </c>
      <c r="F855" s="1">
        <v>5</v>
      </c>
      <c r="G855" s="1" t="s">
        <v>33</v>
      </c>
      <c r="H855" s="12">
        <v>42491</v>
      </c>
      <c r="I855" s="1">
        <v>1</v>
      </c>
      <c r="J855" s="1">
        <v>1</v>
      </c>
      <c r="K855" s="1" t="s">
        <v>29</v>
      </c>
      <c r="L855" s="1" t="s">
        <v>22</v>
      </c>
      <c r="M855" s="15">
        <f t="shared" si="104"/>
        <v>34.160189153069602</v>
      </c>
      <c r="N855" s="15">
        <f t="shared" si="105"/>
        <v>36.629876699856467</v>
      </c>
      <c r="O855" s="14">
        <f t="shared" si="106"/>
        <v>-25655.114236021996</v>
      </c>
      <c r="P855" s="13">
        <f t="shared" si="107"/>
        <v>-7.2297244483054787E-2</v>
      </c>
      <c r="Q855" s="15">
        <f t="shared" si="108"/>
        <v>-2.4696875467868651</v>
      </c>
      <c r="R855" s="13">
        <f t="shared" si="109"/>
        <v>-7.2297244483054662E-2</v>
      </c>
      <c r="S855" s="15">
        <f t="shared" si="110"/>
        <v>35.267973231772061</v>
      </c>
      <c r="T855" s="15">
        <f t="shared" si="111"/>
        <v>35.470087188679678</v>
      </c>
    </row>
    <row r="856" spans="1:20" x14ac:dyDescent="0.3">
      <c r="A856" s="5">
        <v>42492.083333333336</v>
      </c>
      <c r="B856" s="14">
        <v>283284.58125397097</v>
      </c>
      <c r="C856" s="14">
        <v>304997.851816896</v>
      </c>
      <c r="D856" s="6">
        <v>8298</v>
      </c>
      <c r="E856" s="1">
        <v>2016</v>
      </c>
      <c r="F856" s="1">
        <v>5</v>
      </c>
      <c r="G856" s="1" t="s">
        <v>33</v>
      </c>
      <c r="H856" s="12">
        <v>42491</v>
      </c>
      <c r="I856" s="1">
        <v>2</v>
      </c>
      <c r="J856" s="1">
        <v>2</v>
      </c>
      <c r="K856" s="1" t="s">
        <v>21</v>
      </c>
      <c r="L856" s="1" t="s">
        <v>22</v>
      </c>
      <c r="M856" s="15">
        <f t="shared" si="104"/>
        <v>34.138898680883464</v>
      </c>
      <c r="N856" s="15">
        <f t="shared" si="105"/>
        <v>36.755585902253074</v>
      </c>
      <c r="O856" s="14">
        <f t="shared" si="106"/>
        <v>-21713.270562925027</v>
      </c>
      <c r="P856" s="13">
        <f t="shared" si="107"/>
        <v>-7.6648261147183983E-2</v>
      </c>
      <c r="Q856" s="15">
        <f t="shared" si="108"/>
        <v>-2.6166872213696095</v>
      </c>
      <c r="R856" s="13">
        <f t="shared" si="109"/>
        <v>-7.6648261147183955E-2</v>
      </c>
      <c r="S856" s="15">
        <f t="shared" si="110"/>
        <v>35.267973231772061</v>
      </c>
      <c r="T856" s="15">
        <f t="shared" si="111"/>
        <v>35.366806277895918</v>
      </c>
    </row>
    <row r="857" spans="1:20" x14ac:dyDescent="0.3">
      <c r="A857" s="5">
        <v>42493.083333333336</v>
      </c>
      <c r="B857" s="14">
        <v>297500.67396872601</v>
      </c>
      <c r="C857" s="14">
        <v>319786.35946856102</v>
      </c>
      <c r="D857" s="6">
        <v>8717</v>
      </c>
      <c r="E857" s="1">
        <v>2016</v>
      </c>
      <c r="F857" s="1">
        <v>5</v>
      </c>
      <c r="G857" s="1" t="s">
        <v>33</v>
      </c>
      <c r="H857" s="12">
        <v>42491</v>
      </c>
      <c r="I857" s="1">
        <v>3</v>
      </c>
      <c r="J857" s="1">
        <v>3</v>
      </c>
      <c r="K857" s="1" t="s">
        <v>23</v>
      </c>
      <c r="L857" s="1" t="s">
        <v>22</v>
      </c>
      <c r="M857" s="15">
        <f t="shared" si="104"/>
        <v>34.128791323703801</v>
      </c>
      <c r="N857" s="15">
        <f t="shared" si="105"/>
        <v>36.6853687585822</v>
      </c>
      <c r="O857" s="14">
        <f t="shared" si="106"/>
        <v>-22285.685499835003</v>
      </c>
      <c r="P857" s="13">
        <f t="shared" si="107"/>
        <v>-7.4909697522828902E-2</v>
      </c>
      <c r="Q857" s="15">
        <f t="shared" si="108"/>
        <v>-2.5565774348783989</v>
      </c>
      <c r="R857" s="13">
        <f t="shared" si="109"/>
        <v>-7.4909697522828902E-2</v>
      </c>
      <c r="S857" s="15">
        <f t="shared" si="110"/>
        <v>35.267973231772061</v>
      </c>
      <c r="T857" s="15">
        <f t="shared" si="111"/>
        <v>35.268175529580844</v>
      </c>
    </row>
    <row r="858" spans="1:20" x14ac:dyDescent="0.3">
      <c r="A858" s="5">
        <v>42494.083333333336</v>
      </c>
      <c r="B858" s="14">
        <v>285968.48778252001</v>
      </c>
      <c r="C858" s="14">
        <v>305506.99823494803</v>
      </c>
      <c r="D858" s="6">
        <v>8364</v>
      </c>
      <c r="E858" s="1">
        <v>2016</v>
      </c>
      <c r="F858" s="1">
        <v>5</v>
      </c>
      <c r="G858" s="1" t="s">
        <v>33</v>
      </c>
      <c r="H858" s="12">
        <v>42491</v>
      </c>
      <c r="I858" s="1">
        <v>4</v>
      </c>
      <c r="J858" s="1">
        <v>4</v>
      </c>
      <c r="K858" s="1" t="s">
        <v>25</v>
      </c>
      <c r="L858" s="1" t="s">
        <v>22</v>
      </c>
      <c r="M858" s="15">
        <f t="shared" si="104"/>
        <v>34.190397869741751</v>
      </c>
      <c r="N858" s="15">
        <f t="shared" si="105"/>
        <v>36.526422553197996</v>
      </c>
      <c r="O858" s="14">
        <f t="shared" si="106"/>
        <v>-19538.510452428018</v>
      </c>
      <c r="P858" s="13">
        <f t="shared" si="107"/>
        <v>-6.8323998227689753E-2</v>
      </c>
      <c r="Q858" s="15">
        <f t="shared" si="108"/>
        <v>-2.3360246834562446</v>
      </c>
      <c r="R858" s="13">
        <f t="shared" si="109"/>
        <v>-6.8323998227689808E-2</v>
      </c>
      <c r="S858" s="15">
        <f t="shared" si="110"/>
        <v>35.267973231772061</v>
      </c>
      <c r="T858" s="15">
        <f t="shared" si="111"/>
        <v>35.096066523772279</v>
      </c>
    </row>
    <row r="859" spans="1:20" x14ac:dyDescent="0.3">
      <c r="A859" s="5">
        <v>42495.083333333336</v>
      </c>
      <c r="B859" s="14">
        <v>237946.63267226401</v>
      </c>
      <c r="C859" s="14">
        <v>254527.41550552601</v>
      </c>
      <c r="D859" s="6">
        <v>6968</v>
      </c>
      <c r="E859" s="1">
        <v>2016</v>
      </c>
      <c r="F859" s="1">
        <v>5</v>
      </c>
      <c r="G859" s="1" t="s">
        <v>33</v>
      </c>
      <c r="H859" s="12">
        <v>42491</v>
      </c>
      <c r="I859" s="1">
        <v>5</v>
      </c>
      <c r="J859" s="1">
        <v>5</v>
      </c>
      <c r="K859" s="1" t="s">
        <v>26</v>
      </c>
      <c r="L859" s="1" t="s">
        <v>22</v>
      </c>
      <c r="M859" s="15">
        <f t="shared" si="104"/>
        <v>34.148483448947189</v>
      </c>
      <c r="N859" s="15">
        <f t="shared" si="105"/>
        <v>36.528044705155857</v>
      </c>
      <c r="O859" s="14">
        <f t="shared" si="106"/>
        <v>-16580.782833261997</v>
      </c>
      <c r="P859" s="13">
        <f t="shared" si="107"/>
        <v>-6.9682779903422934E-2</v>
      </c>
      <c r="Q859" s="15">
        <f t="shared" si="108"/>
        <v>-2.3795612562086674</v>
      </c>
      <c r="R859" s="13">
        <f t="shared" si="109"/>
        <v>-6.968277990342292E-2</v>
      </c>
      <c r="S859" s="15">
        <f t="shared" si="110"/>
        <v>35.267973231772061</v>
      </c>
      <c r="T859" s="15">
        <f t="shared" si="111"/>
        <v>34.901164529704154</v>
      </c>
    </row>
    <row r="860" spans="1:20" x14ac:dyDescent="0.3">
      <c r="A860" s="5">
        <v>42496.083333333336</v>
      </c>
      <c r="B860" s="14">
        <v>340851.50586486002</v>
      </c>
      <c r="C860" s="14">
        <v>364361.03286413901</v>
      </c>
      <c r="D860" s="6">
        <v>9973</v>
      </c>
      <c r="E860" s="1">
        <v>2016</v>
      </c>
      <c r="F860" s="1">
        <v>5</v>
      </c>
      <c r="G860" s="1" t="s">
        <v>33</v>
      </c>
      <c r="H860" s="12">
        <v>42491</v>
      </c>
      <c r="I860" s="1">
        <v>6</v>
      </c>
      <c r="J860" s="1">
        <v>6</v>
      </c>
      <c r="K860" s="1" t="s">
        <v>27</v>
      </c>
      <c r="L860" s="1" t="s">
        <v>22</v>
      </c>
      <c r="M860" s="15">
        <f t="shared" si="104"/>
        <v>34.177429646531635</v>
      </c>
      <c r="N860" s="15">
        <f t="shared" si="105"/>
        <v>36.534747103593602</v>
      </c>
      <c r="O860" s="14">
        <f t="shared" si="106"/>
        <v>-23509.526999278984</v>
      </c>
      <c r="P860" s="13">
        <f t="shared" si="107"/>
        <v>-6.8972929838250402E-2</v>
      </c>
      <c r="Q860" s="15">
        <f t="shared" si="108"/>
        <v>-2.357317457061967</v>
      </c>
      <c r="R860" s="13">
        <f t="shared" si="109"/>
        <v>-6.8972929838250444E-2</v>
      </c>
      <c r="S860" s="15">
        <f t="shared" si="110"/>
        <v>35.267973231772061</v>
      </c>
      <c r="T860" s="15">
        <f t="shared" si="111"/>
        <v>34.637958653923164</v>
      </c>
    </row>
    <row r="861" spans="1:20" x14ac:dyDescent="0.3">
      <c r="A861" s="5">
        <v>42497.083333333336</v>
      </c>
      <c r="B861" s="14">
        <v>388187.60143352801</v>
      </c>
      <c r="C861" s="14">
        <v>414644.62349081098</v>
      </c>
      <c r="D861" s="6">
        <v>11363</v>
      </c>
      <c r="E861" s="1">
        <v>2016</v>
      </c>
      <c r="F861" s="1">
        <v>5</v>
      </c>
      <c r="G861" s="1" t="s">
        <v>33</v>
      </c>
      <c r="H861" s="12">
        <v>42491</v>
      </c>
      <c r="I861" s="1">
        <v>7</v>
      </c>
      <c r="J861" s="1">
        <v>7</v>
      </c>
      <c r="K861" s="1" t="s">
        <v>28</v>
      </c>
      <c r="L861" s="1" t="s">
        <v>22</v>
      </c>
      <c r="M861" s="15">
        <f t="shared" si="104"/>
        <v>34.162422021783684</v>
      </c>
      <c r="N861" s="15">
        <f t="shared" si="105"/>
        <v>36.490770350330983</v>
      </c>
      <c r="O861" s="14">
        <f t="shared" si="106"/>
        <v>-26457.022057282971</v>
      </c>
      <c r="P861" s="13">
        <f t="shared" si="107"/>
        <v>-6.8155247513265529E-2</v>
      </c>
      <c r="Q861" s="15">
        <f t="shared" si="108"/>
        <v>-2.3283483285472997</v>
      </c>
      <c r="R861" s="13">
        <f t="shared" si="109"/>
        <v>-6.8155247513265516E-2</v>
      </c>
      <c r="S861" s="15">
        <f t="shared" si="110"/>
        <v>35.267973231772061</v>
      </c>
      <c r="T861" s="15">
        <f t="shared" si="111"/>
        <v>34.601274228873422</v>
      </c>
    </row>
    <row r="862" spans="1:20" x14ac:dyDescent="0.3">
      <c r="A862" s="5">
        <v>42498.083333333336</v>
      </c>
      <c r="B862" s="14">
        <v>139178.98405924501</v>
      </c>
      <c r="C862" s="14">
        <v>148731.09052730401</v>
      </c>
      <c r="D862" s="6">
        <v>4074</v>
      </c>
      <c r="E862" s="1">
        <v>2016</v>
      </c>
      <c r="F862" s="1">
        <v>5</v>
      </c>
      <c r="G862" s="1" t="s">
        <v>33</v>
      </c>
      <c r="H862" s="12">
        <v>42491</v>
      </c>
      <c r="I862" s="1">
        <v>8</v>
      </c>
      <c r="J862" s="1">
        <v>1</v>
      </c>
      <c r="K862" s="1" t="s">
        <v>29</v>
      </c>
      <c r="L862" s="1" t="s">
        <v>22</v>
      </c>
      <c r="M862" s="15">
        <f t="shared" si="104"/>
        <v>34.162735409731226</v>
      </c>
      <c r="N862" s="15">
        <f t="shared" si="105"/>
        <v>36.507385990992638</v>
      </c>
      <c r="O862" s="14">
        <f t="shared" si="106"/>
        <v>-9552.1064680590061</v>
      </c>
      <c r="P862" s="13">
        <f t="shared" si="107"/>
        <v>-6.8631816309227503E-2</v>
      </c>
      <c r="Q862" s="15">
        <f t="shared" si="108"/>
        <v>-2.344650581261412</v>
      </c>
      <c r="R862" s="13">
        <f t="shared" si="109"/>
        <v>-6.8631816309227406E-2</v>
      </c>
      <c r="S862" s="15">
        <f t="shared" si="110"/>
        <v>35.267973231772061</v>
      </c>
      <c r="T862" s="15">
        <f t="shared" si="111"/>
        <v>34.565372820547537</v>
      </c>
    </row>
    <row r="863" spans="1:20" x14ac:dyDescent="0.3">
      <c r="A863" s="5">
        <v>42499.083333333336</v>
      </c>
      <c r="B863" s="14">
        <v>66400.303047269495</v>
      </c>
      <c r="C863" s="14">
        <v>57741.738907512503</v>
      </c>
      <c r="D863" s="6">
        <v>1579</v>
      </c>
      <c r="E863" s="1">
        <v>2016</v>
      </c>
      <c r="F863" s="1">
        <v>5</v>
      </c>
      <c r="G863" s="1" t="s">
        <v>33</v>
      </c>
      <c r="H863" s="12">
        <v>42491</v>
      </c>
      <c r="I863" s="1">
        <v>9</v>
      </c>
      <c r="J863" s="1">
        <v>2</v>
      </c>
      <c r="K863" s="1" t="s">
        <v>21</v>
      </c>
      <c r="L863" s="1" t="s">
        <v>22</v>
      </c>
      <c r="M863" s="15">
        <f t="shared" si="104"/>
        <v>42.052123525819823</v>
      </c>
      <c r="N863" s="15">
        <f t="shared" si="105"/>
        <v>36.568549023123815</v>
      </c>
      <c r="O863" s="14">
        <f t="shared" si="106"/>
        <v>8658.5641397569925</v>
      </c>
      <c r="P863" s="13">
        <f t="shared" si="107"/>
        <v>0.13039946720714626</v>
      </c>
      <c r="Q863" s="15">
        <f t="shared" si="108"/>
        <v>5.4835745026960083</v>
      </c>
      <c r="R863" s="13">
        <f t="shared" si="109"/>
        <v>0.13039946720714632</v>
      </c>
      <c r="S863" s="15">
        <f t="shared" si="110"/>
        <v>35.267973231772061</v>
      </c>
      <c r="T863" s="15">
        <f t="shared" si="111"/>
        <v>34.792124066778719</v>
      </c>
    </row>
    <row r="864" spans="1:20" x14ac:dyDescent="0.3">
      <c r="A864" s="5">
        <v>42500.083333333336</v>
      </c>
      <c r="B864" s="14">
        <v>42723.524457810199</v>
      </c>
      <c r="C864" s="14">
        <v>37112.985056990299</v>
      </c>
      <c r="D864" s="6">
        <v>1016</v>
      </c>
      <c r="E864" s="1">
        <v>2016</v>
      </c>
      <c r="F864" s="1">
        <v>5</v>
      </c>
      <c r="G864" s="1" t="s">
        <v>33</v>
      </c>
      <c r="H864" s="12">
        <v>42491</v>
      </c>
      <c r="I864" s="1">
        <v>10</v>
      </c>
      <c r="J864" s="1">
        <v>3</v>
      </c>
      <c r="K864" s="1" t="s">
        <v>23</v>
      </c>
      <c r="L864" s="1" t="s">
        <v>22</v>
      </c>
      <c r="M864" s="15">
        <f t="shared" si="104"/>
        <v>42.050713049025788</v>
      </c>
      <c r="N864" s="15">
        <f t="shared" si="105"/>
        <v>36.528528599399898</v>
      </c>
      <c r="O864" s="14">
        <f t="shared" si="106"/>
        <v>5610.5394008199</v>
      </c>
      <c r="P864" s="13">
        <f t="shared" si="107"/>
        <v>0.13132201689868422</v>
      </c>
      <c r="Q864" s="15">
        <f t="shared" si="108"/>
        <v>5.5221844496258896</v>
      </c>
      <c r="R864" s="13">
        <f t="shared" si="109"/>
        <v>0.13132201689868431</v>
      </c>
      <c r="S864" s="15">
        <f t="shared" si="110"/>
        <v>35.267973231772061</v>
      </c>
      <c r="T864" s="15">
        <f t="shared" si="111"/>
        <v>35.014082386370333</v>
      </c>
    </row>
    <row r="865" spans="1:20" x14ac:dyDescent="0.3">
      <c r="A865" s="5">
        <v>42501.083333333336</v>
      </c>
      <c r="B865" s="14">
        <v>35014.399481130196</v>
      </c>
      <c r="C865" s="14">
        <v>30393.740119816499</v>
      </c>
      <c r="D865" s="6">
        <v>832</v>
      </c>
      <c r="E865" s="1">
        <v>2016</v>
      </c>
      <c r="F865" s="1">
        <v>5</v>
      </c>
      <c r="G865" s="1" t="s">
        <v>33</v>
      </c>
      <c r="H865" s="12">
        <v>42491</v>
      </c>
      <c r="I865" s="1">
        <v>11</v>
      </c>
      <c r="J865" s="1">
        <v>4</v>
      </c>
      <c r="K865" s="1" t="s">
        <v>25</v>
      </c>
      <c r="L865" s="1" t="s">
        <v>22</v>
      </c>
      <c r="M865" s="15">
        <f t="shared" si="104"/>
        <v>42.084614760973793</v>
      </c>
      <c r="N865" s="15">
        <f t="shared" si="105"/>
        <v>36.530937644010216</v>
      </c>
      <c r="O865" s="14">
        <f t="shared" si="106"/>
        <v>4620.6593613136974</v>
      </c>
      <c r="P865" s="13">
        <f t="shared" si="107"/>
        <v>0.13196454686603556</v>
      </c>
      <c r="Q865" s="15">
        <f t="shared" si="108"/>
        <v>5.553677116963577</v>
      </c>
      <c r="R865" s="13">
        <f t="shared" si="109"/>
        <v>0.13196454686603554</v>
      </c>
      <c r="S865" s="15">
        <f t="shared" si="110"/>
        <v>35.267973231772061</v>
      </c>
      <c r="T865" s="15">
        <f t="shared" si="111"/>
        <v>35.239323230914003</v>
      </c>
    </row>
    <row r="866" spans="1:20" x14ac:dyDescent="0.3">
      <c r="A866" s="5">
        <v>42502.083333333336</v>
      </c>
      <c r="B866" s="14">
        <v>27210.4066316401</v>
      </c>
      <c r="C866" s="14">
        <v>23570.159155417499</v>
      </c>
      <c r="D866" s="6">
        <v>647</v>
      </c>
      <c r="E866" s="1">
        <v>2016</v>
      </c>
      <c r="F866" s="1">
        <v>5</v>
      </c>
      <c r="G866" s="1" t="s">
        <v>33</v>
      </c>
      <c r="H866" s="12">
        <v>42491</v>
      </c>
      <c r="I866" s="1">
        <v>12</v>
      </c>
      <c r="J866" s="1">
        <v>5</v>
      </c>
      <c r="K866" s="1" t="s">
        <v>26</v>
      </c>
      <c r="L866" s="1" t="s">
        <v>22</v>
      </c>
      <c r="M866" s="15">
        <f t="shared" si="104"/>
        <v>42.056269909799227</v>
      </c>
      <c r="N866" s="15">
        <f t="shared" si="105"/>
        <v>36.429921414864758</v>
      </c>
      <c r="O866" s="14">
        <f t="shared" si="106"/>
        <v>3640.2474762226011</v>
      </c>
      <c r="P866" s="13">
        <f t="shared" si="107"/>
        <v>0.13378144345662746</v>
      </c>
      <c r="Q866" s="15">
        <f t="shared" si="108"/>
        <v>5.6263484949344686</v>
      </c>
      <c r="R866" s="13">
        <f t="shared" si="109"/>
        <v>0.13378144345662749</v>
      </c>
      <c r="S866" s="15">
        <f t="shared" si="110"/>
        <v>35.267973231772061</v>
      </c>
      <c r="T866" s="15">
        <f t="shared" si="111"/>
        <v>35.469400098908181</v>
      </c>
    </row>
    <row r="867" spans="1:20" x14ac:dyDescent="0.3">
      <c r="A867" s="5">
        <v>42503.083333333336</v>
      </c>
      <c r="B867" s="14">
        <v>79840.0882456494</v>
      </c>
      <c r="C867" s="14">
        <v>69078.714144542595</v>
      </c>
      <c r="D867" s="6">
        <v>1898</v>
      </c>
      <c r="E867" s="1">
        <v>2016</v>
      </c>
      <c r="F867" s="1">
        <v>5</v>
      </c>
      <c r="G867" s="1" t="s">
        <v>33</v>
      </c>
      <c r="H867" s="12">
        <v>42491</v>
      </c>
      <c r="I867" s="1">
        <v>13</v>
      </c>
      <c r="J867" s="1">
        <v>6</v>
      </c>
      <c r="K867" s="1" t="s">
        <v>27</v>
      </c>
      <c r="L867" s="1" t="s">
        <v>22</v>
      </c>
      <c r="M867" s="15">
        <f t="shared" si="104"/>
        <v>42.065378422365335</v>
      </c>
      <c r="N867" s="15">
        <f t="shared" si="105"/>
        <v>36.39552905402666</v>
      </c>
      <c r="O867" s="14">
        <f t="shared" si="106"/>
        <v>10761.374101106805</v>
      </c>
      <c r="P867" s="13">
        <f t="shared" si="107"/>
        <v>0.13478660078626864</v>
      </c>
      <c r="Q867" s="15">
        <f t="shared" si="108"/>
        <v>5.6698493683386744</v>
      </c>
      <c r="R867" s="13">
        <f t="shared" si="109"/>
        <v>0.13478660078626861</v>
      </c>
      <c r="S867" s="15">
        <f t="shared" si="110"/>
        <v>35.267973231772061</v>
      </c>
      <c r="T867" s="15">
        <f t="shared" si="111"/>
        <v>35.697923028288955</v>
      </c>
    </row>
    <row r="868" spans="1:20" x14ac:dyDescent="0.3">
      <c r="A868" s="5">
        <v>42504.083333333336</v>
      </c>
      <c r="B868" s="14">
        <v>82484.448292049201</v>
      </c>
      <c r="C868" s="14">
        <v>71426.011644710306</v>
      </c>
      <c r="D868" s="6">
        <v>1961</v>
      </c>
      <c r="E868" s="1">
        <v>2016</v>
      </c>
      <c r="F868" s="1">
        <v>5</v>
      </c>
      <c r="G868" s="1" t="s">
        <v>33</v>
      </c>
      <c r="H868" s="12">
        <v>42491</v>
      </c>
      <c r="I868" s="1">
        <v>14</v>
      </c>
      <c r="J868" s="1">
        <v>7</v>
      </c>
      <c r="K868" s="1" t="s">
        <v>28</v>
      </c>
      <c r="L868" s="1" t="s">
        <v>22</v>
      </c>
      <c r="M868" s="15">
        <f t="shared" si="104"/>
        <v>42.062441760351454</v>
      </c>
      <c r="N868" s="15">
        <f t="shared" si="105"/>
        <v>36.423259380270423</v>
      </c>
      <c r="O868" s="14">
        <f t="shared" si="106"/>
        <v>11058.436647338895</v>
      </c>
      <c r="P868" s="13">
        <f t="shared" si="107"/>
        <v>0.13406692869163356</v>
      </c>
      <c r="Q868" s="15">
        <f t="shared" si="108"/>
        <v>5.6391823800810315</v>
      </c>
      <c r="R868" s="13">
        <f t="shared" si="109"/>
        <v>0.13406692869163364</v>
      </c>
      <c r="S868" s="15">
        <f t="shared" si="110"/>
        <v>35.267973231772061</v>
      </c>
      <c r="T868" s="15">
        <f t="shared" si="111"/>
        <v>35.925137826148131</v>
      </c>
    </row>
    <row r="869" spans="1:20" x14ac:dyDescent="0.3">
      <c r="A869" s="5">
        <v>42505.083333333336</v>
      </c>
      <c r="B869" s="14">
        <v>51497.23733643</v>
      </c>
      <c r="C869" s="14">
        <v>44611.9396795098</v>
      </c>
      <c r="D869" s="6">
        <v>1224</v>
      </c>
      <c r="E869" s="1">
        <v>2016</v>
      </c>
      <c r="F869" s="1">
        <v>5</v>
      </c>
      <c r="G869" s="1" t="s">
        <v>33</v>
      </c>
      <c r="H869" s="12">
        <v>42491</v>
      </c>
      <c r="I869" s="1">
        <v>15</v>
      </c>
      <c r="J869" s="1">
        <v>1</v>
      </c>
      <c r="K869" s="1" t="s">
        <v>29</v>
      </c>
      <c r="L869" s="1" t="s">
        <v>22</v>
      </c>
      <c r="M869" s="15">
        <f t="shared" si="104"/>
        <v>42.072906320612745</v>
      </c>
      <c r="N869" s="15">
        <f t="shared" si="105"/>
        <v>36.447663136854409</v>
      </c>
      <c r="O869" s="14">
        <f t="shared" si="106"/>
        <v>6885.2976569202001</v>
      </c>
      <c r="P869" s="13">
        <f t="shared" si="107"/>
        <v>0.13370227245276761</v>
      </c>
      <c r="Q869" s="15">
        <f t="shared" si="108"/>
        <v>5.6252431837583359</v>
      </c>
      <c r="R869" s="13">
        <f t="shared" si="109"/>
        <v>0.13370227245276767</v>
      </c>
      <c r="S869" s="15">
        <f t="shared" si="110"/>
        <v>35.267973231772061</v>
      </c>
      <c r="T869" s="15">
        <f t="shared" si="111"/>
        <v>36.152714798939655</v>
      </c>
    </row>
    <row r="870" spans="1:20" x14ac:dyDescent="0.3">
      <c r="A870" s="5">
        <v>42506.083333333336</v>
      </c>
      <c r="B870" s="14">
        <v>42871.832866800403</v>
      </c>
      <c r="C870" s="14">
        <v>37139.308256889897</v>
      </c>
      <c r="D870" s="6">
        <v>1019</v>
      </c>
      <c r="E870" s="1">
        <v>2016</v>
      </c>
      <c r="F870" s="1">
        <v>5</v>
      </c>
      <c r="G870" s="1" t="s">
        <v>33</v>
      </c>
      <c r="H870" s="12">
        <v>42491</v>
      </c>
      <c r="I870" s="1">
        <v>16</v>
      </c>
      <c r="J870" s="1">
        <v>2</v>
      </c>
      <c r="K870" s="1" t="s">
        <v>21</v>
      </c>
      <c r="L870" s="1" t="s">
        <v>22</v>
      </c>
      <c r="M870" s="15">
        <f t="shared" si="104"/>
        <v>42.072456199019044</v>
      </c>
      <c r="N870" s="15">
        <f t="shared" si="105"/>
        <v>36.446818701560254</v>
      </c>
      <c r="O870" s="14">
        <f t="shared" si="106"/>
        <v>5732.5246099105061</v>
      </c>
      <c r="P870" s="13">
        <f t="shared" si="107"/>
        <v>0.13371307514938849</v>
      </c>
      <c r="Q870" s="15">
        <f t="shared" si="108"/>
        <v>5.6256374974587899</v>
      </c>
      <c r="R870" s="13">
        <f t="shared" si="109"/>
        <v>0.13371307514938852</v>
      </c>
      <c r="S870" s="15">
        <f t="shared" si="110"/>
        <v>35.267973231772061</v>
      </c>
      <c r="T870" s="15">
        <f t="shared" si="111"/>
        <v>36.38195055750009</v>
      </c>
    </row>
    <row r="871" spans="1:20" x14ac:dyDescent="0.3">
      <c r="A871" s="5">
        <v>42507.083333333336</v>
      </c>
      <c r="B871" s="14">
        <v>39104.639102460198</v>
      </c>
      <c r="C871" s="14">
        <v>33890.360432496302</v>
      </c>
      <c r="D871" s="6">
        <v>930</v>
      </c>
      <c r="E871" s="1">
        <v>2016</v>
      </c>
      <c r="F871" s="1">
        <v>5</v>
      </c>
      <c r="G871" s="1" t="s">
        <v>33</v>
      </c>
      <c r="H871" s="12">
        <v>42491</v>
      </c>
      <c r="I871" s="1">
        <v>17</v>
      </c>
      <c r="J871" s="1">
        <v>3</v>
      </c>
      <c r="K871" s="1" t="s">
        <v>23</v>
      </c>
      <c r="L871" s="1" t="s">
        <v>22</v>
      </c>
      <c r="M871" s="15">
        <f t="shared" si="104"/>
        <v>42.047999034903441</v>
      </c>
      <c r="N871" s="15">
        <f t="shared" si="105"/>
        <v>36.441247776877745</v>
      </c>
      <c r="O871" s="14">
        <f t="shared" si="106"/>
        <v>5214.2786699638964</v>
      </c>
      <c r="P871" s="13">
        <f t="shared" si="107"/>
        <v>0.13334169013302183</v>
      </c>
      <c r="Q871" s="15">
        <f t="shared" si="108"/>
        <v>5.606751258025696</v>
      </c>
      <c r="R871" s="13">
        <f t="shared" si="109"/>
        <v>0.13334169013302183</v>
      </c>
      <c r="S871" s="15">
        <f t="shared" si="110"/>
        <v>35.267973231772061</v>
      </c>
      <c r="T871" s="15">
        <f t="shared" si="111"/>
        <v>36.609193228420885</v>
      </c>
    </row>
    <row r="872" spans="1:20" x14ac:dyDescent="0.3">
      <c r="A872" s="5">
        <v>42508.083333333336</v>
      </c>
      <c r="B872" s="14">
        <v>34406.750005710201</v>
      </c>
      <c r="C872" s="14">
        <v>29884.330589367601</v>
      </c>
      <c r="D872" s="6">
        <v>818</v>
      </c>
      <c r="E872" s="1">
        <v>2016</v>
      </c>
      <c r="F872" s="1">
        <v>5</v>
      </c>
      <c r="G872" s="1" t="s">
        <v>33</v>
      </c>
      <c r="H872" s="12">
        <v>42491</v>
      </c>
      <c r="I872" s="1">
        <v>18</v>
      </c>
      <c r="J872" s="1">
        <v>4</v>
      </c>
      <c r="K872" s="1" t="s">
        <v>25</v>
      </c>
      <c r="L872" s="1" t="s">
        <v>22</v>
      </c>
      <c r="M872" s="15">
        <f t="shared" si="104"/>
        <v>42.062041571772859</v>
      </c>
      <c r="N872" s="15">
        <f t="shared" si="105"/>
        <v>36.533411478444499</v>
      </c>
      <c r="O872" s="14">
        <f t="shared" si="106"/>
        <v>4522.4194163426</v>
      </c>
      <c r="P872" s="13">
        <f t="shared" si="107"/>
        <v>0.13143988942844215</v>
      </c>
      <c r="Q872" s="15">
        <f t="shared" si="108"/>
        <v>5.5286300933283599</v>
      </c>
      <c r="R872" s="13">
        <f t="shared" si="109"/>
        <v>0.13143988942844212</v>
      </c>
      <c r="S872" s="15">
        <f t="shared" si="110"/>
        <v>35.267973231772061</v>
      </c>
      <c r="T872" s="15">
        <f t="shared" si="111"/>
        <v>36.837858126732307</v>
      </c>
    </row>
    <row r="873" spans="1:20" x14ac:dyDescent="0.3">
      <c r="A873" s="5">
        <v>42509.083333333336</v>
      </c>
      <c r="B873" s="14">
        <v>39403.658560350203</v>
      </c>
      <c r="C873" s="14">
        <v>34229.631915798498</v>
      </c>
      <c r="D873" s="6">
        <v>937</v>
      </c>
      <c r="E873" s="1">
        <v>2016</v>
      </c>
      <c r="F873" s="1">
        <v>5</v>
      </c>
      <c r="G873" s="1" t="s">
        <v>33</v>
      </c>
      <c r="H873" s="12">
        <v>42491</v>
      </c>
      <c r="I873" s="1">
        <v>19</v>
      </c>
      <c r="J873" s="1">
        <v>5</v>
      </c>
      <c r="K873" s="1" t="s">
        <v>26</v>
      </c>
      <c r="L873" s="1" t="s">
        <v>22</v>
      </c>
      <c r="M873" s="15">
        <f t="shared" si="104"/>
        <v>42.052997396318254</v>
      </c>
      <c r="N873" s="15">
        <f t="shared" si="105"/>
        <v>36.531090625185165</v>
      </c>
      <c r="O873" s="14">
        <f t="shared" si="106"/>
        <v>5174.0266445517045</v>
      </c>
      <c r="P873" s="13">
        <f t="shared" si="107"/>
        <v>0.13130828033714745</v>
      </c>
      <c r="Q873" s="15">
        <f t="shared" si="108"/>
        <v>5.5219067711330894</v>
      </c>
      <c r="R873" s="13">
        <f t="shared" si="109"/>
        <v>0.13130828033714745</v>
      </c>
      <c r="S873" s="15">
        <f t="shared" si="110"/>
        <v>35.267973231772061</v>
      </c>
      <c r="T873" s="15">
        <f t="shared" si="111"/>
        <v>37.066617343903559</v>
      </c>
    </row>
    <row r="874" spans="1:20" x14ac:dyDescent="0.3">
      <c r="A874" s="5">
        <v>42510.083333333336</v>
      </c>
      <c r="B874" s="14">
        <v>96830.9024237384</v>
      </c>
      <c r="C874" s="14">
        <v>83926.003498834703</v>
      </c>
      <c r="D874" s="6">
        <v>2302</v>
      </c>
      <c r="E874" s="1">
        <v>2016</v>
      </c>
      <c r="F874" s="1">
        <v>5</v>
      </c>
      <c r="G874" s="1" t="s">
        <v>33</v>
      </c>
      <c r="H874" s="12">
        <v>42491</v>
      </c>
      <c r="I874" s="1">
        <v>20</v>
      </c>
      <c r="J874" s="1">
        <v>6</v>
      </c>
      <c r="K874" s="1" t="s">
        <v>27</v>
      </c>
      <c r="L874" s="1" t="s">
        <v>22</v>
      </c>
      <c r="M874" s="15">
        <f t="shared" si="104"/>
        <v>42.063815127601387</v>
      </c>
      <c r="N874" s="15">
        <f t="shared" si="105"/>
        <v>36.457864247973376</v>
      </c>
      <c r="O874" s="14">
        <f t="shared" si="106"/>
        <v>12904.898924903697</v>
      </c>
      <c r="P874" s="13">
        <f t="shared" si="107"/>
        <v>0.1332725256285541</v>
      </c>
      <c r="Q874" s="15">
        <f t="shared" si="108"/>
        <v>5.6059508796280113</v>
      </c>
      <c r="R874" s="13">
        <f t="shared" si="109"/>
        <v>0.13327252562855396</v>
      </c>
      <c r="S874" s="15">
        <f t="shared" si="110"/>
        <v>35.267973231772061</v>
      </c>
      <c r="T874" s="15">
        <f t="shared" si="111"/>
        <v>37.322296631202001</v>
      </c>
    </row>
    <row r="875" spans="1:20" x14ac:dyDescent="0.3">
      <c r="A875" s="5">
        <v>42511.083333333336</v>
      </c>
      <c r="B875" s="14">
        <v>99380.394597328297</v>
      </c>
      <c r="C875" s="14">
        <v>86179.513387184299</v>
      </c>
      <c r="D875" s="6">
        <v>2363</v>
      </c>
      <c r="E875" s="1">
        <v>2016</v>
      </c>
      <c r="F875" s="1">
        <v>5</v>
      </c>
      <c r="G875" s="1" t="s">
        <v>33</v>
      </c>
      <c r="H875" s="12">
        <v>42491</v>
      </c>
      <c r="I875" s="1">
        <v>21</v>
      </c>
      <c r="J875" s="1">
        <v>7</v>
      </c>
      <c r="K875" s="1" t="s">
        <v>28</v>
      </c>
      <c r="L875" s="1" t="s">
        <v>22</v>
      </c>
      <c r="M875" s="15">
        <f t="shared" si="104"/>
        <v>42.056874565098731</v>
      </c>
      <c r="N875" s="15">
        <f t="shared" si="105"/>
        <v>36.470382305198605</v>
      </c>
      <c r="O875" s="14">
        <f t="shared" si="106"/>
        <v>13200.881210143998</v>
      </c>
      <c r="P875" s="13">
        <f t="shared" si="107"/>
        <v>0.13283184539195708</v>
      </c>
      <c r="Q875" s="15">
        <f t="shared" si="108"/>
        <v>5.5864922599001261</v>
      </c>
      <c r="R875" s="13">
        <f t="shared" si="109"/>
        <v>0.13283184539195705</v>
      </c>
      <c r="S875" s="15">
        <f t="shared" si="110"/>
        <v>35.267973231772061</v>
      </c>
      <c r="T875" s="15">
        <f t="shared" si="111"/>
        <v>37.585972705227867</v>
      </c>
    </row>
    <row r="876" spans="1:20" x14ac:dyDescent="0.3">
      <c r="A876" s="5">
        <v>42512.083333333336</v>
      </c>
      <c r="B876" s="14">
        <v>61656.181334069799</v>
      </c>
      <c r="C876" s="14">
        <v>53463.734557835101</v>
      </c>
      <c r="D876" s="6">
        <v>1466</v>
      </c>
      <c r="E876" s="1">
        <v>2016</v>
      </c>
      <c r="F876" s="1">
        <v>5</v>
      </c>
      <c r="G876" s="1" t="s">
        <v>33</v>
      </c>
      <c r="H876" s="12">
        <v>42491</v>
      </c>
      <c r="I876" s="1">
        <v>22</v>
      </c>
      <c r="J876" s="1">
        <v>1</v>
      </c>
      <c r="K876" s="1" t="s">
        <v>29</v>
      </c>
      <c r="L876" s="1" t="s">
        <v>22</v>
      </c>
      <c r="M876" s="15">
        <f t="shared" si="104"/>
        <v>42.057422465259073</v>
      </c>
      <c r="N876" s="15">
        <f t="shared" si="105"/>
        <v>36.469123163598297</v>
      </c>
      <c r="O876" s="14">
        <f t="shared" si="106"/>
        <v>8192.4467762346976</v>
      </c>
      <c r="P876" s="13">
        <f t="shared" si="107"/>
        <v>0.13287308099484485</v>
      </c>
      <c r="Q876" s="15">
        <f t="shared" si="108"/>
        <v>5.5882993016607756</v>
      </c>
      <c r="R876" s="13">
        <f t="shared" si="109"/>
        <v>0.13287308099484485</v>
      </c>
      <c r="S876" s="15">
        <f t="shared" si="110"/>
        <v>35.267973231772061</v>
      </c>
      <c r="T876" s="15">
        <f t="shared" si="111"/>
        <v>37.848061367858122</v>
      </c>
    </row>
    <row r="877" spans="1:20" x14ac:dyDescent="0.3">
      <c r="A877" s="5">
        <v>42513.083333333336</v>
      </c>
      <c r="B877" s="14">
        <v>69163.557365579501</v>
      </c>
      <c r="C877" s="14">
        <v>59948.438707535497</v>
      </c>
      <c r="D877" s="6">
        <v>1644</v>
      </c>
      <c r="E877" s="1">
        <v>2016</v>
      </c>
      <c r="F877" s="1">
        <v>5</v>
      </c>
      <c r="G877" s="1" t="s">
        <v>33</v>
      </c>
      <c r="H877" s="12">
        <v>42491</v>
      </c>
      <c r="I877" s="1">
        <v>23</v>
      </c>
      <c r="J877" s="1">
        <v>2</v>
      </c>
      <c r="K877" s="1" t="s">
        <v>21</v>
      </c>
      <c r="L877" s="1" t="s">
        <v>22</v>
      </c>
      <c r="M877" s="15">
        <f t="shared" si="104"/>
        <v>42.070290368357362</v>
      </c>
      <c r="N877" s="15">
        <f t="shared" si="105"/>
        <v>36.464987048379257</v>
      </c>
      <c r="O877" s="14">
        <f t="shared" si="106"/>
        <v>9215.1186580440044</v>
      </c>
      <c r="P877" s="13">
        <f t="shared" si="107"/>
        <v>0.13323662068646103</v>
      </c>
      <c r="Q877" s="15">
        <f t="shared" si="108"/>
        <v>5.6053033199781055</v>
      </c>
      <c r="R877" s="13">
        <f t="shared" si="109"/>
        <v>0.13323662068646105</v>
      </c>
      <c r="S877" s="15">
        <f t="shared" si="110"/>
        <v>35.267973231772061</v>
      </c>
      <c r="T877" s="15">
        <f t="shared" si="111"/>
        <v>38.111764500946293</v>
      </c>
    </row>
    <row r="878" spans="1:20" x14ac:dyDescent="0.3">
      <c r="A878" s="5">
        <v>42514.083333333336</v>
      </c>
      <c r="B878" s="14">
        <v>113112.86502111</v>
      </c>
      <c r="C878" s="14">
        <v>117414.69892968499</v>
      </c>
      <c r="D878" s="6">
        <v>3224</v>
      </c>
      <c r="E878" s="1">
        <v>2016</v>
      </c>
      <c r="F878" s="1">
        <v>5</v>
      </c>
      <c r="G878" s="1" t="s">
        <v>33</v>
      </c>
      <c r="H878" s="12">
        <v>42491</v>
      </c>
      <c r="I878" s="1">
        <v>24</v>
      </c>
      <c r="J878" s="1">
        <v>3</v>
      </c>
      <c r="K878" s="1" t="s">
        <v>23</v>
      </c>
      <c r="L878" s="1" t="s">
        <v>22</v>
      </c>
      <c r="M878" s="15">
        <f t="shared" si="104"/>
        <v>35.084635552453477</v>
      </c>
      <c r="N878" s="15">
        <f t="shared" si="105"/>
        <v>36.418951280919664</v>
      </c>
      <c r="O878" s="14">
        <f t="shared" si="106"/>
        <v>-4301.8339085749903</v>
      </c>
      <c r="P878" s="13">
        <f t="shared" si="107"/>
        <v>-3.8031340712412764E-2</v>
      </c>
      <c r="Q878" s="15">
        <f t="shared" si="108"/>
        <v>-1.3343157284661871</v>
      </c>
      <c r="R878" s="13">
        <f t="shared" si="109"/>
        <v>-3.803134071241273E-2</v>
      </c>
      <c r="S878" s="15">
        <f t="shared" si="110"/>
        <v>35.267973231772061</v>
      </c>
      <c r="T878" s="15">
        <f t="shared" si="111"/>
        <v>38.143247885511911</v>
      </c>
    </row>
    <row r="879" spans="1:20" x14ac:dyDescent="0.3">
      <c r="A879" s="5">
        <v>42515.083333333336</v>
      </c>
      <c r="B879" s="14">
        <v>253686.30245358599</v>
      </c>
      <c r="C879" s="14">
        <v>268974.57069396501</v>
      </c>
      <c r="D879" s="6">
        <v>7392</v>
      </c>
      <c r="E879" s="1">
        <v>2016</v>
      </c>
      <c r="F879" s="1">
        <v>5</v>
      </c>
      <c r="G879" s="1" t="s">
        <v>33</v>
      </c>
      <c r="H879" s="12">
        <v>42491</v>
      </c>
      <c r="I879" s="1">
        <v>25</v>
      </c>
      <c r="J879" s="1">
        <v>4</v>
      </c>
      <c r="K879" s="1" t="s">
        <v>25</v>
      </c>
      <c r="L879" s="1" t="s">
        <v>22</v>
      </c>
      <c r="M879" s="15">
        <f t="shared" si="104"/>
        <v>34.319034422833603</v>
      </c>
      <c r="N879" s="15">
        <f t="shared" si="105"/>
        <v>36.387252528945481</v>
      </c>
      <c r="O879" s="14">
        <f t="shared" si="106"/>
        <v>-15288.268240379024</v>
      </c>
      <c r="P879" s="13">
        <f t="shared" si="107"/>
        <v>-6.0264460842051726E-2</v>
      </c>
      <c r="Q879" s="15">
        <f t="shared" si="108"/>
        <v>-2.0682181061118783</v>
      </c>
      <c r="R879" s="13">
        <f t="shared" si="109"/>
        <v>-6.0264460842051649E-2</v>
      </c>
      <c r="S879" s="15">
        <f t="shared" si="110"/>
        <v>35.267973231772061</v>
      </c>
      <c r="T879" s="15">
        <f t="shared" si="111"/>
        <v>38.150258159186798</v>
      </c>
    </row>
    <row r="880" spans="1:20" x14ac:dyDescent="0.3">
      <c r="A880" s="5">
        <v>42516.083333333336</v>
      </c>
      <c r="B880" s="14">
        <v>210305.291944036</v>
      </c>
      <c r="C880" s="14">
        <v>223289.08457385501</v>
      </c>
      <c r="D880" s="6">
        <v>6138</v>
      </c>
      <c r="E880" s="1">
        <v>2016</v>
      </c>
      <c r="F880" s="1">
        <v>5</v>
      </c>
      <c r="G880" s="1" t="s">
        <v>33</v>
      </c>
      <c r="H880" s="12">
        <v>42491</v>
      </c>
      <c r="I880" s="1">
        <v>26</v>
      </c>
      <c r="J880" s="1">
        <v>5</v>
      </c>
      <c r="K880" s="1" t="s">
        <v>26</v>
      </c>
      <c r="L880" s="1" t="s">
        <v>22</v>
      </c>
      <c r="M880" s="15">
        <f t="shared" si="104"/>
        <v>34.262836745525576</v>
      </c>
      <c r="N880" s="15">
        <f t="shared" si="105"/>
        <v>36.378149979448523</v>
      </c>
      <c r="O880" s="14">
        <f t="shared" si="106"/>
        <v>-12983.792629819014</v>
      </c>
      <c r="P880" s="13">
        <f t="shared" si="107"/>
        <v>-6.1737831272805584E-2</v>
      </c>
      <c r="Q880" s="15">
        <f t="shared" si="108"/>
        <v>-2.1153132339229472</v>
      </c>
      <c r="R880" s="13">
        <f t="shared" si="109"/>
        <v>-6.1737831272805764E-2</v>
      </c>
      <c r="S880" s="15">
        <f t="shared" si="110"/>
        <v>35.267973231772061</v>
      </c>
      <c r="T880" s="15">
        <f t="shared" si="111"/>
        <v>38.154359737438519</v>
      </c>
    </row>
    <row r="881" spans="1:20" x14ac:dyDescent="0.3">
      <c r="A881" s="5">
        <v>42517.083333333336</v>
      </c>
      <c r="B881" s="14">
        <v>364087.42429993098</v>
      </c>
      <c r="C881" s="14">
        <v>386499.89642918698</v>
      </c>
      <c r="D881" s="6">
        <v>10624</v>
      </c>
      <c r="E881" s="1">
        <v>2016</v>
      </c>
      <c r="F881" s="1">
        <v>5</v>
      </c>
      <c r="G881" s="1" t="s">
        <v>33</v>
      </c>
      <c r="H881" s="12">
        <v>42491</v>
      </c>
      <c r="I881" s="1">
        <v>27</v>
      </c>
      <c r="J881" s="1">
        <v>6</v>
      </c>
      <c r="K881" s="1" t="s">
        <v>27</v>
      </c>
      <c r="L881" s="1" t="s">
        <v>22</v>
      </c>
      <c r="M881" s="15">
        <f t="shared" si="104"/>
        <v>34.270277136665193</v>
      </c>
      <c r="N881" s="15">
        <f t="shared" si="105"/>
        <v>36.379884829554499</v>
      </c>
      <c r="O881" s="14">
        <f t="shared" si="106"/>
        <v>-22412.472129255999</v>
      </c>
      <c r="P881" s="13">
        <f t="shared" si="107"/>
        <v>-6.1557940849923082E-2</v>
      </c>
      <c r="Q881" s="15">
        <f t="shared" si="108"/>
        <v>-2.1096076928893055</v>
      </c>
      <c r="R881" s="13">
        <f t="shared" si="109"/>
        <v>-6.1557940849923026E-2</v>
      </c>
      <c r="S881" s="15">
        <f t="shared" si="110"/>
        <v>35.267973231772061</v>
      </c>
      <c r="T881" s="15">
        <f t="shared" si="111"/>
        <v>38.158842244354929</v>
      </c>
    </row>
    <row r="882" spans="1:20" x14ac:dyDescent="0.3">
      <c r="A882" s="5">
        <v>42518.083333333336</v>
      </c>
      <c r="B882" s="14">
        <v>397480.36947452603</v>
      </c>
      <c r="C882" s="14">
        <v>421674.10186976503</v>
      </c>
      <c r="D882" s="6">
        <v>11590</v>
      </c>
      <c r="E882" s="1">
        <v>2016</v>
      </c>
      <c r="F882" s="1">
        <v>5</v>
      </c>
      <c r="G882" s="1" t="s">
        <v>33</v>
      </c>
      <c r="H882" s="12">
        <v>42491</v>
      </c>
      <c r="I882" s="1">
        <v>28</v>
      </c>
      <c r="J882" s="1">
        <v>7</v>
      </c>
      <c r="K882" s="1" t="s">
        <v>28</v>
      </c>
      <c r="L882" s="1" t="s">
        <v>22</v>
      </c>
      <c r="M882" s="15">
        <f t="shared" si="104"/>
        <v>34.295113845947029</v>
      </c>
      <c r="N882" s="15">
        <f t="shared" si="105"/>
        <v>36.382579971506907</v>
      </c>
      <c r="O882" s="14">
        <f t="shared" si="106"/>
        <v>-24193.732395239</v>
      </c>
      <c r="P882" s="13">
        <f t="shared" si="107"/>
        <v>-6.0867741537081223E-2</v>
      </c>
      <c r="Q882" s="15">
        <f t="shared" si="108"/>
        <v>-2.0874661255598781</v>
      </c>
      <c r="R882" s="13">
        <f t="shared" si="109"/>
        <v>-6.0867741537081188E-2</v>
      </c>
      <c r="S882" s="15">
        <f t="shared" si="110"/>
        <v>35.267973231772061</v>
      </c>
      <c r="T882" s="15">
        <f t="shared" si="111"/>
        <v>38.161389465279505</v>
      </c>
    </row>
    <row r="883" spans="1:20" x14ac:dyDescent="0.3">
      <c r="A883" s="5">
        <v>42519.083333333336</v>
      </c>
      <c r="B883" s="14">
        <v>204028.17675735199</v>
      </c>
      <c r="C883" s="14">
        <v>216777.315725664</v>
      </c>
      <c r="D883" s="6">
        <v>5959</v>
      </c>
      <c r="E883" s="1">
        <v>2016</v>
      </c>
      <c r="F883" s="1">
        <v>5</v>
      </c>
      <c r="G883" s="1" t="s">
        <v>33</v>
      </c>
      <c r="H883" s="12">
        <v>42491</v>
      </c>
      <c r="I883" s="1">
        <v>29</v>
      </c>
      <c r="J883" s="1">
        <v>1</v>
      </c>
      <c r="K883" s="1" t="s">
        <v>29</v>
      </c>
      <c r="L883" s="1" t="s">
        <v>22</v>
      </c>
      <c r="M883" s="15">
        <f t="shared" si="104"/>
        <v>34.238660304976001</v>
      </c>
      <c r="N883" s="15">
        <f t="shared" si="105"/>
        <v>36.378136554063431</v>
      </c>
      <c r="O883" s="14">
        <f t="shared" si="106"/>
        <v>-12749.138968312007</v>
      </c>
      <c r="P883" s="13">
        <f t="shared" si="107"/>
        <v>-6.2487148446532408E-2</v>
      </c>
      <c r="Q883" s="15">
        <f t="shared" si="108"/>
        <v>-2.1394762490874299</v>
      </c>
      <c r="R883" s="13">
        <f t="shared" si="109"/>
        <v>-6.2487148446532352E-2</v>
      </c>
      <c r="S883" s="15">
        <f t="shared" si="110"/>
        <v>35.267973231772061</v>
      </c>
      <c r="T883" s="15">
        <f t="shared" si="111"/>
        <v>38.162737857227953</v>
      </c>
    </row>
    <row r="884" spans="1:20" x14ac:dyDescent="0.3">
      <c r="A884" s="5">
        <v>42520.083333333336</v>
      </c>
      <c r="B884" s="14">
        <v>172797.93513446601</v>
      </c>
      <c r="C884" s="14">
        <v>183715.80719950801</v>
      </c>
      <c r="D884" s="6">
        <v>5048</v>
      </c>
      <c r="E884" s="1">
        <v>2016</v>
      </c>
      <c r="F884" s="1">
        <v>5</v>
      </c>
      <c r="G884" s="1" t="s">
        <v>33</v>
      </c>
      <c r="H884" s="12">
        <v>42491</v>
      </c>
      <c r="I884" s="1">
        <v>30</v>
      </c>
      <c r="J884" s="1">
        <v>2</v>
      </c>
      <c r="K884" s="1" t="s">
        <v>21</v>
      </c>
      <c r="L884" s="1" t="s">
        <v>22</v>
      </c>
      <c r="M884" s="15">
        <f t="shared" si="104"/>
        <v>34.230969717604204</v>
      </c>
      <c r="N884" s="15">
        <f t="shared" si="105"/>
        <v>36.393781140948498</v>
      </c>
      <c r="O884" s="14">
        <f t="shared" si="106"/>
        <v>-10917.872065042</v>
      </c>
      <c r="P884" s="13">
        <f t="shared" si="107"/>
        <v>-6.3182885006965214E-2</v>
      </c>
      <c r="Q884" s="15">
        <f t="shared" si="108"/>
        <v>-2.1628114233442943</v>
      </c>
      <c r="R884" s="13">
        <f t="shared" si="109"/>
        <v>-6.31828850069652E-2</v>
      </c>
      <c r="S884" s="15">
        <f t="shared" si="110"/>
        <v>35.267973231772061</v>
      </c>
      <c r="T884" s="15">
        <f t="shared" si="111"/>
        <v>38.163307325255865</v>
      </c>
    </row>
    <row r="885" spans="1:20" x14ac:dyDescent="0.3">
      <c r="A885" s="5">
        <v>42521.083333333336</v>
      </c>
      <c r="B885" s="14">
        <v>258970.65411018499</v>
      </c>
      <c r="C885" s="14">
        <v>274386.01543476997</v>
      </c>
      <c r="D885" s="6">
        <v>7542</v>
      </c>
      <c r="E885" s="1">
        <v>2016</v>
      </c>
      <c r="F885" s="1">
        <v>5</v>
      </c>
      <c r="G885" s="1" t="s">
        <v>33</v>
      </c>
      <c r="H885" s="12">
        <v>42491</v>
      </c>
      <c r="I885" s="1">
        <v>31</v>
      </c>
      <c r="J885" s="1">
        <v>3</v>
      </c>
      <c r="K885" s="1" t="s">
        <v>23</v>
      </c>
      <c r="L885" s="1" t="s">
        <v>22</v>
      </c>
      <c r="M885" s="15">
        <f t="shared" si="104"/>
        <v>34.337132605434235</v>
      </c>
      <c r="N885" s="15">
        <f t="shared" si="105"/>
        <v>36.381068076739588</v>
      </c>
      <c r="O885" s="14">
        <f t="shared" si="106"/>
        <v>-15415.361324584985</v>
      </c>
      <c r="P885" s="13">
        <f t="shared" si="107"/>
        <v>-5.9525514107193651E-2</v>
      </c>
      <c r="Q885" s="15">
        <f t="shared" si="108"/>
        <v>-2.0439354713053532</v>
      </c>
      <c r="R885" s="13">
        <f t="shared" si="109"/>
        <v>-5.952551410719361E-2</v>
      </c>
      <c r="S885" s="15">
        <f t="shared" si="110"/>
        <v>35.267973231772061</v>
      </c>
      <c r="T885" s="15">
        <f t="shared" si="111"/>
        <v>38.169205440334672</v>
      </c>
    </row>
    <row r="886" spans="1:20" x14ac:dyDescent="0.3">
      <c r="A886" s="5">
        <v>42522.083333333336</v>
      </c>
      <c r="B886" s="14">
        <v>368789.57262197102</v>
      </c>
      <c r="C886" s="14">
        <v>391923.65961429197</v>
      </c>
      <c r="D886" s="6">
        <v>10761</v>
      </c>
      <c r="E886" s="1">
        <v>2016</v>
      </c>
      <c r="F886" s="1">
        <v>6</v>
      </c>
      <c r="G886" s="1" t="s">
        <v>34</v>
      </c>
      <c r="H886" s="12">
        <v>42522</v>
      </c>
      <c r="I886" s="1">
        <v>1</v>
      </c>
      <c r="J886" s="1">
        <v>4</v>
      </c>
      <c r="K886" s="1" t="s">
        <v>25</v>
      </c>
      <c r="L886" s="1" t="s">
        <v>22</v>
      </c>
      <c r="M886" s="15">
        <f t="shared" si="104"/>
        <v>34.270938818136884</v>
      </c>
      <c r="N886" s="15">
        <f t="shared" si="105"/>
        <v>36.420747106615742</v>
      </c>
      <c r="O886" s="14">
        <f t="shared" si="106"/>
        <v>-23134.086992320954</v>
      </c>
      <c r="P886" s="13">
        <f t="shared" si="107"/>
        <v>-6.2729775215295006E-2</v>
      </c>
      <c r="Q886" s="15">
        <f t="shared" si="108"/>
        <v>-2.1498082884788587</v>
      </c>
      <c r="R886" s="13">
        <f t="shared" si="109"/>
        <v>-6.272977521529513E-2</v>
      </c>
      <c r="S886" s="15">
        <f t="shared" si="110"/>
        <v>35.267973231772061</v>
      </c>
      <c r="T886" s="15">
        <f t="shared" si="111"/>
        <v>38.173606778243126</v>
      </c>
    </row>
    <row r="887" spans="1:20" x14ac:dyDescent="0.3">
      <c r="A887" s="5">
        <v>42523.083333333336</v>
      </c>
      <c r="B887" s="14">
        <v>278071.38656924601</v>
      </c>
      <c r="C887" s="14">
        <v>295548.241640903</v>
      </c>
      <c r="D887" s="6">
        <v>8120</v>
      </c>
      <c r="E887" s="1">
        <v>2016</v>
      </c>
      <c r="F887" s="1">
        <v>6</v>
      </c>
      <c r="G887" s="1" t="s">
        <v>34</v>
      </c>
      <c r="H887" s="12">
        <v>42522</v>
      </c>
      <c r="I887" s="1">
        <v>2</v>
      </c>
      <c r="J887" s="1">
        <v>5</v>
      </c>
      <c r="K887" s="1" t="s">
        <v>26</v>
      </c>
      <c r="L887" s="1" t="s">
        <v>22</v>
      </c>
      <c r="M887" s="15">
        <f t="shared" si="104"/>
        <v>34.245244651384979</v>
      </c>
      <c r="N887" s="15">
        <f t="shared" si="105"/>
        <v>36.397566704544701</v>
      </c>
      <c r="O887" s="14">
        <f t="shared" si="106"/>
        <v>-17476.855071656988</v>
      </c>
      <c r="P887" s="13">
        <f t="shared" si="107"/>
        <v>-6.2850246072710753E-2</v>
      </c>
      <c r="Q887" s="15">
        <f t="shared" si="108"/>
        <v>-2.1523220531597218</v>
      </c>
      <c r="R887" s="13">
        <f t="shared" si="109"/>
        <v>-6.2850246072710586E-2</v>
      </c>
      <c r="S887" s="15">
        <f t="shared" si="110"/>
        <v>35.267973231772061</v>
      </c>
      <c r="T887" s="15">
        <f t="shared" si="111"/>
        <v>38.177488555832497</v>
      </c>
    </row>
    <row r="888" spans="1:20" x14ac:dyDescent="0.3">
      <c r="A888" s="5">
        <v>42524.083333333336</v>
      </c>
      <c r="B888" s="14">
        <v>373959.36203922698</v>
      </c>
      <c r="C888" s="14">
        <v>396324.17866626999</v>
      </c>
      <c r="D888" s="6">
        <v>10896</v>
      </c>
      <c r="E888" s="1">
        <v>2016</v>
      </c>
      <c r="F888" s="1">
        <v>6</v>
      </c>
      <c r="G888" s="1" t="s">
        <v>34</v>
      </c>
      <c r="H888" s="12">
        <v>42522</v>
      </c>
      <c r="I888" s="1">
        <v>3</v>
      </c>
      <c r="J888" s="1">
        <v>6</v>
      </c>
      <c r="K888" s="1" t="s">
        <v>27</v>
      </c>
      <c r="L888" s="1" t="s">
        <v>22</v>
      </c>
      <c r="M888" s="15">
        <f t="shared" si="104"/>
        <v>34.320793138695578</v>
      </c>
      <c r="N888" s="15">
        <f t="shared" si="105"/>
        <v>36.373364415039461</v>
      </c>
      <c r="O888" s="14">
        <f t="shared" si="106"/>
        <v>-22364.816627043008</v>
      </c>
      <c r="P888" s="13">
        <f t="shared" si="107"/>
        <v>-5.9805473260747033E-2</v>
      </c>
      <c r="Q888" s="15">
        <f t="shared" si="108"/>
        <v>-2.0525712763438833</v>
      </c>
      <c r="R888" s="13">
        <f t="shared" si="109"/>
        <v>-5.980547326074688E-2</v>
      </c>
      <c r="S888" s="15">
        <f t="shared" si="110"/>
        <v>35.267973231772061</v>
      </c>
      <c r="T888" s="15">
        <f t="shared" si="111"/>
        <v>38.181835064797632</v>
      </c>
    </row>
    <row r="889" spans="1:20" x14ac:dyDescent="0.3">
      <c r="A889" s="5">
        <v>42525.083333333336</v>
      </c>
      <c r="B889" s="14">
        <v>402057.25288853497</v>
      </c>
      <c r="C889" s="14">
        <v>426466.13217659103</v>
      </c>
      <c r="D889" s="6">
        <v>11726</v>
      </c>
      <c r="E889" s="1">
        <v>2016</v>
      </c>
      <c r="F889" s="1">
        <v>6</v>
      </c>
      <c r="G889" s="1" t="s">
        <v>34</v>
      </c>
      <c r="H889" s="12">
        <v>42522</v>
      </c>
      <c r="I889" s="1">
        <v>4</v>
      </c>
      <c r="J889" s="1">
        <v>7</v>
      </c>
      <c r="K889" s="1" t="s">
        <v>28</v>
      </c>
      <c r="L889" s="1" t="s">
        <v>22</v>
      </c>
      <c r="M889" s="15">
        <f t="shared" si="104"/>
        <v>34.287672939496417</v>
      </c>
      <c r="N889" s="15">
        <f t="shared" si="105"/>
        <v>36.369276153555433</v>
      </c>
      <c r="O889" s="14">
        <f t="shared" si="106"/>
        <v>-24408.87928805605</v>
      </c>
      <c r="P889" s="13">
        <f t="shared" si="107"/>
        <v>-6.0709958874496629E-2</v>
      </c>
      <c r="Q889" s="15">
        <f t="shared" si="108"/>
        <v>-2.0816032140590153</v>
      </c>
      <c r="R889" s="13">
        <f t="shared" si="109"/>
        <v>-6.0709958874496539E-2</v>
      </c>
      <c r="S889" s="15">
        <f t="shared" si="110"/>
        <v>35.267973231772061</v>
      </c>
      <c r="T889" s="15">
        <f t="shared" si="111"/>
        <v>38.186474714482607</v>
      </c>
    </row>
    <row r="890" spans="1:20" x14ac:dyDescent="0.3">
      <c r="A890" s="5">
        <v>42526.083333333336</v>
      </c>
      <c r="B890" s="14">
        <v>205719.45323581601</v>
      </c>
      <c r="C890" s="14">
        <v>218408.182073276</v>
      </c>
      <c r="D890" s="6">
        <v>6007</v>
      </c>
      <c r="E890" s="1">
        <v>2016</v>
      </c>
      <c r="F890" s="1">
        <v>6</v>
      </c>
      <c r="G890" s="1" t="s">
        <v>34</v>
      </c>
      <c r="H890" s="12">
        <v>42522</v>
      </c>
      <c r="I890" s="1">
        <v>5</v>
      </c>
      <c r="J890" s="1">
        <v>1</v>
      </c>
      <c r="K890" s="1" t="s">
        <v>29</v>
      </c>
      <c r="L890" s="1" t="s">
        <v>22</v>
      </c>
      <c r="M890" s="15">
        <f t="shared" si="104"/>
        <v>34.246621147963374</v>
      </c>
      <c r="N890" s="15">
        <f t="shared" si="105"/>
        <v>36.358944909817879</v>
      </c>
      <c r="O890" s="14">
        <f t="shared" si="106"/>
        <v>-12688.728837459988</v>
      </c>
      <c r="P890" s="13">
        <f t="shared" si="107"/>
        <v>-6.1679771348190929E-2</v>
      </c>
      <c r="Q890" s="15">
        <f t="shared" si="108"/>
        <v>-2.1123237618545048</v>
      </c>
      <c r="R890" s="13">
        <f t="shared" si="109"/>
        <v>-6.167977134819104E-2</v>
      </c>
      <c r="S890" s="15">
        <f t="shared" si="110"/>
        <v>35.267973231772061</v>
      </c>
      <c r="T890" s="15">
        <f t="shared" si="111"/>
        <v>38.188781097863661</v>
      </c>
    </row>
    <row r="891" spans="1:20" x14ac:dyDescent="0.3">
      <c r="A891" s="5">
        <v>42527.083333333336</v>
      </c>
      <c r="B891" s="14">
        <v>177626.950124486</v>
      </c>
      <c r="C891" s="14">
        <v>188629.754225902</v>
      </c>
      <c r="D891" s="6">
        <v>5185</v>
      </c>
      <c r="E891" s="1">
        <v>2016</v>
      </c>
      <c r="F891" s="1">
        <v>6</v>
      </c>
      <c r="G891" s="1" t="s">
        <v>34</v>
      </c>
      <c r="H891" s="12">
        <v>42522</v>
      </c>
      <c r="I891" s="1">
        <v>6</v>
      </c>
      <c r="J891" s="1">
        <v>2</v>
      </c>
      <c r="K891" s="1" t="s">
        <v>21</v>
      </c>
      <c r="L891" s="1" t="s">
        <v>22</v>
      </c>
      <c r="M891" s="15">
        <f t="shared" si="104"/>
        <v>34.257849590064801</v>
      </c>
      <c r="N891" s="15">
        <f t="shared" si="105"/>
        <v>36.379894739807519</v>
      </c>
      <c r="O891" s="14">
        <f t="shared" si="106"/>
        <v>-11002.804101415997</v>
      </c>
      <c r="P891" s="13">
        <f t="shared" si="107"/>
        <v>-6.1943326132126462E-2</v>
      </c>
      <c r="Q891" s="15">
        <f t="shared" si="108"/>
        <v>-2.1220451497427177</v>
      </c>
      <c r="R891" s="13">
        <f t="shared" si="109"/>
        <v>-6.1943326132126435E-2</v>
      </c>
      <c r="S891" s="15">
        <f t="shared" si="110"/>
        <v>35.267973231772061</v>
      </c>
      <c r="T891" s="15">
        <f t="shared" si="111"/>
        <v>38.191962016806357</v>
      </c>
    </row>
    <row r="892" spans="1:20" x14ac:dyDescent="0.3">
      <c r="A892" s="5">
        <v>42528.083333333336</v>
      </c>
      <c r="B892" s="14">
        <v>70441.907412239394</v>
      </c>
      <c r="C892" s="14">
        <v>60910.7484001802</v>
      </c>
      <c r="D892" s="6">
        <v>1675</v>
      </c>
      <c r="E892" s="1">
        <v>2016</v>
      </c>
      <c r="F892" s="1">
        <v>6</v>
      </c>
      <c r="G892" s="1" t="s">
        <v>34</v>
      </c>
      <c r="H892" s="12">
        <v>42522</v>
      </c>
      <c r="I892" s="1">
        <v>7</v>
      </c>
      <c r="J892" s="1">
        <v>3</v>
      </c>
      <c r="K892" s="1" t="s">
        <v>23</v>
      </c>
      <c r="L892" s="1" t="s">
        <v>22</v>
      </c>
      <c r="M892" s="15">
        <f t="shared" si="104"/>
        <v>42.054870096859339</v>
      </c>
      <c r="N892" s="15">
        <f t="shared" si="105"/>
        <v>36.364625910555347</v>
      </c>
      <c r="O892" s="14">
        <f t="shared" si="106"/>
        <v>9531.1590120591936</v>
      </c>
      <c r="P892" s="13">
        <f t="shared" si="107"/>
        <v>0.13530523749564366</v>
      </c>
      <c r="Q892" s="15">
        <f t="shared" si="108"/>
        <v>5.6902441863039925</v>
      </c>
      <c r="R892" s="13">
        <f t="shared" si="109"/>
        <v>0.13530523749564358</v>
      </c>
      <c r="S892" s="15">
        <f t="shared" si="110"/>
        <v>35.267973231772061</v>
      </c>
      <c r="T892" s="15">
        <f t="shared" si="111"/>
        <v>38.455033173043965</v>
      </c>
    </row>
    <row r="893" spans="1:20" x14ac:dyDescent="0.3">
      <c r="A893" s="5">
        <v>42529.083333333336</v>
      </c>
      <c r="B893" s="14">
        <v>162923.84958070001</v>
      </c>
      <c r="C893" s="14">
        <v>173292.681134454</v>
      </c>
      <c r="D893" s="6">
        <v>4765</v>
      </c>
      <c r="E893" s="1">
        <v>2016</v>
      </c>
      <c r="F893" s="1">
        <v>6</v>
      </c>
      <c r="G893" s="1" t="s">
        <v>34</v>
      </c>
      <c r="H893" s="12">
        <v>42522</v>
      </c>
      <c r="I893" s="1">
        <v>8</v>
      </c>
      <c r="J893" s="1">
        <v>4</v>
      </c>
      <c r="K893" s="1" t="s">
        <v>25</v>
      </c>
      <c r="L893" s="1" t="s">
        <v>22</v>
      </c>
      <c r="M893" s="15">
        <f t="shared" si="104"/>
        <v>34.191783752507874</v>
      </c>
      <c r="N893" s="15">
        <f t="shared" si="105"/>
        <v>36.367823952666107</v>
      </c>
      <c r="O893" s="14">
        <f t="shared" si="106"/>
        <v>-10368.831553753989</v>
      </c>
      <c r="P893" s="13">
        <f t="shared" si="107"/>
        <v>-6.3642195912011409E-2</v>
      </c>
      <c r="Q893" s="15">
        <f t="shared" si="108"/>
        <v>-2.1760402001582335</v>
      </c>
      <c r="R893" s="13">
        <f t="shared" si="109"/>
        <v>-6.3642195912011368E-2</v>
      </c>
      <c r="S893" s="15">
        <f t="shared" si="110"/>
        <v>35.267973231772061</v>
      </c>
      <c r="T893" s="15">
        <f t="shared" si="111"/>
        <v>38.193021847266905</v>
      </c>
    </row>
    <row r="894" spans="1:20" x14ac:dyDescent="0.3">
      <c r="A894" s="5">
        <v>42530.083333333336</v>
      </c>
      <c r="B894" s="14">
        <v>138752.527609768</v>
      </c>
      <c r="C894" s="14">
        <v>143791.47808201599</v>
      </c>
      <c r="D894" s="6">
        <v>3953</v>
      </c>
      <c r="E894" s="1">
        <v>2016</v>
      </c>
      <c r="F894" s="1">
        <v>6</v>
      </c>
      <c r="G894" s="1" t="s">
        <v>34</v>
      </c>
      <c r="H894" s="12">
        <v>42522</v>
      </c>
      <c r="I894" s="1">
        <v>9</v>
      </c>
      <c r="J894" s="1">
        <v>5</v>
      </c>
      <c r="K894" s="1" t="s">
        <v>26</v>
      </c>
      <c r="L894" s="1" t="s">
        <v>22</v>
      </c>
      <c r="M894" s="15">
        <f t="shared" si="104"/>
        <v>35.100563523847207</v>
      </c>
      <c r="N894" s="15">
        <f t="shared" si="105"/>
        <v>36.37527904933367</v>
      </c>
      <c r="O894" s="14">
        <f t="shared" si="106"/>
        <v>-5038.9504722479905</v>
      </c>
      <c r="P894" s="13">
        <f t="shared" si="107"/>
        <v>-3.6316098589711417E-2</v>
      </c>
      <c r="Q894" s="15">
        <f t="shared" si="108"/>
        <v>-1.2747155254864637</v>
      </c>
      <c r="R894" s="13">
        <f t="shared" si="109"/>
        <v>-3.6316098589711424E-2</v>
      </c>
      <c r="S894" s="15">
        <f t="shared" si="110"/>
        <v>35.267973231772061</v>
      </c>
      <c r="T894" s="15">
        <f t="shared" si="111"/>
        <v>37.961350196427617</v>
      </c>
    </row>
    <row r="895" spans="1:20" x14ac:dyDescent="0.3">
      <c r="A895" s="5">
        <v>42531.083333333336</v>
      </c>
      <c r="B895" s="14">
        <v>252458.262230489</v>
      </c>
      <c r="C895" s="14">
        <v>261502.38177856401</v>
      </c>
      <c r="D895" s="6">
        <v>7190</v>
      </c>
      <c r="E895" s="1">
        <v>2016</v>
      </c>
      <c r="F895" s="1">
        <v>6</v>
      </c>
      <c r="G895" s="1" t="s">
        <v>34</v>
      </c>
      <c r="H895" s="12">
        <v>42522</v>
      </c>
      <c r="I895" s="1">
        <v>10</v>
      </c>
      <c r="J895" s="1">
        <v>6</v>
      </c>
      <c r="K895" s="1" t="s">
        <v>27</v>
      </c>
      <c r="L895" s="1" t="s">
        <v>22</v>
      </c>
      <c r="M895" s="15">
        <f t="shared" si="104"/>
        <v>35.112414774755074</v>
      </c>
      <c r="N895" s="15">
        <f t="shared" si="105"/>
        <v>36.370289538047849</v>
      </c>
      <c r="O895" s="14">
        <f t="shared" si="106"/>
        <v>-9044.1195480750175</v>
      </c>
      <c r="P895" s="13">
        <f t="shared" si="107"/>
        <v>-3.5824216914786211E-2</v>
      </c>
      <c r="Q895" s="15">
        <f t="shared" si="108"/>
        <v>-1.2578747632927758</v>
      </c>
      <c r="R895" s="13">
        <f t="shared" si="109"/>
        <v>-3.5824216914786378E-2</v>
      </c>
      <c r="S895" s="15">
        <f t="shared" si="110"/>
        <v>35.267973231772061</v>
      </c>
      <c r="T895" s="15">
        <f t="shared" si="111"/>
        <v>37.728943530220327</v>
      </c>
    </row>
    <row r="896" spans="1:20" x14ac:dyDescent="0.3">
      <c r="A896" s="5">
        <v>42532.083333333336</v>
      </c>
      <c r="B896" s="14">
        <v>293917.85248111701</v>
      </c>
      <c r="C896" s="14">
        <v>311853.52053473599</v>
      </c>
      <c r="D896" s="6">
        <v>8577</v>
      </c>
      <c r="E896" s="1">
        <v>2016</v>
      </c>
      <c r="F896" s="1">
        <v>6</v>
      </c>
      <c r="G896" s="1" t="s">
        <v>34</v>
      </c>
      <c r="H896" s="12">
        <v>42522</v>
      </c>
      <c r="I896" s="1">
        <v>11</v>
      </c>
      <c r="J896" s="1">
        <v>7</v>
      </c>
      <c r="K896" s="1" t="s">
        <v>28</v>
      </c>
      <c r="L896" s="1" t="s">
        <v>22</v>
      </c>
      <c r="M896" s="15">
        <f t="shared" si="104"/>
        <v>34.268141830607092</v>
      </c>
      <c r="N896" s="15">
        <f t="shared" si="105"/>
        <v>36.359277198873265</v>
      </c>
      <c r="O896" s="14">
        <f t="shared" si="106"/>
        <v>-17935.668053618982</v>
      </c>
      <c r="P896" s="13">
        <f t="shared" si="107"/>
        <v>-6.1022724214315198E-2</v>
      </c>
      <c r="Q896" s="15">
        <f t="shared" si="108"/>
        <v>-2.0911353682661726</v>
      </c>
      <c r="R896" s="13">
        <f t="shared" si="109"/>
        <v>-6.1022724214315129E-2</v>
      </c>
      <c r="S896" s="15">
        <f t="shared" si="110"/>
        <v>35.267973231772061</v>
      </c>
      <c r="T896" s="15">
        <f t="shared" si="111"/>
        <v>37.46933926091392</v>
      </c>
    </row>
    <row r="897" spans="1:20" x14ac:dyDescent="0.3">
      <c r="A897" s="5">
        <v>42533.083333333336</v>
      </c>
      <c r="B897" s="14">
        <v>138350.12182847501</v>
      </c>
      <c r="C897" s="14">
        <v>143346.674606024</v>
      </c>
      <c r="D897" s="6">
        <v>3943</v>
      </c>
      <c r="E897" s="1">
        <v>2016</v>
      </c>
      <c r="F897" s="1">
        <v>6</v>
      </c>
      <c r="G897" s="1" t="s">
        <v>34</v>
      </c>
      <c r="H897" s="12">
        <v>42522</v>
      </c>
      <c r="I897" s="1">
        <v>12</v>
      </c>
      <c r="J897" s="1">
        <v>1</v>
      </c>
      <c r="K897" s="1" t="s">
        <v>29</v>
      </c>
      <c r="L897" s="1" t="s">
        <v>22</v>
      </c>
      <c r="M897" s="15">
        <f t="shared" si="104"/>
        <v>35.087527727231802</v>
      </c>
      <c r="N897" s="15">
        <f t="shared" si="105"/>
        <v>36.354723460822726</v>
      </c>
      <c r="O897" s="14">
        <f t="shared" si="106"/>
        <v>-4996.55277754899</v>
      </c>
      <c r="P897" s="13">
        <f t="shared" si="107"/>
        <v>-3.6115275588579986E-2</v>
      </c>
      <c r="Q897" s="15">
        <f t="shared" si="108"/>
        <v>-1.2671957335909241</v>
      </c>
      <c r="R897" s="13">
        <f t="shared" si="109"/>
        <v>-3.6115275588580159E-2</v>
      </c>
      <c r="S897" s="15">
        <f t="shared" si="110"/>
        <v>35.267973231772061</v>
      </c>
      <c r="T897" s="15">
        <f t="shared" si="111"/>
        <v>37.236744237742798</v>
      </c>
    </row>
    <row r="898" spans="1:20" x14ac:dyDescent="0.3">
      <c r="A898" s="5">
        <v>42534.083333333336</v>
      </c>
      <c r="B898" s="14">
        <v>130067.275564196</v>
      </c>
      <c r="C898" s="14">
        <v>134950.56648943</v>
      </c>
      <c r="D898" s="6">
        <v>3707</v>
      </c>
      <c r="E898" s="1">
        <v>2016</v>
      </c>
      <c r="F898" s="1">
        <v>6</v>
      </c>
      <c r="G898" s="1" t="s">
        <v>34</v>
      </c>
      <c r="H898" s="12">
        <v>42522</v>
      </c>
      <c r="I898" s="1">
        <v>13</v>
      </c>
      <c r="J898" s="1">
        <v>2</v>
      </c>
      <c r="K898" s="1" t="s">
        <v>21</v>
      </c>
      <c r="L898" s="1" t="s">
        <v>22</v>
      </c>
      <c r="M898" s="15">
        <f t="shared" si="104"/>
        <v>35.086937028377662</v>
      </c>
      <c r="N898" s="15">
        <f t="shared" si="105"/>
        <v>36.404253166827623</v>
      </c>
      <c r="O898" s="14">
        <f t="shared" si="106"/>
        <v>-4883.2909252340032</v>
      </c>
      <c r="P898" s="13">
        <f t="shared" si="107"/>
        <v>-3.7544346985447591E-2</v>
      </c>
      <c r="Q898" s="15">
        <f t="shared" si="108"/>
        <v>-1.3173161384499608</v>
      </c>
      <c r="R898" s="13">
        <f t="shared" si="109"/>
        <v>-3.7544346985447605E-2</v>
      </c>
      <c r="S898" s="15">
        <f t="shared" si="110"/>
        <v>35.267973231772061</v>
      </c>
      <c r="T898" s="15">
        <f t="shared" si="111"/>
        <v>37.004227413343678</v>
      </c>
    </row>
    <row r="899" spans="1:20" x14ac:dyDescent="0.3">
      <c r="A899" s="5">
        <v>42535.083333333336</v>
      </c>
      <c r="B899" s="14">
        <v>107168.661076499</v>
      </c>
      <c r="C899" s="14">
        <v>111173.158478465</v>
      </c>
      <c r="D899" s="6">
        <v>3054</v>
      </c>
      <c r="E899" s="1">
        <v>2016</v>
      </c>
      <c r="F899" s="1">
        <v>6</v>
      </c>
      <c r="G899" s="1" t="s">
        <v>34</v>
      </c>
      <c r="H899" s="12">
        <v>42522</v>
      </c>
      <c r="I899" s="1">
        <v>14</v>
      </c>
      <c r="J899" s="1">
        <v>3</v>
      </c>
      <c r="K899" s="1" t="s">
        <v>23</v>
      </c>
      <c r="L899" s="1" t="s">
        <v>22</v>
      </c>
      <c r="M899" s="15">
        <f t="shared" ref="M899:M962" si="112">IFERROR(B899/D899,0)</f>
        <v>35.091244622298298</v>
      </c>
      <c r="N899" s="15">
        <f t="shared" ref="N899:N962" si="113">IFERROR(C899/D899,0)</f>
        <v>36.402474943832679</v>
      </c>
      <c r="O899" s="14">
        <f t="shared" ref="O899:O962" si="114">B899-C899</f>
        <v>-4004.4974019660003</v>
      </c>
      <c r="P899" s="13">
        <f t="shared" ref="P899:P962" si="115">IFERROR(O899/B899,0)</f>
        <v>-3.736630990572435E-2</v>
      </c>
      <c r="Q899" s="15">
        <f t="shared" ref="Q899:Q962" si="116">M899-N899</f>
        <v>-1.3112303215343815</v>
      </c>
      <c r="R899" s="13">
        <f t="shared" ref="R899:R962" si="117">IFERROR(Q899/M899,0)</f>
        <v>-3.7366309905724357E-2</v>
      </c>
      <c r="S899" s="15">
        <f t="shared" ref="S899:S962" si="118">IFERROR(SUM($B$2:$B$1001)/SUM($D$2:$D$1001),0)</f>
        <v>35.267973231772061</v>
      </c>
      <c r="T899" s="15">
        <f t="shared" ref="T899:T962" si="119">AVERAGEIFS($M$2:$M$1001,$A$2:$A$1001,"&gt;="&amp;A899-29,$A$2:$A$1001,"&lt;="&amp;A899)</f>
        <v>36.771505356733186</v>
      </c>
    </row>
    <row r="900" spans="1:20" x14ac:dyDescent="0.3">
      <c r="A900" s="5">
        <v>42536.083333333336</v>
      </c>
      <c r="B900" s="14">
        <v>224030.55444808601</v>
      </c>
      <c r="C900" s="14">
        <v>237934.73415063301</v>
      </c>
      <c r="D900" s="6">
        <v>6541</v>
      </c>
      <c r="E900" s="1">
        <v>2016</v>
      </c>
      <c r="F900" s="1">
        <v>6</v>
      </c>
      <c r="G900" s="1" t="s">
        <v>34</v>
      </c>
      <c r="H900" s="12">
        <v>42522</v>
      </c>
      <c r="I900" s="1">
        <v>15</v>
      </c>
      <c r="J900" s="1">
        <v>4</v>
      </c>
      <c r="K900" s="1" t="s">
        <v>25</v>
      </c>
      <c r="L900" s="1" t="s">
        <v>22</v>
      </c>
      <c r="M900" s="15">
        <f t="shared" si="112"/>
        <v>34.250199426400549</v>
      </c>
      <c r="N900" s="15">
        <f t="shared" si="113"/>
        <v>36.375895757626203</v>
      </c>
      <c r="O900" s="14">
        <f t="shared" si="114"/>
        <v>-13904.179702547</v>
      </c>
      <c r="P900" s="13">
        <f t="shared" si="115"/>
        <v>-6.2063765082405215E-2</v>
      </c>
      <c r="Q900" s="15">
        <f t="shared" si="116"/>
        <v>-2.1256963312256545</v>
      </c>
      <c r="R900" s="13">
        <f t="shared" si="117"/>
        <v>-6.2063765082405242E-2</v>
      </c>
      <c r="S900" s="15">
        <f t="shared" si="118"/>
        <v>35.267973231772061</v>
      </c>
      <c r="T900" s="15">
        <f t="shared" si="119"/>
        <v>36.510763464312575</v>
      </c>
    </row>
    <row r="901" spans="1:20" x14ac:dyDescent="0.3">
      <c r="A901" s="5">
        <v>42537.083333333336</v>
      </c>
      <c r="B901" s="14">
        <v>201918.22207274401</v>
      </c>
      <c r="C901" s="14">
        <v>209095.569741377</v>
      </c>
      <c r="D901" s="6">
        <v>5749</v>
      </c>
      <c r="E901" s="1">
        <v>2016</v>
      </c>
      <c r="F901" s="1">
        <v>6</v>
      </c>
      <c r="G901" s="1" t="s">
        <v>34</v>
      </c>
      <c r="H901" s="12">
        <v>42522</v>
      </c>
      <c r="I901" s="1">
        <v>16</v>
      </c>
      <c r="J901" s="1">
        <v>5</v>
      </c>
      <c r="K901" s="1" t="s">
        <v>26</v>
      </c>
      <c r="L901" s="1" t="s">
        <v>22</v>
      </c>
      <c r="M901" s="15">
        <f t="shared" si="112"/>
        <v>35.122320764088364</v>
      </c>
      <c r="N901" s="15">
        <f t="shared" si="113"/>
        <v>36.370772263241783</v>
      </c>
      <c r="O901" s="14">
        <f t="shared" si="114"/>
        <v>-7177.3476686329814</v>
      </c>
      <c r="P901" s="13">
        <f t="shared" si="115"/>
        <v>-3.5545814513200477E-2</v>
      </c>
      <c r="Q901" s="15">
        <f t="shared" si="116"/>
        <v>-1.2484514991534184</v>
      </c>
      <c r="R901" s="13">
        <f t="shared" si="117"/>
        <v>-3.5545814513200581E-2</v>
      </c>
      <c r="S901" s="15">
        <f t="shared" si="118"/>
        <v>35.267973231772061</v>
      </c>
      <c r="T901" s="15">
        <f t="shared" si="119"/>
        <v>36.279907521952062</v>
      </c>
    </row>
    <row r="902" spans="1:20" x14ac:dyDescent="0.3">
      <c r="A902" s="5">
        <v>42538.083333333336</v>
      </c>
      <c r="B902" s="14">
        <v>329344.26830316102</v>
      </c>
      <c r="C902" s="14">
        <v>341253.32963499101</v>
      </c>
      <c r="D902" s="6">
        <v>9385</v>
      </c>
      <c r="E902" s="1">
        <v>2016</v>
      </c>
      <c r="F902" s="1">
        <v>6</v>
      </c>
      <c r="G902" s="1" t="s">
        <v>34</v>
      </c>
      <c r="H902" s="12">
        <v>42522</v>
      </c>
      <c r="I902" s="1">
        <v>17</v>
      </c>
      <c r="J902" s="1">
        <v>6</v>
      </c>
      <c r="K902" s="1" t="s">
        <v>27</v>
      </c>
      <c r="L902" s="1" t="s">
        <v>22</v>
      </c>
      <c r="M902" s="15">
        <f t="shared" si="112"/>
        <v>35.092623154305919</v>
      </c>
      <c r="N902" s="15">
        <f t="shared" si="113"/>
        <v>36.361569486946301</v>
      </c>
      <c r="O902" s="14">
        <f t="shared" si="114"/>
        <v>-11909.061331829987</v>
      </c>
      <c r="P902" s="13">
        <f t="shared" si="115"/>
        <v>-3.6159916773981046E-2</v>
      </c>
      <c r="Q902" s="15">
        <f t="shared" si="116"/>
        <v>-1.2689463326403825</v>
      </c>
      <c r="R902" s="13">
        <f t="shared" si="117"/>
        <v>-3.6159916773981053E-2</v>
      </c>
      <c r="S902" s="15">
        <f t="shared" si="118"/>
        <v>35.267973231772061</v>
      </c>
      <c r="T902" s="15">
        <f t="shared" si="119"/>
        <v>36.047593574703164</v>
      </c>
    </row>
    <row r="903" spans="1:20" x14ac:dyDescent="0.3">
      <c r="A903" s="5">
        <v>42539.083333333336</v>
      </c>
      <c r="B903" s="14">
        <v>308642.97722408199</v>
      </c>
      <c r="C903" s="14">
        <v>327672.04148404102</v>
      </c>
      <c r="D903" s="6">
        <v>9012</v>
      </c>
      <c r="E903" s="1">
        <v>2016</v>
      </c>
      <c r="F903" s="1">
        <v>6</v>
      </c>
      <c r="G903" s="1" t="s">
        <v>34</v>
      </c>
      <c r="H903" s="12">
        <v>42522</v>
      </c>
      <c r="I903" s="1">
        <v>18</v>
      </c>
      <c r="J903" s="1">
        <v>7</v>
      </c>
      <c r="K903" s="1" t="s">
        <v>28</v>
      </c>
      <c r="L903" s="1" t="s">
        <v>22</v>
      </c>
      <c r="M903" s="15">
        <f t="shared" si="112"/>
        <v>34.248000135828008</v>
      </c>
      <c r="N903" s="15">
        <f t="shared" si="113"/>
        <v>36.359525242348091</v>
      </c>
      <c r="O903" s="14">
        <f t="shared" si="114"/>
        <v>-19029.064259959036</v>
      </c>
      <c r="P903" s="13">
        <f t="shared" si="115"/>
        <v>-6.1653968060784652E-2</v>
      </c>
      <c r="Q903" s="15">
        <f t="shared" si="116"/>
        <v>-2.1115251065200837</v>
      </c>
      <c r="R903" s="13">
        <f t="shared" si="117"/>
        <v>-6.1653968060784513E-2</v>
      </c>
      <c r="S903" s="15">
        <f t="shared" si="118"/>
        <v>35.267973231772061</v>
      </c>
      <c r="T903" s="15">
        <f t="shared" si="119"/>
        <v>35.787426999353492</v>
      </c>
    </row>
    <row r="904" spans="1:20" x14ac:dyDescent="0.3">
      <c r="A904" s="5">
        <v>42540.083333333336</v>
      </c>
      <c r="B904" s="14">
        <v>134472.40662827599</v>
      </c>
      <c r="C904" s="14">
        <v>139385.87617680701</v>
      </c>
      <c r="D904" s="6">
        <v>3831</v>
      </c>
      <c r="E904" s="1">
        <v>2016</v>
      </c>
      <c r="F904" s="1">
        <v>6</v>
      </c>
      <c r="G904" s="1" t="s">
        <v>34</v>
      </c>
      <c r="H904" s="12">
        <v>42522</v>
      </c>
      <c r="I904" s="1">
        <v>19</v>
      </c>
      <c r="J904" s="1">
        <v>1</v>
      </c>
      <c r="K904" s="1" t="s">
        <v>29</v>
      </c>
      <c r="L904" s="1" t="s">
        <v>22</v>
      </c>
      <c r="M904" s="15">
        <f t="shared" si="112"/>
        <v>35.101124152512654</v>
      </c>
      <c r="N904" s="15">
        <f t="shared" si="113"/>
        <v>36.383679503212477</v>
      </c>
      <c r="O904" s="14">
        <f t="shared" si="114"/>
        <v>-4913.4695485310222</v>
      </c>
      <c r="P904" s="13">
        <f t="shared" si="115"/>
        <v>-3.6538868246133178E-2</v>
      </c>
      <c r="Q904" s="15">
        <f t="shared" si="116"/>
        <v>-1.2825553506998233</v>
      </c>
      <c r="R904" s="13">
        <f t="shared" si="117"/>
        <v>-3.6538868246133185E-2</v>
      </c>
      <c r="S904" s="15">
        <f t="shared" si="118"/>
        <v>35.267973231772061</v>
      </c>
      <c r="T904" s="15">
        <f t="shared" si="119"/>
        <v>35.555337300183872</v>
      </c>
    </row>
    <row r="905" spans="1:20" x14ac:dyDescent="0.3">
      <c r="A905" s="5">
        <v>42541.083333333336</v>
      </c>
      <c r="B905" s="14">
        <v>143809.720583966</v>
      </c>
      <c r="C905" s="14">
        <v>148953.910853215</v>
      </c>
      <c r="D905" s="6">
        <v>4097</v>
      </c>
      <c r="E905" s="1">
        <v>2016</v>
      </c>
      <c r="F905" s="1">
        <v>6</v>
      </c>
      <c r="G905" s="1" t="s">
        <v>34</v>
      </c>
      <c r="H905" s="12">
        <v>42522</v>
      </c>
      <c r="I905" s="1">
        <v>20</v>
      </c>
      <c r="J905" s="1">
        <v>2</v>
      </c>
      <c r="K905" s="1" t="s">
        <v>21</v>
      </c>
      <c r="L905" s="1" t="s">
        <v>22</v>
      </c>
      <c r="M905" s="15">
        <f t="shared" si="112"/>
        <v>35.101225429330242</v>
      </c>
      <c r="N905" s="15">
        <f t="shared" si="113"/>
        <v>36.356824713989504</v>
      </c>
      <c r="O905" s="14">
        <f t="shared" si="114"/>
        <v>-5144.1902692489966</v>
      </c>
      <c r="P905" s="13">
        <f t="shared" si="115"/>
        <v>-3.5770810542987357E-2</v>
      </c>
      <c r="Q905" s="15">
        <f t="shared" si="116"/>
        <v>-1.2555992846592616</v>
      </c>
      <c r="R905" s="13">
        <f t="shared" si="117"/>
        <v>-3.5770810542987343E-2</v>
      </c>
      <c r="S905" s="15">
        <f t="shared" si="118"/>
        <v>35.267973231772061</v>
      </c>
      <c r="T905" s="15">
        <f t="shared" si="119"/>
        <v>35.323482328991595</v>
      </c>
    </row>
    <row r="906" spans="1:20" x14ac:dyDescent="0.3">
      <c r="A906" s="5">
        <v>42542.083333333336</v>
      </c>
      <c r="B906" s="14">
        <v>123252.15105584799</v>
      </c>
      <c r="C906" s="14">
        <v>127533.009276503</v>
      </c>
      <c r="D906" s="6">
        <v>3509</v>
      </c>
      <c r="E906" s="1">
        <v>2016</v>
      </c>
      <c r="F906" s="1">
        <v>6</v>
      </c>
      <c r="G906" s="1" t="s">
        <v>34</v>
      </c>
      <c r="H906" s="12">
        <v>42522</v>
      </c>
      <c r="I906" s="1">
        <v>21</v>
      </c>
      <c r="J906" s="1">
        <v>3</v>
      </c>
      <c r="K906" s="1" t="s">
        <v>23</v>
      </c>
      <c r="L906" s="1" t="s">
        <v>22</v>
      </c>
      <c r="M906" s="15">
        <f t="shared" si="112"/>
        <v>35.124579953219715</v>
      </c>
      <c r="N906" s="15">
        <f t="shared" si="113"/>
        <v>36.344545248362209</v>
      </c>
      <c r="O906" s="14">
        <f t="shared" si="114"/>
        <v>-4280.8582206550054</v>
      </c>
      <c r="P906" s="13">
        <f t="shared" si="115"/>
        <v>-3.4732523400060285E-2</v>
      </c>
      <c r="Q906" s="15">
        <f t="shared" si="116"/>
        <v>-1.2199652951424937</v>
      </c>
      <c r="R906" s="13">
        <f t="shared" si="117"/>
        <v>-3.4732523400060333E-2</v>
      </c>
      <c r="S906" s="15">
        <f t="shared" si="118"/>
        <v>35.267973231772061</v>
      </c>
      <c r="T906" s="15">
        <f t="shared" si="119"/>
        <v>35.092387578590277</v>
      </c>
    </row>
    <row r="907" spans="1:20" x14ac:dyDescent="0.3">
      <c r="A907" s="5">
        <v>42543.083333333336</v>
      </c>
      <c r="B907" s="14">
        <v>40067.151211860197</v>
      </c>
      <c r="C907" s="14">
        <v>34559.084522627498</v>
      </c>
      <c r="D907" s="6">
        <v>953</v>
      </c>
      <c r="E907" s="1">
        <v>2016</v>
      </c>
      <c r="F907" s="1">
        <v>6</v>
      </c>
      <c r="G907" s="1" t="s">
        <v>34</v>
      </c>
      <c r="H907" s="12">
        <v>42522</v>
      </c>
      <c r="I907" s="1">
        <v>22</v>
      </c>
      <c r="J907" s="1">
        <v>4</v>
      </c>
      <c r="K907" s="1" t="s">
        <v>25</v>
      </c>
      <c r="L907" s="1" t="s">
        <v>22</v>
      </c>
      <c r="M907" s="15">
        <f t="shared" si="112"/>
        <v>42.04318070499496</v>
      </c>
      <c r="N907" s="15">
        <f t="shared" si="113"/>
        <v>36.263467494887195</v>
      </c>
      <c r="O907" s="14">
        <f t="shared" si="114"/>
        <v>5508.066689232699</v>
      </c>
      <c r="P907" s="13">
        <f t="shared" si="115"/>
        <v>0.13747088381971781</v>
      </c>
      <c r="Q907" s="15">
        <f t="shared" si="116"/>
        <v>5.7797132101077651</v>
      </c>
      <c r="R907" s="13">
        <f t="shared" si="117"/>
        <v>0.13747088381971784</v>
      </c>
      <c r="S907" s="15">
        <f t="shared" si="118"/>
        <v>35.267973231772061</v>
      </c>
      <c r="T907" s="15">
        <f t="shared" si="119"/>
        <v>35.091483923144864</v>
      </c>
    </row>
    <row r="908" spans="1:20" x14ac:dyDescent="0.3">
      <c r="A908" s="5">
        <v>42544.083333333336</v>
      </c>
      <c r="B908" s="14">
        <v>143752.73676064899</v>
      </c>
      <c r="C908" s="14">
        <v>155659.533743735</v>
      </c>
      <c r="D908" s="6">
        <v>4305</v>
      </c>
      <c r="E908" s="1">
        <v>2016</v>
      </c>
      <c r="F908" s="1">
        <v>6</v>
      </c>
      <c r="G908" s="1" t="s">
        <v>34</v>
      </c>
      <c r="H908" s="12">
        <v>42522</v>
      </c>
      <c r="I908" s="1">
        <v>23</v>
      </c>
      <c r="J908" s="1">
        <v>5</v>
      </c>
      <c r="K908" s="1" t="s">
        <v>26</v>
      </c>
      <c r="L908" s="1" t="s">
        <v>22</v>
      </c>
      <c r="M908" s="15">
        <f t="shared" si="112"/>
        <v>33.392041059384198</v>
      </c>
      <c r="N908" s="15">
        <f t="shared" si="113"/>
        <v>36.157847559520327</v>
      </c>
      <c r="O908" s="14">
        <f t="shared" si="114"/>
        <v>-11906.796983086009</v>
      </c>
      <c r="P908" s="13">
        <f t="shared" si="115"/>
        <v>-8.2828315143043507E-2</v>
      </c>
      <c r="Q908" s="15">
        <f t="shared" si="116"/>
        <v>-2.7658065001361294</v>
      </c>
      <c r="R908" s="13">
        <f t="shared" si="117"/>
        <v>-8.2828315143043701E-2</v>
      </c>
      <c r="S908" s="15">
        <f t="shared" si="118"/>
        <v>35.267973231772061</v>
      </c>
      <c r="T908" s="15">
        <f t="shared" si="119"/>
        <v>35.035064106709221</v>
      </c>
    </row>
    <row r="909" spans="1:20" x14ac:dyDescent="0.3">
      <c r="A909" s="5">
        <v>42545.083333333336</v>
      </c>
      <c r="B909" s="14">
        <v>389904.00855466299</v>
      </c>
      <c r="C909" s="14">
        <v>422372.5815807</v>
      </c>
      <c r="D909" s="6">
        <v>11667</v>
      </c>
      <c r="E909" s="1">
        <v>2016</v>
      </c>
      <c r="F909" s="1">
        <v>6</v>
      </c>
      <c r="G909" s="1" t="s">
        <v>34</v>
      </c>
      <c r="H909" s="12">
        <v>42522</v>
      </c>
      <c r="I909" s="1">
        <v>24</v>
      </c>
      <c r="J909" s="1">
        <v>6</v>
      </c>
      <c r="K909" s="1" t="s">
        <v>27</v>
      </c>
      <c r="L909" s="1" t="s">
        <v>22</v>
      </c>
      <c r="M909" s="15">
        <f t="shared" si="112"/>
        <v>33.41938875072109</v>
      </c>
      <c r="N909" s="15">
        <f t="shared" si="113"/>
        <v>36.202329783209052</v>
      </c>
      <c r="O909" s="14">
        <f t="shared" si="114"/>
        <v>-32468.573026037018</v>
      </c>
      <c r="P909" s="13">
        <f t="shared" si="115"/>
        <v>-8.3273247552378152E-2</v>
      </c>
      <c r="Q909" s="15">
        <f t="shared" si="116"/>
        <v>-2.7829410324879618</v>
      </c>
      <c r="R909" s="13">
        <f t="shared" si="117"/>
        <v>-8.3273247552378235E-2</v>
      </c>
      <c r="S909" s="15">
        <f t="shared" si="118"/>
        <v>35.267973231772061</v>
      </c>
      <c r="T909" s="15">
        <f t="shared" si="119"/>
        <v>35.005075917638806</v>
      </c>
    </row>
    <row r="910" spans="1:20" x14ac:dyDescent="0.3">
      <c r="A910" s="5">
        <v>42546.083333333336</v>
      </c>
      <c r="B910" s="14">
        <v>461280.78558277403</v>
      </c>
      <c r="C910" s="14">
        <v>498910.32902054401</v>
      </c>
      <c r="D910" s="6">
        <v>13793</v>
      </c>
      <c r="E910" s="1">
        <v>2016</v>
      </c>
      <c r="F910" s="1">
        <v>6</v>
      </c>
      <c r="G910" s="1" t="s">
        <v>34</v>
      </c>
      <c r="H910" s="12">
        <v>42522</v>
      </c>
      <c r="I910" s="1">
        <v>25</v>
      </c>
      <c r="J910" s="1">
        <v>7</v>
      </c>
      <c r="K910" s="1" t="s">
        <v>28</v>
      </c>
      <c r="L910" s="1" t="s">
        <v>22</v>
      </c>
      <c r="M910" s="15">
        <f t="shared" si="112"/>
        <v>33.443107778059449</v>
      </c>
      <c r="N910" s="15">
        <f t="shared" si="113"/>
        <v>36.171270138515482</v>
      </c>
      <c r="O910" s="14">
        <f t="shared" si="114"/>
        <v>-37629.543437769986</v>
      </c>
      <c r="P910" s="13">
        <f t="shared" si="115"/>
        <v>-8.1576221281858693E-2</v>
      </c>
      <c r="Q910" s="15">
        <f t="shared" si="116"/>
        <v>-2.7281623604560323</v>
      </c>
      <c r="R910" s="13">
        <f t="shared" si="117"/>
        <v>-8.1576221281858846E-2</v>
      </c>
      <c r="S910" s="15">
        <f t="shared" si="118"/>
        <v>35.267973231772061</v>
      </c>
      <c r="T910" s="15">
        <f t="shared" si="119"/>
        <v>34.977751618723261</v>
      </c>
    </row>
    <row r="911" spans="1:20" x14ac:dyDescent="0.3">
      <c r="A911" s="5">
        <v>42547.083333333336</v>
      </c>
      <c r="B911" s="14">
        <v>221578.69682356101</v>
      </c>
      <c r="C911" s="14">
        <v>240449.62229152201</v>
      </c>
      <c r="D911" s="6">
        <v>6641</v>
      </c>
      <c r="E911" s="1">
        <v>2016</v>
      </c>
      <c r="F911" s="1">
        <v>6</v>
      </c>
      <c r="G911" s="1" t="s">
        <v>34</v>
      </c>
      <c r="H911" s="12">
        <v>42522</v>
      </c>
      <c r="I911" s="1">
        <v>26</v>
      </c>
      <c r="J911" s="1">
        <v>1</v>
      </c>
      <c r="K911" s="1" t="s">
        <v>29</v>
      </c>
      <c r="L911" s="1" t="s">
        <v>22</v>
      </c>
      <c r="M911" s="15">
        <f t="shared" si="112"/>
        <v>33.365260777527631</v>
      </c>
      <c r="N911" s="15">
        <f t="shared" si="113"/>
        <v>36.206839676482758</v>
      </c>
      <c r="O911" s="14">
        <f t="shared" si="114"/>
        <v>-18870.925467961002</v>
      </c>
      <c r="P911" s="13">
        <f t="shared" si="115"/>
        <v>-8.5165793185378147E-2</v>
      </c>
      <c r="Q911" s="15">
        <f t="shared" si="116"/>
        <v>-2.8415788989551274</v>
      </c>
      <c r="R911" s="13">
        <f t="shared" si="117"/>
        <v>-8.5165793185378147E-2</v>
      </c>
      <c r="S911" s="15">
        <f t="shared" si="118"/>
        <v>35.267973231772061</v>
      </c>
      <c r="T911" s="15">
        <f t="shared" si="119"/>
        <v>34.947584406752007</v>
      </c>
    </row>
    <row r="912" spans="1:20" x14ac:dyDescent="0.3">
      <c r="A912" s="5">
        <v>42548.083333333336</v>
      </c>
      <c r="B912" s="14">
        <v>253702.222976619</v>
      </c>
      <c r="C912" s="14">
        <v>274426.08027789299</v>
      </c>
      <c r="D912" s="6">
        <v>7593</v>
      </c>
      <c r="E912" s="1">
        <v>2016</v>
      </c>
      <c r="F912" s="1">
        <v>6</v>
      </c>
      <c r="G912" s="1" t="s">
        <v>34</v>
      </c>
      <c r="H912" s="12">
        <v>42522</v>
      </c>
      <c r="I912" s="1">
        <v>27</v>
      </c>
      <c r="J912" s="1">
        <v>2</v>
      </c>
      <c r="K912" s="1" t="s">
        <v>21</v>
      </c>
      <c r="L912" s="1" t="s">
        <v>22</v>
      </c>
      <c r="M912" s="15">
        <f t="shared" si="112"/>
        <v>33.412646250048596</v>
      </c>
      <c r="N912" s="15">
        <f t="shared" si="113"/>
        <v>36.141983442367049</v>
      </c>
      <c r="O912" s="14">
        <f t="shared" si="114"/>
        <v>-20723.857301273994</v>
      </c>
      <c r="P912" s="13">
        <f t="shared" si="115"/>
        <v>-8.1685753708133219E-2</v>
      </c>
      <c r="Q912" s="15">
        <f t="shared" si="116"/>
        <v>-2.7293371923184537</v>
      </c>
      <c r="R912" s="13">
        <f t="shared" si="117"/>
        <v>-8.1685753708133316E-2</v>
      </c>
      <c r="S912" s="15">
        <f t="shared" si="118"/>
        <v>35.267973231772061</v>
      </c>
      <c r="T912" s="15">
        <f t="shared" si="119"/>
        <v>34.918168820222064</v>
      </c>
    </row>
    <row r="913" spans="1:20" x14ac:dyDescent="0.3">
      <c r="A913" s="5">
        <v>42549.083333333336</v>
      </c>
      <c r="B913" s="14">
        <v>200616.076183339</v>
      </c>
      <c r="C913" s="14">
        <v>217104.579715706</v>
      </c>
      <c r="D913" s="6">
        <v>6007</v>
      </c>
      <c r="E913" s="1">
        <v>2016</v>
      </c>
      <c r="F913" s="1">
        <v>6</v>
      </c>
      <c r="G913" s="1" t="s">
        <v>34</v>
      </c>
      <c r="H913" s="12">
        <v>42522</v>
      </c>
      <c r="I913" s="1">
        <v>28</v>
      </c>
      <c r="J913" s="1">
        <v>3</v>
      </c>
      <c r="K913" s="1" t="s">
        <v>23</v>
      </c>
      <c r="L913" s="1" t="s">
        <v>22</v>
      </c>
      <c r="M913" s="15">
        <f t="shared" si="112"/>
        <v>33.397049472838191</v>
      </c>
      <c r="N913" s="15">
        <f t="shared" si="113"/>
        <v>36.141931033079075</v>
      </c>
      <c r="O913" s="14">
        <f t="shared" si="114"/>
        <v>-16488.503532367002</v>
      </c>
      <c r="P913" s="13">
        <f t="shared" si="115"/>
        <v>-8.2189343177555177E-2</v>
      </c>
      <c r="Q913" s="15">
        <f t="shared" si="116"/>
        <v>-2.7448815602408843</v>
      </c>
      <c r="R913" s="13">
        <f t="shared" si="117"/>
        <v>-8.2189343177555121E-2</v>
      </c>
      <c r="S913" s="15">
        <f t="shared" si="118"/>
        <v>35.267973231772061</v>
      </c>
      <c r="T913" s="15">
        <f t="shared" si="119"/>
        <v>34.890115125817474</v>
      </c>
    </row>
    <row r="914" spans="1:20" x14ac:dyDescent="0.3">
      <c r="A914" s="5">
        <v>42550.083333333336</v>
      </c>
      <c r="B914" s="14">
        <v>211700.81315721001</v>
      </c>
      <c r="C914" s="14">
        <v>229023.810739696</v>
      </c>
      <c r="D914" s="6">
        <v>6345</v>
      </c>
      <c r="E914" s="1">
        <v>2016</v>
      </c>
      <c r="F914" s="1">
        <v>6</v>
      </c>
      <c r="G914" s="1" t="s">
        <v>34</v>
      </c>
      <c r="H914" s="12">
        <v>42522</v>
      </c>
      <c r="I914" s="1">
        <v>29</v>
      </c>
      <c r="J914" s="1">
        <v>4</v>
      </c>
      <c r="K914" s="1" t="s">
        <v>25</v>
      </c>
      <c r="L914" s="1" t="s">
        <v>22</v>
      </c>
      <c r="M914" s="15">
        <f t="shared" si="112"/>
        <v>33.364982373082746</v>
      </c>
      <c r="N914" s="15">
        <f t="shared" si="113"/>
        <v>36.095163237146728</v>
      </c>
      <c r="O914" s="14">
        <f t="shared" si="114"/>
        <v>-17322.997582485987</v>
      </c>
      <c r="P914" s="13">
        <f t="shared" si="115"/>
        <v>-8.1827732846835352E-2</v>
      </c>
      <c r="Q914" s="15">
        <f t="shared" si="116"/>
        <v>-2.730180864063982</v>
      </c>
      <c r="R914" s="13">
        <f t="shared" si="117"/>
        <v>-8.1827732846835241E-2</v>
      </c>
      <c r="S914" s="15">
        <f t="shared" si="118"/>
        <v>35.267973231772061</v>
      </c>
      <c r="T914" s="15">
        <f t="shared" si="119"/>
        <v>34.861248881000087</v>
      </c>
    </row>
    <row r="915" spans="1:20" x14ac:dyDescent="0.3">
      <c r="A915" s="5">
        <v>42551.083333333336</v>
      </c>
      <c r="B915" s="14">
        <v>282757.71144459798</v>
      </c>
      <c r="C915" s="14">
        <v>305894.180094824</v>
      </c>
      <c r="D915" s="6">
        <v>8482</v>
      </c>
      <c r="E915" s="1">
        <v>2016</v>
      </c>
      <c r="F915" s="1">
        <v>6</v>
      </c>
      <c r="G915" s="1" t="s">
        <v>34</v>
      </c>
      <c r="H915" s="12">
        <v>42522</v>
      </c>
      <c r="I915" s="1">
        <v>30</v>
      </c>
      <c r="J915" s="1">
        <v>5</v>
      </c>
      <c r="K915" s="1" t="s">
        <v>26</v>
      </c>
      <c r="L915" s="1" t="s">
        <v>22</v>
      </c>
      <c r="M915" s="15">
        <f t="shared" si="112"/>
        <v>33.336207432751472</v>
      </c>
      <c r="N915" s="15">
        <f t="shared" si="113"/>
        <v>36.063921256168825</v>
      </c>
      <c r="O915" s="14">
        <f t="shared" si="114"/>
        <v>-23136.468650226016</v>
      </c>
      <c r="P915" s="13">
        <f t="shared" si="115"/>
        <v>-8.1824359562194471E-2</v>
      </c>
      <c r="Q915" s="15">
        <f t="shared" si="116"/>
        <v>-2.7277138234173535</v>
      </c>
      <c r="R915" s="13">
        <f t="shared" si="117"/>
        <v>-8.1824359562194388E-2</v>
      </c>
      <c r="S915" s="15">
        <f t="shared" si="118"/>
        <v>35.267973231772061</v>
      </c>
      <c r="T915" s="15">
        <f t="shared" si="119"/>
        <v>34.827884708577329</v>
      </c>
    </row>
    <row r="916" spans="1:20" x14ac:dyDescent="0.3">
      <c r="A916" s="5">
        <v>42552.083333333336</v>
      </c>
      <c r="B916" s="14">
        <v>479010.15670774202</v>
      </c>
      <c r="C916" s="14">
        <v>517742.19259753602</v>
      </c>
      <c r="D916" s="6">
        <v>14344</v>
      </c>
      <c r="E916" s="1">
        <v>2016</v>
      </c>
      <c r="F916" s="1">
        <v>7</v>
      </c>
      <c r="G916" s="1" t="s">
        <v>35</v>
      </c>
      <c r="H916" s="12">
        <v>42552</v>
      </c>
      <c r="I916" s="1">
        <v>1</v>
      </c>
      <c r="J916" s="1">
        <v>6</v>
      </c>
      <c r="K916" s="1" t="s">
        <v>27</v>
      </c>
      <c r="L916" s="1" t="s">
        <v>22</v>
      </c>
      <c r="M916" s="15">
        <f t="shared" si="112"/>
        <v>33.394461566351225</v>
      </c>
      <c r="N916" s="15">
        <f t="shared" si="113"/>
        <v>36.094687158221973</v>
      </c>
      <c r="O916" s="14">
        <f t="shared" si="114"/>
        <v>-38732.035889794002</v>
      </c>
      <c r="P916" s="13">
        <f t="shared" si="115"/>
        <v>-8.0858485665525337E-2</v>
      </c>
      <c r="Q916" s="15">
        <f t="shared" si="116"/>
        <v>-2.7002255918707476</v>
      </c>
      <c r="R916" s="13">
        <f t="shared" si="117"/>
        <v>-8.0858485665525351E-2</v>
      </c>
      <c r="S916" s="15">
        <f t="shared" si="118"/>
        <v>35.267973231772061</v>
      </c>
      <c r="T916" s="15">
        <f t="shared" si="119"/>
        <v>34.79866880018448</v>
      </c>
    </row>
    <row r="917" spans="1:20" x14ac:dyDescent="0.3">
      <c r="A917" s="5">
        <v>42553.083333333336</v>
      </c>
      <c r="B917" s="14">
        <v>454543.28575878899</v>
      </c>
      <c r="C917" s="14">
        <v>490487.02464926301</v>
      </c>
      <c r="D917" s="6">
        <v>13609</v>
      </c>
      <c r="E917" s="1">
        <v>2016</v>
      </c>
      <c r="F917" s="1">
        <v>7</v>
      </c>
      <c r="G917" s="1" t="s">
        <v>35</v>
      </c>
      <c r="H917" s="12">
        <v>42552</v>
      </c>
      <c r="I917" s="1">
        <v>2</v>
      </c>
      <c r="J917" s="1">
        <v>7</v>
      </c>
      <c r="K917" s="1" t="s">
        <v>28</v>
      </c>
      <c r="L917" s="1" t="s">
        <v>22</v>
      </c>
      <c r="M917" s="15">
        <f t="shared" si="112"/>
        <v>33.400197351663529</v>
      </c>
      <c r="N917" s="15">
        <f t="shared" si="113"/>
        <v>36.041371493075395</v>
      </c>
      <c r="O917" s="14">
        <f t="shared" si="114"/>
        <v>-35943.738890474022</v>
      </c>
      <c r="P917" s="13">
        <f t="shared" si="115"/>
        <v>-7.9076602859662892E-2</v>
      </c>
      <c r="Q917" s="15">
        <f t="shared" si="116"/>
        <v>-2.6411741414118666</v>
      </c>
      <c r="R917" s="13">
        <f t="shared" si="117"/>
        <v>-7.9076602859663059E-2</v>
      </c>
      <c r="S917" s="15">
        <f t="shared" si="118"/>
        <v>35.267973231772061</v>
      </c>
      <c r="T917" s="15">
        <f t="shared" si="119"/>
        <v>34.770500556860426</v>
      </c>
    </row>
    <row r="918" spans="1:20" x14ac:dyDescent="0.3">
      <c r="A918" s="5">
        <v>42554.083333333336</v>
      </c>
      <c r="B918" s="14">
        <v>242185.18070257801</v>
      </c>
      <c r="C918" s="14">
        <v>261534.91203924699</v>
      </c>
      <c r="D918" s="6">
        <v>7259</v>
      </c>
      <c r="E918" s="1">
        <v>2016</v>
      </c>
      <c r="F918" s="1">
        <v>7</v>
      </c>
      <c r="G918" s="1" t="s">
        <v>35</v>
      </c>
      <c r="H918" s="12">
        <v>42552</v>
      </c>
      <c r="I918" s="1">
        <v>3</v>
      </c>
      <c r="J918" s="1">
        <v>1</v>
      </c>
      <c r="K918" s="1" t="s">
        <v>29</v>
      </c>
      <c r="L918" s="1" t="s">
        <v>22</v>
      </c>
      <c r="M918" s="15">
        <f t="shared" si="112"/>
        <v>33.363435831736879</v>
      </c>
      <c r="N918" s="15">
        <f t="shared" si="113"/>
        <v>36.029055247175506</v>
      </c>
      <c r="O918" s="14">
        <f t="shared" si="114"/>
        <v>-19349.731336668978</v>
      </c>
      <c r="P918" s="13">
        <f t="shared" si="115"/>
        <v>-7.9896429998464413E-2</v>
      </c>
      <c r="Q918" s="15">
        <f t="shared" si="116"/>
        <v>-2.665619415438627</v>
      </c>
      <c r="R918" s="13">
        <f t="shared" si="117"/>
        <v>-7.9896429998464483E-2</v>
      </c>
      <c r="S918" s="15">
        <f t="shared" si="118"/>
        <v>35.267973231772061</v>
      </c>
      <c r="T918" s="15">
        <f t="shared" si="119"/>
        <v>34.738588646628479</v>
      </c>
    </row>
    <row r="919" spans="1:20" x14ac:dyDescent="0.3">
      <c r="A919" s="5">
        <v>42555.083333333336</v>
      </c>
      <c r="B919" s="14">
        <v>281531.68555597903</v>
      </c>
      <c r="C919" s="14">
        <v>304052.47699526697</v>
      </c>
      <c r="D919" s="6">
        <v>8431</v>
      </c>
      <c r="E919" s="1">
        <v>2016</v>
      </c>
      <c r="F919" s="1">
        <v>7</v>
      </c>
      <c r="G919" s="1" t="s">
        <v>35</v>
      </c>
      <c r="H919" s="12">
        <v>42552</v>
      </c>
      <c r="I919" s="1">
        <v>4</v>
      </c>
      <c r="J919" s="1">
        <v>2</v>
      </c>
      <c r="K919" s="1" t="s">
        <v>21</v>
      </c>
      <c r="L919" s="1" t="s">
        <v>22</v>
      </c>
      <c r="M919" s="15">
        <f t="shared" si="112"/>
        <v>33.392442836671691</v>
      </c>
      <c r="N919" s="15">
        <f t="shared" si="113"/>
        <v>36.063631478503972</v>
      </c>
      <c r="O919" s="14">
        <f t="shared" si="114"/>
        <v>-22520.791439287947</v>
      </c>
      <c r="P919" s="13">
        <f t="shared" si="115"/>
        <v>-7.9993807428151709E-2</v>
      </c>
      <c r="Q919" s="15">
        <f t="shared" si="116"/>
        <v>-2.6711886418322806</v>
      </c>
      <c r="R919" s="13">
        <f t="shared" si="117"/>
        <v>-7.999380742815175E-2</v>
      </c>
      <c r="S919" s="15">
        <f t="shared" si="118"/>
        <v>35.267973231772061</v>
      </c>
      <c r="T919" s="15">
        <f t="shared" si="119"/>
        <v>34.708747643200994</v>
      </c>
    </row>
    <row r="920" spans="1:20" x14ac:dyDescent="0.3">
      <c r="A920" s="5">
        <v>42556.083333333336</v>
      </c>
      <c r="B920" s="14">
        <v>219363.22013563901</v>
      </c>
      <c r="C920" s="14">
        <v>237026.350540846</v>
      </c>
      <c r="D920" s="6">
        <v>6577</v>
      </c>
      <c r="E920" s="1">
        <v>2016</v>
      </c>
      <c r="F920" s="1">
        <v>7</v>
      </c>
      <c r="G920" s="1" t="s">
        <v>35</v>
      </c>
      <c r="H920" s="12">
        <v>42552</v>
      </c>
      <c r="I920" s="1">
        <v>5</v>
      </c>
      <c r="J920" s="1">
        <v>3</v>
      </c>
      <c r="K920" s="1" t="s">
        <v>23</v>
      </c>
      <c r="L920" s="1" t="s">
        <v>22</v>
      </c>
      <c r="M920" s="15">
        <f t="shared" si="112"/>
        <v>33.3530819728811</v>
      </c>
      <c r="N920" s="15">
        <f t="shared" si="113"/>
        <v>36.038672729336476</v>
      </c>
      <c r="O920" s="14">
        <f t="shared" si="114"/>
        <v>-17663.13040520699</v>
      </c>
      <c r="P920" s="13">
        <f t="shared" si="115"/>
        <v>-8.0520017869382732E-2</v>
      </c>
      <c r="Q920" s="15">
        <f t="shared" si="116"/>
        <v>-2.685590756455376</v>
      </c>
      <c r="R920" s="13">
        <f t="shared" si="117"/>
        <v>-8.0520017869382815E-2</v>
      </c>
      <c r="S920" s="15">
        <f t="shared" si="118"/>
        <v>35.267973231772061</v>
      </c>
      <c r="T920" s="15">
        <f t="shared" si="119"/>
        <v>34.67896300403158</v>
      </c>
    </row>
    <row r="921" spans="1:20" x14ac:dyDescent="0.3">
      <c r="A921" s="5">
        <v>42557.083333333336</v>
      </c>
      <c r="B921" s="14">
        <v>204005.58223455399</v>
      </c>
      <c r="C921" s="14">
        <v>219722.89495004801</v>
      </c>
      <c r="D921" s="6">
        <v>6098</v>
      </c>
      <c r="E921" s="1">
        <v>2016</v>
      </c>
      <c r="F921" s="1">
        <v>7</v>
      </c>
      <c r="G921" s="1" t="s">
        <v>35</v>
      </c>
      <c r="H921" s="12">
        <v>42552</v>
      </c>
      <c r="I921" s="1">
        <v>6</v>
      </c>
      <c r="J921" s="1">
        <v>4</v>
      </c>
      <c r="K921" s="1" t="s">
        <v>25</v>
      </c>
      <c r="L921" s="1" t="s">
        <v>22</v>
      </c>
      <c r="M921" s="15">
        <f t="shared" si="112"/>
        <v>33.454506761979992</v>
      </c>
      <c r="N921" s="15">
        <f t="shared" si="113"/>
        <v>36.031960470653985</v>
      </c>
      <c r="O921" s="14">
        <f t="shared" si="114"/>
        <v>-15717.312715494016</v>
      </c>
      <c r="P921" s="13">
        <f t="shared" si="115"/>
        <v>-7.7043542354753539E-2</v>
      </c>
      <c r="Q921" s="15">
        <f t="shared" si="116"/>
        <v>-2.5774537086739926</v>
      </c>
      <c r="R921" s="13">
        <f t="shared" si="117"/>
        <v>-7.7043542354753497E-2</v>
      </c>
      <c r="S921" s="15">
        <f t="shared" si="118"/>
        <v>35.267973231772061</v>
      </c>
      <c r="T921" s="15">
        <f t="shared" si="119"/>
        <v>34.652184909762084</v>
      </c>
    </row>
    <row r="922" spans="1:20" x14ac:dyDescent="0.3">
      <c r="A922" s="5">
        <v>42558.083333333336</v>
      </c>
      <c r="B922" s="14">
        <v>69579.068455469795</v>
      </c>
      <c r="C922" s="14">
        <v>59598.917800192401</v>
      </c>
      <c r="D922" s="6">
        <v>1654</v>
      </c>
      <c r="E922" s="1">
        <v>2016</v>
      </c>
      <c r="F922" s="1">
        <v>7</v>
      </c>
      <c r="G922" s="1" t="s">
        <v>35</v>
      </c>
      <c r="H922" s="12">
        <v>42552</v>
      </c>
      <c r="I922" s="1">
        <v>7</v>
      </c>
      <c r="J922" s="1">
        <v>5</v>
      </c>
      <c r="K922" s="1" t="s">
        <v>26</v>
      </c>
      <c r="L922" s="1" t="s">
        <v>22</v>
      </c>
      <c r="M922" s="15">
        <f t="shared" si="112"/>
        <v>42.067151424105077</v>
      </c>
      <c r="N922" s="15">
        <f t="shared" si="113"/>
        <v>36.033203023090934</v>
      </c>
      <c r="O922" s="14">
        <f t="shared" si="114"/>
        <v>9980.1506552773935</v>
      </c>
      <c r="P922" s="13">
        <f t="shared" si="115"/>
        <v>0.14343610624313879</v>
      </c>
      <c r="Q922" s="15">
        <f t="shared" si="116"/>
        <v>6.0339484010141433</v>
      </c>
      <c r="R922" s="13">
        <f t="shared" si="117"/>
        <v>0.14343610624313879</v>
      </c>
      <c r="S922" s="15">
        <f t="shared" si="118"/>
        <v>35.267973231772061</v>
      </c>
      <c r="T922" s="15">
        <f t="shared" si="119"/>
        <v>34.652594287336946</v>
      </c>
    </row>
    <row r="923" spans="1:20" x14ac:dyDescent="0.3">
      <c r="A923" s="5">
        <v>42559.083333333336</v>
      </c>
      <c r="B923" s="14">
        <v>87184.740028708897</v>
      </c>
      <c r="C923" s="14">
        <v>74654.520419296794</v>
      </c>
      <c r="D923" s="6">
        <v>2073</v>
      </c>
      <c r="E923" s="1">
        <v>2016</v>
      </c>
      <c r="F923" s="1">
        <v>7</v>
      </c>
      <c r="G923" s="1" t="s">
        <v>35</v>
      </c>
      <c r="H923" s="12">
        <v>42552</v>
      </c>
      <c r="I923" s="1">
        <v>8</v>
      </c>
      <c r="J923" s="1">
        <v>6</v>
      </c>
      <c r="K923" s="1" t="s">
        <v>27</v>
      </c>
      <c r="L923" s="1" t="s">
        <v>22</v>
      </c>
      <c r="M923" s="15">
        <f t="shared" si="112"/>
        <v>42.057279319203516</v>
      </c>
      <c r="N923" s="15">
        <f t="shared" si="113"/>
        <v>36.012793255811282</v>
      </c>
      <c r="O923" s="14">
        <f t="shared" si="114"/>
        <v>12530.219609412103</v>
      </c>
      <c r="P923" s="13">
        <f t="shared" si="115"/>
        <v>0.14372033001745546</v>
      </c>
      <c r="Q923" s="15">
        <f t="shared" si="116"/>
        <v>6.0444860633922346</v>
      </c>
      <c r="R923" s="13">
        <f t="shared" si="117"/>
        <v>0.14372033001745549</v>
      </c>
      <c r="S923" s="15">
        <f t="shared" si="118"/>
        <v>35.267973231772061</v>
      </c>
      <c r="T923" s="15">
        <f t="shared" si="119"/>
        <v>34.914777472893462</v>
      </c>
    </row>
    <row r="924" spans="1:20" x14ac:dyDescent="0.3">
      <c r="A924" s="5">
        <v>42560.083333333336</v>
      </c>
      <c r="B924" s="14">
        <v>78700.436048339194</v>
      </c>
      <c r="C924" s="14">
        <v>67367.383240402603</v>
      </c>
      <c r="D924" s="6">
        <v>1871</v>
      </c>
      <c r="E924" s="1">
        <v>2016</v>
      </c>
      <c r="F924" s="1">
        <v>7</v>
      </c>
      <c r="G924" s="1" t="s">
        <v>35</v>
      </c>
      <c r="H924" s="12">
        <v>42552</v>
      </c>
      <c r="I924" s="1">
        <v>9</v>
      </c>
      <c r="J924" s="1">
        <v>7</v>
      </c>
      <c r="K924" s="1" t="s">
        <v>28</v>
      </c>
      <c r="L924" s="1" t="s">
        <v>22</v>
      </c>
      <c r="M924" s="15">
        <f t="shared" si="112"/>
        <v>42.063300934441045</v>
      </c>
      <c r="N924" s="15">
        <f t="shared" si="113"/>
        <v>36.006084040835169</v>
      </c>
      <c r="O924" s="14">
        <f t="shared" si="114"/>
        <v>11333.05280793659</v>
      </c>
      <c r="P924" s="13">
        <f t="shared" si="115"/>
        <v>0.14400241443358242</v>
      </c>
      <c r="Q924" s="15">
        <f t="shared" si="116"/>
        <v>6.0572168936058759</v>
      </c>
      <c r="R924" s="13">
        <f t="shared" si="117"/>
        <v>0.14400241443358247</v>
      </c>
      <c r="S924" s="15">
        <f t="shared" si="118"/>
        <v>35.267973231772061</v>
      </c>
      <c r="T924" s="15">
        <f t="shared" si="119"/>
        <v>35.146868719913265</v>
      </c>
    </row>
    <row r="925" spans="1:20" x14ac:dyDescent="0.3">
      <c r="A925" s="5">
        <v>42561.083333333336</v>
      </c>
      <c r="B925" s="14">
        <v>39809.5590906004</v>
      </c>
      <c r="C925" s="14">
        <v>34091.569662440699</v>
      </c>
      <c r="D925" s="6">
        <v>946</v>
      </c>
      <c r="E925" s="1">
        <v>2016</v>
      </c>
      <c r="F925" s="1">
        <v>7</v>
      </c>
      <c r="G925" s="1" t="s">
        <v>35</v>
      </c>
      <c r="H925" s="12">
        <v>42552</v>
      </c>
      <c r="I925" s="1">
        <v>10</v>
      </c>
      <c r="J925" s="1">
        <v>1</v>
      </c>
      <c r="K925" s="1" t="s">
        <v>29</v>
      </c>
      <c r="L925" s="1" t="s">
        <v>22</v>
      </c>
      <c r="M925" s="15">
        <f t="shared" si="112"/>
        <v>42.081986353700209</v>
      </c>
      <c r="N925" s="15">
        <f t="shared" si="113"/>
        <v>36.03760006600497</v>
      </c>
      <c r="O925" s="14">
        <f t="shared" si="114"/>
        <v>5717.9894281597008</v>
      </c>
      <c r="P925" s="13">
        <f t="shared" si="115"/>
        <v>0.14363357843643637</v>
      </c>
      <c r="Q925" s="15">
        <f t="shared" si="116"/>
        <v>6.0443862876952394</v>
      </c>
      <c r="R925" s="13">
        <f t="shared" si="117"/>
        <v>0.14363357843643626</v>
      </c>
      <c r="S925" s="15">
        <f t="shared" si="118"/>
        <v>35.267973231772061</v>
      </c>
      <c r="T925" s="15">
        <f t="shared" si="119"/>
        <v>35.379187772544768</v>
      </c>
    </row>
    <row r="926" spans="1:20" x14ac:dyDescent="0.3">
      <c r="A926" s="5">
        <v>42562.083333333336</v>
      </c>
      <c r="B926" s="14">
        <v>45839.238770190197</v>
      </c>
      <c r="C926" s="14">
        <v>39231.195372207701</v>
      </c>
      <c r="D926" s="6">
        <v>1090</v>
      </c>
      <c r="E926" s="1">
        <v>2016</v>
      </c>
      <c r="F926" s="1">
        <v>7</v>
      </c>
      <c r="G926" s="1" t="s">
        <v>35</v>
      </c>
      <c r="H926" s="12">
        <v>42552</v>
      </c>
      <c r="I926" s="1">
        <v>11</v>
      </c>
      <c r="J926" s="1">
        <v>2</v>
      </c>
      <c r="K926" s="1" t="s">
        <v>21</v>
      </c>
      <c r="L926" s="1" t="s">
        <v>22</v>
      </c>
      <c r="M926" s="15">
        <f t="shared" si="112"/>
        <v>42.054347495587336</v>
      </c>
      <c r="N926" s="15">
        <f t="shared" si="113"/>
        <v>35.991922359823576</v>
      </c>
      <c r="O926" s="14">
        <f t="shared" si="114"/>
        <v>6608.0433979824957</v>
      </c>
      <c r="P926" s="13">
        <f t="shared" si="115"/>
        <v>0.14415691829245178</v>
      </c>
      <c r="Q926" s="15">
        <f t="shared" si="116"/>
        <v>6.0624251357637604</v>
      </c>
      <c r="R926" s="13">
        <f t="shared" si="117"/>
        <v>0.14415691829245184</v>
      </c>
      <c r="S926" s="15">
        <f t="shared" si="118"/>
        <v>35.267973231772061</v>
      </c>
      <c r="T926" s="15">
        <f t="shared" si="119"/>
        <v>35.638727961377441</v>
      </c>
    </row>
    <row r="927" spans="1:20" x14ac:dyDescent="0.3">
      <c r="A927" s="5">
        <v>42563.083333333336</v>
      </c>
      <c r="B927" s="14">
        <v>36851.763746850404</v>
      </c>
      <c r="C927" s="14">
        <v>31574.325469601001</v>
      </c>
      <c r="D927" s="6">
        <v>876</v>
      </c>
      <c r="E927" s="1">
        <v>2016</v>
      </c>
      <c r="F927" s="1">
        <v>7</v>
      </c>
      <c r="G927" s="1" t="s">
        <v>35</v>
      </c>
      <c r="H927" s="12">
        <v>42552</v>
      </c>
      <c r="I927" s="1">
        <v>12</v>
      </c>
      <c r="J927" s="1">
        <v>3</v>
      </c>
      <c r="K927" s="1" t="s">
        <v>23</v>
      </c>
      <c r="L927" s="1" t="s">
        <v>22</v>
      </c>
      <c r="M927" s="15">
        <f t="shared" si="112"/>
        <v>42.068223455308683</v>
      </c>
      <c r="N927" s="15">
        <f t="shared" si="113"/>
        <v>36.043750536074199</v>
      </c>
      <c r="O927" s="14">
        <f t="shared" si="114"/>
        <v>5277.4382772494027</v>
      </c>
      <c r="P927" s="13">
        <f t="shared" si="115"/>
        <v>0.14320721020307875</v>
      </c>
      <c r="Q927" s="15">
        <f t="shared" si="116"/>
        <v>6.0244729192344835</v>
      </c>
      <c r="R927" s="13">
        <f t="shared" si="117"/>
        <v>0.14320721020307886</v>
      </c>
      <c r="S927" s="15">
        <f t="shared" si="118"/>
        <v>35.267973231772061</v>
      </c>
      <c r="T927" s="15">
        <f t="shared" si="119"/>
        <v>35.871417818980007</v>
      </c>
    </row>
    <row r="928" spans="1:20" x14ac:dyDescent="0.3">
      <c r="A928" s="5">
        <v>42564.083333333336</v>
      </c>
      <c r="B928" s="14">
        <v>33225.6704717701</v>
      </c>
      <c r="C928" s="14">
        <v>28489.081398148799</v>
      </c>
      <c r="D928" s="6">
        <v>790</v>
      </c>
      <c r="E928" s="1">
        <v>2016</v>
      </c>
      <c r="F928" s="1">
        <v>7</v>
      </c>
      <c r="G928" s="1" t="s">
        <v>35</v>
      </c>
      <c r="H928" s="12">
        <v>42552</v>
      </c>
      <c r="I928" s="1">
        <v>13</v>
      </c>
      <c r="J928" s="1">
        <v>4</v>
      </c>
      <c r="K928" s="1" t="s">
        <v>25</v>
      </c>
      <c r="L928" s="1" t="s">
        <v>22</v>
      </c>
      <c r="M928" s="15">
        <f t="shared" si="112"/>
        <v>42.057810723759623</v>
      </c>
      <c r="N928" s="15">
        <f t="shared" si="113"/>
        <v>36.062128352087086</v>
      </c>
      <c r="O928" s="14">
        <f t="shared" si="114"/>
        <v>4736.5890736213005</v>
      </c>
      <c r="P928" s="13">
        <f t="shared" si="115"/>
        <v>0.14255811865845422</v>
      </c>
      <c r="Q928" s="15">
        <f t="shared" si="116"/>
        <v>5.9956823716725367</v>
      </c>
      <c r="R928" s="13">
        <f t="shared" si="117"/>
        <v>0.1425581186584543</v>
      </c>
      <c r="S928" s="15">
        <f t="shared" si="118"/>
        <v>35.267973231772061</v>
      </c>
      <c r="T928" s="15">
        <f t="shared" si="119"/>
        <v>36.103780275492731</v>
      </c>
    </row>
    <row r="929" spans="1:20" x14ac:dyDescent="0.3">
      <c r="A929" s="5">
        <v>42565.083333333336</v>
      </c>
      <c r="B929" s="14">
        <v>30423.391456740101</v>
      </c>
      <c r="C929" s="14">
        <v>26053.7967186715</v>
      </c>
      <c r="D929" s="6">
        <v>723</v>
      </c>
      <c r="E929" s="1">
        <v>2016</v>
      </c>
      <c r="F929" s="1">
        <v>7</v>
      </c>
      <c r="G929" s="1" t="s">
        <v>35</v>
      </c>
      <c r="H929" s="12">
        <v>42552</v>
      </c>
      <c r="I929" s="1">
        <v>14</v>
      </c>
      <c r="J929" s="1">
        <v>5</v>
      </c>
      <c r="K929" s="1" t="s">
        <v>26</v>
      </c>
      <c r="L929" s="1" t="s">
        <v>22</v>
      </c>
      <c r="M929" s="15">
        <f t="shared" si="112"/>
        <v>42.079379608215909</v>
      </c>
      <c r="N929" s="15">
        <f t="shared" si="113"/>
        <v>36.035680108812585</v>
      </c>
      <c r="O929" s="14">
        <f t="shared" si="114"/>
        <v>4369.5947380686011</v>
      </c>
      <c r="P929" s="13">
        <f t="shared" si="115"/>
        <v>0.14362615503540604</v>
      </c>
      <c r="Q929" s="15">
        <f t="shared" si="116"/>
        <v>6.0436994994033242</v>
      </c>
      <c r="R929" s="13">
        <f t="shared" si="117"/>
        <v>0.1436261550354061</v>
      </c>
      <c r="S929" s="15">
        <f t="shared" si="118"/>
        <v>35.267973231772061</v>
      </c>
      <c r="T929" s="15">
        <f t="shared" si="119"/>
        <v>36.336718108356656</v>
      </c>
    </row>
    <row r="930" spans="1:20" x14ac:dyDescent="0.3">
      <c r="A930" s="5">
        <v>42566.083333333336</v>
      </c>
      <c r="B930" s="14">
        <v>80345.637659439104</v>
      </c>
      <c r="C930" s="14">
        <v>68788.094536384699</v>
      </c>
      <c r="D930" s="6">
        <v>1910</v>
      </c>
      <c r="E930" s="1">
        <v>2016</v>
      </c>
      <c r="F930" s="1">
        <v>7</v>
      </c>
      <c r="G930" s="1" t="s">
        <v>35</v>
      </c>
      <c r="H930" s="12">
        <v>42552</v>
      </c>
      <c r="I930" s="1">
        <v>15</v>
      </c>
      <c r="J930" s="1">
        <v>6</v>
      </c>
      <c r="K930" s="1" t="s">
        <v>27</v>
      </c>
      <c r="L930" s="1" t="s">
        <v>22</v>
      </c>
      <c r="M930" s="15">
        <f t="shared" si="112"/>
        <v>42.065778879287492</v>
      </c>
      <c r="N930" s="15">
        <f t="shared" si="113"/>
        <v>36.014709181353247</v>
      </c>
      <c r="O930" s="14">
        <f t="shared" si="114"/>
        <v>11557.543123054405</v>
      </c>
      <c r="P930" s="13">
        <f t="shared" si="115"/>
        <v>0.14384779883188359</v>
      </c>
      <c r="Q930" s="15">
        <f t="shared" si="116"/>
        <v>6.0510696979342455</v>
      </c>
      <c r="R930" s="13">
        <f t="shared" si="117"/>
        <v>0.14384779883188362</v>
      </c>
      <c r="S930" s="15">
        <f t="shared" si="118"/>
        <v>35.267973231772061</v>
      </c>
      <c r="T930" s="15">
        <f t="shared" si="119"/>
        <v>36.597237423452889</v>
      </c>
    </row>
    <row r="931" spans="1:20" x14ac:dyDescent="0.3">
      <c r="A931" s="5">
        <v>42567.083333333336</v>
      </c>
      <c r="B931" s="14">
        <v>95297.338626638695</v>
      </c>
      <c r="C931" s="14">
        <v>81655.857730858697</v>
      </c>
      <c r="D931" s="6">
        <v>2266</v>
      </c>
      <c r="E931" s="1">
        <v>2016</v>
      </c>
      <c r="F931" s="1">
        <v>7</v>
      </c>
      <c r="G931" s="1" t="s">
        <v>35</v>
      </c>
      <c r="H931" s="12">
        <v>42552</v>
      </c>
      <c r="I931" s="1">
        <v>16</v>
      </c>
      <c r="J931" s="1">
        <v>7</v>
      </c>
      <c r="K931" s="1" t="s">
        <v>28</v>
      </c>
      <c r="L931" s="1" t="s">
        <v>22</v>
      </c>
      <c r="M931" s="15">
        <f t="shared" si="112"/>
        <v>42.055312721376296</v>
      </c>
      <c r="N931" s="15">
        <f t="shared" si="113"/>
        <v>36.035241717060323</v>
      </c>
      <c r="O931" s="14">
        <f t="shared" si="114"/>
        <v>13641.480895779998</v>
      </c>
      <c r="P931" s="13">
        <f t="shared" si="115"/>
        <v>0.14314650432395981</v>
      </c>
      <c r="Q931" s="15">
        <f t="shared" si="116"/>
        <v>6.0200710043159731</v>
      </c>
      <c r="R931" s="13">
        <f t="shared" si="117"/>
        <v>0.14314650432395978</v>
      </c>
      <c r="S931" s="15">
        <f t="shared" si="118"/>
        <v>35.267973231772061</v>
      </c>
      <c r="T931" s="15">
        <f t="shared" si="119"/>
        <v>36.82833715536249</v>
      </c>
    </row>
    <row r="932" spans="1:20" x14ac:dyDescent="0.3">
      <c r="A932" s="5">
        <v>42568.083333333336</v>
      </c>
      <c r="B932" s="14">
        <v>45324.054527670203</v>
      </c>
      <c r="C932" s="14">
        <v>38809.808900032498</v>
      </c>
      <c r="D932" s="6">
        <v>1078</v>
      </c>
      <c r="E932" s="1">
        <v>2016</v>
      </c>
      <c r="F932" s="1">
        <v>7</v>
      </c>
      <c r="G932" s="1" t="s">
        <v>35</v>
      </c>
      <c r="H932" s="12">
        <v>42552</v>
      </c>
      <c r="I932" s="1">
        <v>17</v>
      </c>
      <c r="J932" s="1">
        <v>1</v>
      </c>
      <c r="K932" s="1" t="s">
        <v>29</v>
      </c>
      <c r="L932" s="1" t="s">
        <v>22</v>
      </c>
      <c r="M932" s="15">
        <f t="shared" si="112"/>
        <v>42.044577483924122</v>
      </c>
      <c r="N932" s="15">
        <f t="shared" si="113"/>
        <v>36.001678014872446</v>
      </c>
      <c r="O932" s="14">
        <f t="shared" si="114"/>
        <v>6514.2456276377052</v>
      </c>
      <c r="P932" s="13">
        <f t="shared" si="115"/>
        <v>0.14372601250095085</v>
      </c>
      <c r="Q932" s="15">
        <f t="shared" si="116"/>
        <v>6.042899469051676</v>
      </c>
      <c r="R932" s="13">
        <f t="shared" si="117"/>
        <v>0.14372601250095088</v>
      </c>
      <c r="S932" s="15">
        <f t="shared" si="118"/>
        <v>35.267973231772061</v>
      </c>
      <c r="T932" s="15">
        <f t="shared" si="119"/>
        <v>37.06006896634976</v>
      </c>
    </row>
    <row r="933" spans="1:20" x14ac:dyDescent="0.3">
      <c r="A933" s="5">
        <v>42569.083333333336</v>
      </c>
      <c r="B933" s="14">
        <v>51604.1184087902</v>
      </c>
      <c r="C933" s="14">
        <v>44222.784476633999</v>
      </c>
      <c r="D933" s="6">
        <v>1227</v>
      </c>
      <c r="E933" s="1">
        <v>2016</v>
      </c>
      <c r="F933" s="1">
        <v>7</v>
      </c>
      <c r="G933" s="1" t="s">
        <v>35</v>
      </c>
      <c r="H933" s="12">
        <v>42552</v>
      </c>
      <c r="I933" s="1">
        <v>18</v>
      </c>
      <c r="J933" s="1">
        <v>2</v>
      </c>
      <c r="K933" s="1" t="s">
        <v>21</v>
      </c>
      <c r="L933" s="1" t="s">
        <v>22</v>
      </c>
      <c r="M933" s="15">
        <f t="shared" si="112"/>
        <v>42.057146217432923</v>
      </c>
      <c r="N933" s="15">
        <f t="shared" si="113"/>
        <v>36.041389141511004</v>
      </c>
      <c r="O933" s="14">
        <f t="shared" si="114"/>
        <v>7381.3339321562016</v>
      </c>
      <c r="P933" s="13">
        <f t="shared" si="115"/>
        <v>0.14303769078436329</v>
      </c>
      <c r="Q933" s="15">
        <f t="shared" si="116"/>
        <v>6.0157570759219183</v>
      </c>
      <c r="R933" s="13">
        <f t="shared" si="117"/>
        <v>0.14303769078436315</v>
      </c>
      <c r="S933" s="15">
        <f t="shared" si="118"/>
        <v>35.267973231772061</v>
      </c>
      <c r="T933" s="15">
        <f t="shared" si="119"/>
        <v>37.320373835736589</v>
      </c>
    </row>
    <row r="934" spans="1:20" x14ac:dyDescent="0.3">
      <c r="A934" s="5">
        <v>42570.083333333336</v>
      </c>
      <c r="B934" s="14">
        <v>37870.119032340401</v>
      </c>
      <c r="C934" s="14">
        <v>32436.795965171299</v>
      </c>
      <c r="D934" s="6">
        <v>900</v>
      </c>
      <c r="E934" s="1">
        <v>2016</v>
      </c>
      <c r="F934" s="1">
        <v>7</v>
      </c>
      <c r="G934" s="1" t="s">
        <v>35</v>
      </c>
      <c r="H934" s="12">
        <v>42552</v>
      </c>
      <c r="I934" s="1">
        <v>19</v>
      </c>
      <c r="J934" s="1">
        <v>3</v>
      </c>
      <c r="K934" s="1" t="s">
        <v>23</v>
      </c>
      <c r="L934" s="1" t="s">
        <v>22</v>
      </c>
      <c r="M934" s="15">
        <f t="shared" si="112"/>
        <v>42.077910035933776</v>
      </c>
      <c r="N934" s="15">
        <f t="shared" si="113"/>
        <v>36.040884405745885</v>
      </c>
      <c r="O934" s="14">
        <f t="shared" si="114"/>
        <v>5433.3230671691017</v>
      </c>
      <c r="P934" s="13">
        <f t="shared" si="115"/>
        <v>0.14347256375215356</v>
      </c>
      <c r="Q934" s="15">
        <f t="shared" si="116"/>
        <v>6.0370256301878911</v>
      </c>
      <c r="R934" s="13">
        <f t="shared" si="117"/>
        <v>0.14347256375215356</v>
      </c>
      <c r="S934" s="15">
        <f t="shared" si="118"/>
        <v>35.267973231772061</v>
      </c>
      <c r="T934" s="15">
        <f t="shared" si="119"/>
        <v>37.552933365183968</v>
      </c>
    </row>
    <row r="935" spans="1:20" x14ac:dyDescent="0.3">
      <c r="A935" s="5">
        <v>42571.083333333336</v>
      </c>
      <c r="B935" s="14">
        <v>42723.524457810199</v>
      </c>
      <c r="C935" s="14">
        <v>36607.390656376498</v>
      </c>
      <c r="D935" s="6">
        <v>1016</v>
      </c>
      <c r="E935" s="1">
        <v>2016</v>
      </c>
      <c r="F935" s="1">
        <v>7</v>
      </c>
      <c r="G935" s="1" t="s">
        <v>35</v>
      </c>
      <c r="H935" s="12">
        <v>42552</v>
      </c>
      <c r="I935" s="1">
        <v>20</v>
      </c>
      <c r="J935" s="1">
        <v>4</v>
      </c>
      <c r="K935" s="1" t="s">
        <v>25</v>
      </c>
      <c r="L935" s="1" t="s">
        <v>22</v>
      </c>
      <c r="M935" s="15">
        <f t="shared" si="112"/>
        <v>42.050713049025788</v>
      </c>
      <c r="N935" s="15">
        <f t="shared" si="113"/>
        <v>36.030896315331198</v>
      </c>
      <c r="O935" s="14">
        <f t="shared" si="114"/>
        <v>6116.1338014337016</v>
      </c>
      <c r="P935" s="13">
        <f t="shared" si="115"/>
        <v>0.14315611549027116</v>
      </c>
      <c r="Q935" s="15">
        <f t="shared" si="116"/>
        <v>6.01981673369459</v>
      </c>
      <c r="R935" s="13">
        <f t="shared" si="117"/>
        <v>0.14315611549027121</v>
      </c>
      <c r="S935" s="15">
        <f t="shared" si="118"/>
        <v>35.267973231772061</v>
      </c>
      <c r="T935" s="15">
        <f t="shared" si="119"/>
        <v>37.784582952507144</v>
      </c>
    </row>
    <row r="936" spans="1:20" x14ac:dyDescent="0.3">
      <c r="A936" s="5">
        <v>42572.083333333336</v>
      </c>
      <c r="B936" s="14">
        <v>35169.915809850099</v>
      </c>
      <c r="C936" s="14">
        <v>30133.3186396659</v>
      </c>
      <c r="D936" s="6">
        <v>836</v>
      </c>
      <c r="E936" s="1">
        <v>2016</v>
      </c>
      <c r="F936" s="1">
        <v>7</v>
      </c>
      <c r="G936" s="1" t="s">
        <v>35</v>
      </c>
      <c r="H936" s="12">
        <v>42552</v>
      </c>
      <c r="I936" s="1">
        <v>21</v>
      </c>
      <c r="J936" s="1">
        <v>5</v>
      </c>
      <c r="K936" s="1" t="s">
        <v>26</v>
      </c>
      <c r="L936" s="1" t="s">
        <v>22</v>
      </c>
      <c r="M936" s="15">
        <f t="shared" si="112"/>
        <v>42.069277284509688</v>
      </c>
      <c r="N936" s="15">
        <f t="shared" si="113"/>
        <v>36.044639521131458</v>
      </c>
      <c r="O936" s="14">
        <f t="shared" si="114"/>
        <v>5036.5971701841991</v>
      </c>
      <c r="P936" s="13">
        <f t="shared" si="115"/>
        <v>0.14320754128088048</v>
      </c>
      <c r="Q936" s="15">
        <f t="shared" si="116"/>
        <v>6.0246377633782302</v>
      </c>
      <c r="R936" s="13">
        <f t="shared" si="117"/>
        <v>0.14320754128088051</v>
      </c>
      <c r="S936" s="15">
        <f t="shared" si="118"/>
        <v>35.267973231772061</v>
      </c>
      <c r="T936" s="15">
        <f t="shared" si="119"/>
        <v>38.016072863550136</v>
      </c>
    </row>
    <row r="937" spans="1:20" x14ac:dyDescent="0.3">
      <c r="A937" s="5">
        <v>42573.083333333336</v>
      </c>
      <c r="B937" s="14">
        <v>61148.205011279599</v>
      </c>
      <c r="C937" s="14">
        <v>52384.447482992698</v>
      </c>
      <c r="D937" s="6">
        <v>1454</v>
      </c>
      <c r="E937" s="1">
        <v>2016</v>
      </c>
      <c r="F937" s="1">
        <v>7</v>
      </c>
      <c r="G937" s="1" t="s">
        <v>35</v>
      </c>
      <c r="H937" s="12">
        <v>42552</v>
      </c>
      <c r="I937" s="1">
        <v>22</v>
      </c>
      <c r="J937" s="1">
        <v>6</v>
      </c>
      <c r="K937" s="1" t="s">
        <v>27</v>
      </c>
      <c r="L937" s="1" t="s">
        <v>22</v>
      </c>
      <c r="M937" s="15">
        <f t="shared" si="112"/>
        <v>42.055161630866301</v>
      </c>
      <c r="N937" s="15">
        <f t="shared" si="113"/>
        <v>36.027818076336104</v>
      </c>
      <c r="O937" s="14">
        <f t="shared" si="114"/>
        <v>8763.7575282869002</v>
      </c>
      <c r="P937" s="13">
        <f t="shared" si="115"/>
        <v>0.14331994744032647</v>
      </c>
      <c r="Q937" s="15">
        <f t="shared" si="116"/>
        <v>6.0273435545301979</v>
      </c>
      <c r="R937" s="13">
        <f t="shared" si="117"/>
        <v>0.14331994744032658</v>
      </c>
      <c r="S937" s="15">
        <f t="shared" si="118"/>
        <v>35.267973231772061</v>
      </c>
      <c r="T937" s="15">
        <f t="shared" si="119"/>
        <v>38.016472227745844</v>
      </c>
    </row>
    <row r="938" spans="1:20" x14ac:dyDescent="0.3">
      <c r="A938" s="5">
        <v>42574.083333333336</v>
      </c>
      <c r="B938" s="14">
        <v>77171.701800149502</v>
      </c>
      <c r="C938" s="14">
        <v>66113.832037556102</v>
      </c>
      <c r="D938" s="6">
        <v>1835</v>
      </c>
      <c r="E938" s="1">
        <v>2016</v>
      </c>
      <c r="F938" s="1">
        <v>7</v>
      </c>
      <c r="G938" s="1" t="s">
        <v>35</v>
      </c>
      <c r="H938" s="12">
        <v>42552</v>
      </c>
      <c r="I938" s="1">
        <v>23</v>
      </c>
      <c r="J938" s="1">
        <v>7</v>
      </c>
      <c r="K938" s="1" t="s">
        <v>28</v>
      </c>
      <c r="L938" s="1" t="s">
        <v>22</v>
      </c>
      <c r="M938" s="15">
        <f t="shared" si="112"/>
        <v>42.055423324332153</v>
      </c>
      <c r="N938" s="15">
        <f t="shared" si="113"/>
        <v>36.029336260248556</v>
      </c>
      <c r="O938" s="14">
        <f t="shared" si="114"/>
        <v>11057.8697625934</v>
      </c>
      <c r="P938" s="13">
        <f t="shared" si="115"/>
        <v>0.14328917860629553</v>
      </c>
      <c r="Q938" s="15">
        <f t="shared" si="116"/>
        <v>6.0260870640835975</v>
      </c>
      <c r="R938" s="13">
        <f t="shared" si="117"/>
        <v>0.14328917860629556</v>
      </c>
      <c r="S938" s="15">
        <f t="shared" si="118"/>
        <v>35.267973231772061</v>
      </c>
      <c r="T938" s="15">
        <f t="shared" si="119"/>
        <v>38.305251636577459</v>
      </c>
    </row>
    <row r="939" spans="1:20" x14ac:dyDescent="0.3">
      <c r="A939" s="5">
        <v>42575.083333333336</v>
      </c>
      <c r="B939" s="14">
        <v>40881.354912270202</v>
      </c>
      <c r="C939" s="14">
        <v>35019.112638998398</v>
      </c>
      <c r="D939" s="6">
        <v>972</v>
      </c>
      <c r="E939" s="1">
        <v>2016</v>
      </c>
      <c r="F939" s="1">
        <v>7</v>
      </c>
      <c r="G939" s="1" t="s">
        <v>35</v>
      </c>
      <c r="H939" s="12">
        <v>42552</v>
      </c>
      <c r="I939" s="1">
        <v>24</v>
      </c>
      <c r="J939" s="1">
        <v>1</v>
      </c>
      <c r="K939" s="1" t="s">
        <v>29</v>
      </c>
      <c r="L939" s="1" t="s">
        <v>22</v>
      </c>
      <c r="M939" s="15">
        <f t="shared" si="112"/>
        <v>42.0590071113891</v>
      </c>
      <c r="N939" s="15">
        <f t="shared" si="113"/>
        <v>36.027893661520984</v>
      </c>
      <c r="O939" s="14">
        <f t="shared" si="114"/>
        <v>5862.2422732718042</v>
      </c>
      <c r="P939" s="13">
        <f t="shared" si="115"/>
        <v>0.14339647709455688</v>
      </c>
      <c r="Q939" s="15">
        <f t="shared" si="116"/>
        <v>6.0311134498681156</v>
      </c>
      <c r="R939" s="13">
        <f t="shared" si="117"/>
        <v>0.14339647709455697</v>
      </c>
      <c r="S939" s="15">
        <f t="shared" si="118"/>
        <v>35.267973231772061</v>
      </c>
      <c r="T939" s="15">
        <f t="shared" si="119"/>
        <v>38.59323891526639</v>
      </c>
    </row>
    <row r="940" spans="1:20" x14ac:dyDescent="0.3">
      <c r="A940" s="5">
        <v>42576.083333333336</v>
      </c>
      <c r="B940" s="14">
        <v>43085.595011520301</v>
      </c>
      <c r="C940" s="14">
        <v>36887.366171890601</v>
      </c>
      <c r="D940" s="6">
        <v>1024</v>
      </c>
      <c r="E940" s="1">
        <v>2016</v>
      </c>
      <c r="F940" s="1">
        <v>7</v>
      </c>
      <c r="G940" s="1" t="s">
        <v>35</v>
      </c>
      <c r="H940" s="12">
        <v>42552</v>
      </c>
      <c r="I940" s="1">
        <v>25</v>
      </c>
      <c r="J940" s="1">
        <v>2</v>
      </c>
      <c r="K940" s="1" t="s">
        <v>21</v>
      </c>
      <c r="L940" s="1" t="s">
        <v>22</v>
      </c>
      <c r="M940" s="15">
        <f t="shared" si="112"/>
        <v>42.075776378437794</v>
      </c>
      <c r="N940" s="15">
        <f t="shared" si="113"/>
        <v>36.022818527236915</v>
      </c>
      <c r="O940" s="14">
        <f t="shared" si="114"/>
        <v>6198.2288396297008</v>
      </c>
      <c r="P940" s="13">
        <f t="shared" si="115"/>
        <v>0.14385849465401157</v>
      </c>
      <c r="Q940" s="15">
        <f t="shared" si="116"/>
        <v>6.0529578512008797</v>
      </c>
      <c r="R940" s="13">
        <f t="shared" si="117"/>
        <v>0.14385849465401157</v>
      </c>
      <c r="S940" s="15">
        <f t="shared" si="118"/>
        <v>35.267973231772061</v>
      </c>
      <c r="T940" s="15">
        <f t="shared" si="119"/>
        <v>38.880994535278994</v>
      </c>
    </row>
    <row r="941" spans="1:20" x14ac:dyDescent="0.3">
      <c r="A941" s="5">
        <v>42577.083333333336</v>
      </c>
      <c r="B941" s="14">
        <v>43894.993432110197</v>
      </c>
      <c r="C941" s="14">
        <v>37604.658419582898</v>
      </c>
      <c r="D941" s="6">
        <v>1044</v>
      </c>
      <c r="E941" s="1">
        <v>2016</v>
      </c>
      <c r="F941" s="1">
        <v>7</v>
      </c>
      <c r="G941" s="1" t="s">
        <v>35</v>
      </c>
      <c r="H941" s="12">
        <v>42552</v>
      </c>
      <c r="I941" s="1">
        <v>26</v>
      </c>
      <c r="J941" s="1">
        <v>3</v>
      </c>
      <c r="K941" s="1" t="s">
        <v>23</v>
      </c>
      <c r="L941" s="1" t="s">
        <v>22</v>
      </c>
      <c r="M941" s="15">
        <f t="shared" si="112"/>
        <v>42.045012866005933</v>
      </c>
      <c r="N941" s="15">
        <f t="shared" si="113"/>
        <v>36.01978775822117</v>
      </c>
      <c r="O941" s="14">
        <f t="shared" si="114"/>
        <v>6290.3350125272991</v>
      </c>
      <c r="P941" s="13">
        <f t="shared" si="115"/>
        <v>0.14330415659490164</v>
      </c>
      <c r="Q941" s="15">
        <f t="shared" si="116"/>
        <v>6.0252251077847632</v>
      </c>
      <c r="R941" s="13">
        <f t="shared" si="117"/>
        <v>0.14330415659490151</v>
      </c>
      <c r="S941" s="15">
        <f t="shared" si="118"/>
        <v>35.267973231772061</v>
      </c>
      <c r="T941" s="15">
        <f t="shared" si="119"/>
        <v>39.170319604894942</v>
      </c>
    </row>
    <row r="942" spans="1:20" x14ac:dyDescent="0.3">
      <c r="A942" s="5">
        <v>42578.083333333336</v>
      </c>
      <c r="B942" s="14">
        <v>67780.7288864695</v>
      </c>
      <c r="C942" s="14">
        <v>58196.145986195399</v>
      </c>
      <c r="D942" s="6">
        <v>1611</v>
      </c>
      <c r="E942" s="1">
        <v>2016</v>
      </c>
      <c r="F942" s="1">
        <v>7</v>
      </c>
      <c r="G942" s="1" t="s">
        <v>35</v>
      </c>
      <c r="H942" s="12">
        <v>42552</v>
      </c>
      <c r="I942" s="1">
        <v>27</v>
      </c>
      <c r="J942" s="1">
        <v>4</v>
      </c>
      <c r="K942" s="1" t="s">
        <v>25</v>
      </c>
      <c r="L942" s="1" t="s">
        <v>22</v>
      </c>
      <c r="M942" s="15">
        <f t="shared" si="112"/>
        <v>42.073698874282741</v>
      </c>
      <c r="N942" s="15">
        <f t="shared" si="113"/>
        <v>36.124237111232404</v>
      </c>
      <c r="O942" s="14">
        <f t="shared" si="114"/>
        <v>9584.5829002741011</v>
      </c>
      <c r="P942" s="13">
        <f t="shared" si="115"/>
        <v>0.14140572191733086</v>
      </c>
      <c r="Q942" s="15">
        <f t="shared" si="116"/>
        <v>5.949461763050337</v>
      </c>
      <c r="R942" s="13">
        <f t="shared" si="117"/>
        <v>0.14140572191733075</v>
      </c>
      <c r="S942" s="15">
        <f t="shared" si="118"/>
        <v>35.267973231772061</v>
      </c>
      <c r="T942" s="15">
        <f t="shared" si="119"/>
        <v>39.459021359036086</v>
      </c>
    </row>
    <row r="943" spans="1:20" x14ac:dyDescent="0.3">
      <c r="A943" s="5">
        <v>42579.083333333336</v>
      </c>
      <c r="B943" s="14">
        <v>51907.943146500198</v>
      </c>
      <c r="C943" s="14">
        <v>44544.630743101297</v>
      </c>
      <c r="D943" s="6">
        <v>1234</v>
      </c>
      <c r="E943" s="1">
        <v>2016</v>
      </c>
      <c r="F943" s="1">
        <v>7</v>
      </c>
      <c r="G943" s="1" t="s">
        <v>35</v>
      </c>
      <c r="H943" s="12">
        <v>42552</v>
      </c>
      <c r="I943" s="1">
        <v>28</v>
      </c>
      <c r="J943" s="1">
        <v>5</v>
      </c>
      <c r="K943" s="1" t="s">
        <v>26</v>
      </c>
      <c r="L943" s="1" t="s">
        <v>22</v>
      </c>
      <c r="M943" s="15">
        <f t="shared" si="112"/>
        <v>42.064783749189786</v>
      </c>
      <c r="N943" s="15">
        <f t="shared" si="113"/>
        <v>36.097755869612072</v>
      </c>
      <c r="O943" s="14">
        <f t="shared" si="114"/>
        <v>7363.3124033989006</v>
      </c>
      <c r="P943" s="13">
        <f t="shared" si="115"/>
        <v>0.14185328789887447</v>
      </c>
      <c r="Q943" s="15">
        <f t="shared" si="116"/>
        <v>5.9670278795777136</v>
      </c>
      <c r="R943" s="13">
        <f t="shared" si="117"/>
        <v>0.14185328789887444</v>
      </c>
      <c r="S943" s="15">
        <f t="shared" si="118"/>
        <v>35.267973231772061</v>
      </c>
      <c r="T943" s="15">
        <f t="shared" si="119"/>
        <v>39.747945834914468</v>
      </c>
    </row>
    <row r="944" spans="1:20" x14ac:dyDescent="0.3">
      <c r="A944" s="5">
        <v>42580.083333333336</v>
      </c>
      <c r="B944" s="14">
        <v>93508.633886369207</v>
      </c>
      <c r="C944" s="14">
        <v>80346.694133858196</v>
      </c>
      <c r="D944" s="6">
        <v>2223</v>
      </c>
      <c r="E944" s="1">
        <v>2016</v>
      </c>
      <c r="F944" s="1">
        <v>7</v>
      </c>
      <c r="G944" s="1" t="s">
        <v>35</v>
      </c>
      <c r="H944" s="12">
        <v>42552</v>
      </c>
      <c r="I944" s="1">
        <v>29</v>
      </c>
      <c r="J944" s="1">
        <v>6</v>
      </c>
      <c r="K944" s="1" t="s">
        <v>27</v>
      </c>
      <c r="L944" s="1" t="s">
        <v>22</v>
      </c>
      <c r="M944" s="15">
        <f t="shared" si="112"/>
        <v>42.064162791888982</v>
      </c>
      <c r="N944" s="15">
        <f t="shared" si="113"/>
        <v>36.143362183471972</v>
      </c>
      <c r="O944" s="14">
        <f t="shared" si="114"/>
        <v>13161.939752511011</v>
      </c>
      <c r="P944" s="13">
        <f t="shared" si="115"/>
        <v>0.14075641152564877</v>
      </c>
      <c r="Q944" s="15">
        <f t="shared" si="116"/>
        <v>5.9208006084170108</v>
      </c>
      <c r="R944" s="13">
        <f t="shared" si="117"/>
        <v>0.14075641152564883</v>
      </c>
      <c r="S944" s="15">
        <f t="shared" si="118"/>
        <v>35.267973231772061</v>
      </c>
      <c r="T944" s="15">
        <f t="shared" si="119"/>
        <v>40.037918515541335</v>
      </c>
    </row>
    <row r="945" spans="1:20" x14ac:dyDescent="0.3">
      <c r="A945" s="5">
        <v>42581.083333333336</v>
      </c>
      <c r="B945" s="14">
        <v>95343.595512178901</v>
      </c>
      <c r="C945" s="14">
        <v>81874.288863507696</v>
      </c>
      <c r="D945" s="6">
        <v>2267</v>
      </c>
      <c r="E945" s="1">
        <v>2016</v>
      </c>
      <c r="F945" s="1">
        <v>7</v>
      </c>
      <c r="G945" s="1" t="s">
        <v>35</v>
      </c>
      <c r="H945" s="12">
        <v>42552</v>
      </c>
      <c r="I945" s="1">
        <v>30</v>
      </c>
      <c r="J945" s="1">
        <v>7</v>
      </c>
      <c r="K945" s="1" t="s">
        <v>28</v>
      </c>
      <c r="L945" s="1" t="s">
        <v>22</v>
      </c>
      <c r="M945" s="15">
        <f t="shared" si="112"/>
        <v>42.057166083890117</v>
      </c>
      <c r="N945" s="15">
        <f t="shared" si="113"/>
        <v>36.115698660568015</v>
      </c>
      <c r="O945" s="14">
        <f t="shared" si="114"/>
        <v>13469.306648671205</v>
      </c>
      <c r="P945" s="13">
        <f t="shared" si="115"/>
        <v>0.14127122620365912</v>
      </c>
      <c r="Q945" s="15">
        <f t="shared" si="116"/>
        <v>5.9414674233221021</v>
      </c>
      <c r="R945" s="13">
        <f t="shared" si="117"/>
        <v>0.14127122620365914</v>
      </c>
      <c r="S945" s="15">
        <f t="shared" si="118"/>
        <v>35.267973231772061</v>
      </c>
      <c r="T945" s="15">
        <f t="shared" si="119"/>
        <v>40.328617137245949</v>
      </c>
    </row>
    <row r="946" spans="1:20" x14ac:dyDescent="0.3">
      <c r="A946" s="5">
        <v>42582.083333333336</v>
      </c>
      <c r="B946" s="14">
        <v>59514.9923306399</v>
      </c>
      <c r="C946" s="14">
        <v>51145.403341245597</v>
      </c>
      <c r="D946" s="6">
        <v>1415</v>
      </c>
      <c r="E946" s="1">
        <v>2016</v>
      </c>
      <c r="F946" s="1">
        <v>7</v>
      </c>
      <c r="G946" s="1" t="s">
        <v>35</v>
      </c>
      <c r="H946" s="12">
        <v>42552</v>
      </c>
      <c r="I946" s="1">
        <v>31</v>
      </c>
      <c r="J946" s="1">
        <v>1</v>
      </c>
      <c r="K946" s="1" t="s">
        <v>29</v>
      </c>
      <c r="L946" s="1" t="s">
        <v>22</v>
      </c>
      <c r="M946" s="15">
        <f t="shared" si="112"/>
        <v>42.060065251335615</v>
      </c>
      <c r="N946" s="15">
        <f t="shared" si="113"/>
        <v>36.145161371905019</v>
      </c>
      <c r="O946" s="14">
        <f t="shared" si="114"/>
        <v>8369.5889893943022</v>
      </c>
      <c r="P946" s="13">
        <f t="shared" si="115"/>
        <v>0.14062992637042507</v>
      </c>
      <c r="Q946" s="15">
        <f t="shared" si="116"/>
        <v>5.9149038794305966</v>
      </c>
      <c r="R946" s="13">
        <f t="shared" si="117"/>
        <v>0.14062992637042496</v>
      </c>
      <c r="S946" s="15">
        <f t="shared" si="118"/>
        <v>35.267973231772061</v>
      </c>
      <c r="T946" s="15">
        <f t="shared" si="119"/>
        <v>40.617470593412094</v>
      </c>
    </row>
    <row r="947" spans="1:20" x14ac:dyDescent="0.3">
      <c r="A947" s="5">
        <v>42583.083333333336</v>
      </c>
      <c r="B947" s="14">
        <v>65133.966200159797</v>
      </c>
      <c r="C947" s="14">
        <v>55946.0565590771</v>
      </c>
      <c r="D947" s="6">
        <v>1548</v>
      </c>
      <c r="E947" s="1">
        <v>2016</v>
      </c>
      <c r="F947" s="1">
        <v>8</v>
      </c>
      <c r="G947" s="1" t="s">
        <v>36</v>
      </c>
      <c r="H947" s="12">
        <v>42583</v>
      </c>
      <c r="I947" s="1">
        <v>1</v>
      </c>
      <c r="J947" s="1">
        <v>2</v>
      </c>
      <c r="K947" s="1" t="s">
        <v>21</v>
      </c>
      <c r="L947" s="1" t="s">
        <v>22</v>
      </c>
      <c r="M947" s="15">
        <f t="shared" si="112"/>
        <v>42.076205555658781</v>
      </c>
      <c r="N947" s="15">
        <f t="shared" si="113"/>
        <v>36.140863410256522</v>
      </c>
      <c r="O947" s="14">
        <f t="shared" si="114"/>
        <v>9187.9096410826969</v>
      </c>
      <c r="P947" s="13">
        <f t="shared" si="115"/>
        <v>0.14106172519646371</v>
      </c>
      <c r="Q947" s="15">
        <f t="shared" si="116"/>
        <v>5.9353421454022595</v>
      </c>
      <c r="R947" s="13">
        <f t="shared" si="117"/>
        <v>0.14106172519646373</v>
      </c>
      <c r="S947" s="15">
        <f t="shared" si="118"/>
        <v>35.267973231772061</v>
      </c>
      <c r="T947" s="15">
        <f t="shared" si="119"/>
        <v>40.906670866878606</v>
      </c>
    </row>
    <row r="948" spans="1:20" x14ac:dyDescent="0.3">
      <c r="A948" s="5">
        <v>42584.083333333336</v>
      </c>
      <c r="B948" s="14">
        <v>70641.253717499902</v>
      </c>
      <c r="C948" s="14">
        <v>60629.552999890897</v>
      </c>
      <c r="D948" s="6">
        <v>1679</v>
      </c>
      <c r="E948" s="1">
        <v>2016</v>
      </c>
      <c r="F948" s="1">
        <v>8</v>
      </c>
      <c r="G948" s="1" t="s">
        <v>36</v>
      </c>
      <c r="H948" s="12">
        <v>42583</v>
      </c>
      <c r="I948" s="1">
        <v>2</v>
      </c>
      <c r="J948" s="1">
        <v>3</v>
      </c>
      <c r="K948" s="1" t="s">
        <v>23</v>
      </c>
      <c r="L948" s="1" t="s">
        <v>22</v>
      </c>
      <c r="M948" s="15">
        <f t="shared" si="112"/>
        <v>42.073409003871291</v>
      </c>
      <c r="N948" s="15">
        <f t="shared" si="113"/>
        <v>36.110513996361462</v>
      </c>
      <c r="O948" s="14">
        <f t="shared" si="114"/>
        <v>10011.700717609005</v>
      </c>
      <c r="P948" s="13">
        <f t="shared" si="115"/>
        <v>0.14172597725468758</v>
      </c>
      <c r="Q948" s="15">
        <f t="shared" si="116"/>
        <v>5.9628950075098288</v>
      </c>
      <c r="R948" s="13">
        <f t="shared" si="117"/>
        <v>0.14172597725468755</v>
      </c>
      <c r="S948" s="15">
        <f t="shared" si="118"/>
        <v>35.267973231772061</v>
      </c>
      <c r="T948" s="15">
        <f t="shared" si="119"/>
        <v>41.197003305949764</v>
      </c>
    </row>
    <row r="949" spans="1:20" x14ac:dyDescent="0.3">
      <c r="A949" s="5">
        <v>42585.083333333336</v>
      </c>
      <c r="B949" s="14">
        <v>48442.171479960198</v>
      </c>
      <c r="C949" s="14">
        <v>41610.7839399488</v>
      </c>
      <c r="D949" s="6">
        <v>1152</v>
      </c>
      <c r="E949" s="1">
        <v>2016</v>
      </c>
      <c r="F949" s="1">
        <v>8</v>
      </c>
      <c r="G949" s="1" t="s">
        <v>36</v>
      </c>
      <c r="H949" s="12">
        <v>42583</v>
      </c>
      <c r="I949" s="1">
        <v>3</v>
      </c>
      <c r="J949" s="1">
        <v>4</v>
      </c>
      <c r="K949" s="1" t="s">
        <v>25</v>
      </c>
      <c r="L949" s="1" t="s">
        <v>22</v>
      </c>
      <c r="M949" s="15">
        <f t="shared" si="112"/>
        <v>42.050496076354335</v>
      </c>
      <c r="N949" s="15">
        <f t="shared" si="113"/>
        <v>36.120472170094445</v>
      </c>
      <c r="O949" s="14">
        <f t="shared" si="114"/>
        <v>6831.3875400113975</v>
      </c>
      <c r="P949" s="13">
        <f t="shared" si="115"/>
        <v>0.1410214969995191</v>
      </c>
      <c r="Q949" s="15">
        <f t="shared" si="116"/>
        <v>5.9300239062598905</v>
      </c>
      <c r="R949" s="13">
        <f t="shared" si="117"/>
        <v>0.14102149699951905</v>
      </c>
      <c r="S949" s="15">
        <f t="shared" si="118"/>
        <v>35.267973231772061</v>
      </c>
      <c r="T949" s="15">
        <f t="shared" si="119"/>
        <v>41.485605080605858</v>
      </c>
    </row>
    <row r="950" spans="1:20" x14ac:dyDescent="0.3">
      <c r="A950" s="5">
        <v>42586.083333333336</v>
      </c>
      <c r="B950" s="14">
        <v>46291.371916890203</v>
      </c>
      <c r="C950" s="14">
        <v>39783.3606680546</v>
      </c>
      <c r="D950" s="6">
        <v>1101</v>
      </c>
      <c r="E950" s="1">
        <v>2016</v>
      </c>
      <c r="F950" s="1">
        <v>8</v>
      </c>
      <c r="G950" s="1" t="s">
        <v>36</v>
      </c>
      <c r="H950" s="12">
        <v>42583</v>
      </c>
      <c r="I950" s="1">
        <v>4</v>
      </c>
      <c r="J950" s="1">
        <v>5</v>
      </c>
      <c r="K950" s="1" t="s">
        <v>26</v>
      </c>
      <c r="L950" s="1" t="s">
        <v>22</v>
      </c>
      <c r="M950" s="15">
        <f t="shared" si="112"/>
        <v>42.044842794632338</v>
      </c>
      <c r="N950" s="15">
        <f t="shared" si="113"/>
        <v>36.133842568623614</v>
      </c>
      <c r="O950" s="14">
        <f t="shared" si="114"/>
        <v>6508.0112488356026</v>
      </c>
      <c r="P950" s="13">
        <f t="shared" si="115"/>
        <v>0.14058799684139503</v>
      </c>
      <c r="Q950" s="15">
        <f t="shared" si="116"/>
        <v>5.9110002260087242</v>
      </c>
      <c r="R950" s="13">
        <f t="shared" si="117"/>
        <v>0.14058799684139509</v>
      </c>
      <c r="S950" s="15">
        <f t="shared" si="118"/>
        <v>35.267973231772061</v>
      </c>
      <c r="T950" s="15">
        <f t="shared" si="119"/>
        <v>41.775330441330894</v>
      </c>
    </row>
    <row r="951" spans="1:20" x14ac:dyDescent="0.3">
      <c r="A951" s="5">
        <v>42587.083333333336</v>
      </c>
      <c r="B951" s="14">
        <v>73453.143292169596</v>
      </c>
      <c r="C951" s="14">
        <v>63386.492591361202</v>
      </c>
      <c r="D951" s="6">
        <v>1746</v>
      </c>
      <c r="E951" s="1">
        <v>2016</v>
      </c>
      <c r="F951" s="1">
        <v>8</v>
      </c>
      <c r="G951" s="1" t="s">
        <v>36</v>
      </c>
      <c r="H951" s="12">
        <v>42583</v>
      </c>
      <c r="I951" s="1">
        <v>5</v>
      </c>
      <c r="J951" s="1">
        <v>6</v>
      </c>
      <c r="K951" s="1" t="s">
        <v>27</v>
      </c>
      <c r="L951" s="1" t="s">
        <v>22</v>
      </c>
      <c r="M951" s="15">
        <f t="shared" si="112"/>
        <v>42.069383328848566</v>
      </c>
      <c r="N951" s="15">
        <f t="shared" si="113"/>
        <v>36.303833099290493</v>
      </c>
      <c r="O951" s="14">
        <f t="shared" si="114"/>
        <v>10066.650700808394</v>
      </c>
      <c r="P951" s="13">
        <f t="shared" si="115"/>
        <v>0.13704860336292157</v>
      </c>
      <c r="Q951" s="15">
        <f t="shared" si="116"/>
        <v>5.7655502295580732</v>
      </c>
      <c r="R951" s="13">
        <f t="shared" si="117"/>
        <v>0.1370486033629216</v>
      </c>
      <c r="S951" s="15">
        <f t="shared" si="118"/>
        <v>35.267973231772061</v>
      </c>
      <c r="T951" s="15">
        <f t="shared" si="119"/>
        <v>42.062492993559857</v>
      </c>
    </row>
    <row r="952" spans="1:20" x14ac:dyDescent="0.3">
      <c r="A952" s="5">
        <v>42588.083333333336</v>
      </c>
      <c r="B952" s="14">
        <v>71508.897954089494</v>
      </c>
      <c r="C952" s="14">
        <v>61500.5746485411</v>
      </c>
      <c r="D952" s="6">
        <v>1700</v>
      </c>
      <c r="E952" s="1">
        <v>2016</v>
      </c>
      <c r="F952" s="1">
        <v>8</v>
      </c>
      <c r="G952" s="1" t="s">
        <v>36</v>
      </c>
      <c r="H952" s="12">
        <v>42583</v>
      </c>
      <c r="I952" s="1">
        <v>6</v>
      </c>
      <c r="J952" s="1">
        <v>7</v>
      </c>
      <c r="K952" s="1" t="s">
        <v>28</v>
      </c>
      <c r="L952" s="1" t="s">
        <v>22</v>
      </c>
      <c r="M952" s="15">
        <f t="shared" si="112"/>
        <v>42.064057620052644</v>
      </c>
      <c r="N952" s="15">
        <f t="shared" si="113"/>
        <v>36.176808616788882</v>
      </c>
      <c r="O952" s="14">
        <f t="shared" si="114"/>
        <v>10008.323305548394</v>
      </c>
      <c r="P952" s="13">
        <f t="shared" si="115"/>
        <v>0.13995913224636727</v>
      </c>
      <c r="Q952" s="15">
        <f t="shared" si="116"/>
        <v>5.8872490032637614</v>
      </c>
      <c r="R952" s="13">
        <f t="shared" si="117"/>
        <v>0.13995913224636727</v>
      </c>
      <c r="S952" s="15">
        <f t="shared" si="118"/>
        <v>35.267973231772061</v>
      </c>
      <c r="T952" s="15">
        <f t="shared" si="119"/>
        <v>42.062389866758096</v>
      </c>
    </row>
    <row r="953" spans="1:20" x14ac:dyDescent="0.3">
      <c r="A953" s="5">
        <v>42589.083333333336</v>
      </c>
      <c r="B953" s="14">
        <v>30066.126182850101</v>
      </c>
      <c r="C953" s="14">
        <v>25872.488354075798</v>
      </c>
      <c r="D953" s="6">
        <v>715</v>
      </c>
      <c r="E953" s="1">
        <v>2016</v>
      </c>
      <c r="F953" s="1">
        <v>8</v>
      </c>
      <c r="G953" s="1" t="s">
        <v>36</v>
      </c>
      <c r="H953" s="12">
        <v>42583</v>
      </c>
      <c r="I953" s="1">
        <v>7</v>
      </c>
      <c r="J953" s="1">
        <v>1</v>
      </c>
      <c r="K953" s="1" t="s">
        <v>29</v>
      </c>
      <c r="L953" s="1" t="s">
        <v>22</v>
      </c>
      <c r="M953" s="15">
        <f t="shared" si="112"/>
        <v>42.05052612986028</v>
      </c>
      <c r="N953" s="15">
        <f t="shared" si="113"/>
        <v>36.185298397308806</v>
      </c>
      <c r="O953" s="14">
        <f t="shared" si="114"/>
        <v>4193.6378287743028</v>
      </c>
      <c r="P953" s="13">
        <f t="shared" si="115"/>
        <v>0.13948048389307896</v>
      </c>
      <c r="Q953" s="15">
        <f t="shared" si="116"/>
        <v>5.8652277325514746</v>
      </c>
      <c r="R953" s="13">
        <f t="shared" si="117"/>
        <v>0.13948048389307902</v>
      </c>
      <c r="S953" s="15">
        <f t="shared" si="118"/>
        <v>35.267973231772061</v>
      </c>
      <c r="T953" s="15">
        <f t="shared" si="119"/>
        <v>42.062164760446656</v>
      </c>
    </row>
    <row r="954" spans="1:20" x14ac:dyDescent="0.3">
      <c r="A954" s="5">
        <v>42590.083333333336</v>
      </c>
      <c r="B954" s="14">
        <v>37726.615903170197</v>
      </c>
      <c r="C954" s="14">
        <v>32490.136024940501</v>
      </c>
      <c r="D954" s="6">
        <v>897</v>
      </c>
      <c r="E954" s="1">
        <v>2016</v>
      </c>
      <c r="F954" s="1">
        <v>8</v>
      </c>
      <c r="G954" s="1" t="s">
        <v>36</v>
      </c>
      <c r="H954" s="12">
        <v>42583</v>
      </c>
      <c r="I954" s="1">
        <v>8</v>
      </c>
      <c r="J954" s="1">
        <v>2</v>
      </c>
      <c r="K954" s="1" t="s">
        <v>21</v>
      </c>
      <c r="L954" s="1" t="s">
        <v>22</v>
      </c>
      <c r="M954" s="15">
        <f t="shared" si="112"/>
        <v>42.058657640100556</v>
      </c>
      <c r="N954" s="15">
        <f t="shared" si="113"/>
        <v>36.220887430256965</v>
      </c>
      <c r="O954" s="14">
        <f t="shared" si="114"/>
        <v>5236.4798782296966</v>
      </c>
      <c r="P954" s="13">
        <f t="shared" si="115"/>
        <v>0.13880067832401768</v>
      </c>
      <c r="Q954" s="15">
        <f t="shared" si="116"/>
        <v>5.8377702098435904</v>
      </c>
      <c r="R954" s="13">
        <f t="shared" si="117"/>
        <v>0.1388006783240178</v>
      </c>
      <c r="S954" s="15">
        <f t="shared" si="118"/>
        <v>35.267973231772061</v>
      </c>
      <c r="T954" s="15">
        <f t="shared" si="119"/>
        <v>42.062009983968643</v>
      </c>
    </row>
    <row r="955" spans="1:20" x14ac:dyDescent="0.3">
      <c r="A955" s="5">
        <v>42591.083333333336</v>
      </c>
      <c r="B955" s="14">
        <v>30831.6946269002</v>
      </c>
      <c r="C955" s="14">
        <v>26577.0794485226</v>
      </c>
      <c r="D955" s="6">
        <v>733</v>
      </c>
      <c r="E955" s="1">
        <v>2016</v>
      </c>
      <c r="F955" s="1">
        <v>8</v>
      </c>
      <c r="G955" s="1" t="s">
        <v>36</v>
      </c>
      <c r="H955" s="12">
        <v>42583</v>
      </c>
      <c r="I955" s="1">
        <v>9</v>
      </c>
      <c r="J955" s="1">
        <v>3</v>
      </c>
      <c r="K955" s="1" t="s">
        <v>23</v>
      </c>
      <c r="L955" s="1" t="s">
        <v>22</v>
      </c>
      <c r="M955" s="15">
        <f t="shared" si="112"/>
        <v>42.062339190859753</v>
      </c>
      <c r="N955" s="15">
        <f t="shared" si="113"/>
        <v>36.257952862923055</v>
      </c>
      <c r="O955" s="14">
        <f t="shared" si="114"/>
        <v>4254.6151783776004</v>
      </c>
      <c r="P955" s="13">
        <f t="shared" si="115"/>
        <v>0.13799485334372477</v>
      </c>
      <c r="Q955" s="15">
        <f t="shared" si="116"/>
        <v>5.8043863279366974</v>
      </c>
      <c r="R955" s="13">
        <f t="shared" si="117"/>
        <v>0.13799485334372474</v>
      </c>
      <c r="S955" s="15">
        <f t="shared" si="118"/>
        <v>35.267973231772061</v>
      </c>
      <c r="T955" s="15">
        <f t="shared" si="119"/>
        <v>42.061355078540622</v>
      </c>
    </row>
    <row r="956" spans="1:20" x14ac:dyDescent="0.3">
      <c r="A956" s="5">
        <v>42592.083333333336</v>
      </c>
      <c r="B956" s="14">
        <v>146811.45511516</v>
      </c>
      <c r="C956" s="14">
        <v>155135.62911183599</v>
      </c>
      <c r="D956" s="6">
        <v>4282</v>
      </c>
      <c r="E956" s="1">
        <v>2016</v>
      </c>
      <c r="F956" s="1">
        <v>8</v>
      </c>
      <c r="G956" s="1" t="s">
        <v>36</v>
      </c>
      <c r="H956" s="12">
        <v>42583</v>
      </c>
      <c r="I956" s="1">
        <v>10</v>
      </c>
      <c r="J956" s="1">
        <v>4</v>
      </c>
      <c r="K956" s="1" t="s">
        <v>25</v>
      </c>
      <c r="L956" s="1" t="s">
        <v>22</v>
      </c>
      <c r="M956" s="15">
        <f t="shared" si="112"/>
        <v>34.285720484624008</v>
      </c>
      <c r="N956" s="15">
        <f t="shared" si="113"/>
        <v>36.229712543632878</v>
      </c>
      <c r="O956" s="14">
        <f t="shared" si="114"/>
        <v>-8324.1739966759924</v>
      </c>
      <c r="P956" s="13">
        <f t="shared" si="115"/>
        <v>-5.6699758136355562E-2</v>
      </c>
      <c r="Q956" s="15">
        <f t="shared" si="116"/>
        <v>-1.9439920590088704</v>
      </c>
      <c r="R956" s="13">
        <f t="shared" si="117"/>
        <v>-5.6699758136355499E-2</v>
      </c>
      <c r="S956" s="15">
        <f t="shared" si="118"/>
        <v>35.267973231772061</v>
      </c>
      <c r="T956" s="15">
        <f t="shared" si="119"/>
        <v>41.802400844841856</v>
      </c>
    </row>
    <row r="957" spans="1:20" x14ac:dyDescent="0.3">
      <c r="A957" s="5">
        <v>42593.083333333336</v>
      </c>
      <c r="B957" s="14">
        <v>99867.329619087395</v>
      </c>
      <c r="C957" s="14">
        <v>103826.701412471</v>
      </c>
      <c r="D957" s="6">
        <v>2867</v>
      </c>
      <c r="E957" s="1">
        <v>2016</v>
      </c>
      <c r="F957" s="1">
        <v>8</v>
      </c>
      <c r="G957" s="1" t="s">
        <v>36</v>
      </c>
      <c r="H957" s="12">
        <v>42583</v>
      </c>
      <c r="I957" s="1">
        <v>11</v>
      </c>
      <c r="J957" s="1">
        <v>5</v>
      </c>
      <c r="K957" s="1" t="s">
        <v>26</v>
      </c>
      <c r="L957" s="1" t="s">
        <v>22</v>
      </c>
      <c r="M957" s="15">
        <f t="shared" si="112"/>
        <v>34.833390170592047</v>
      </c>
      <c r="N957" s="15">
        <f t="shared" si="113"/>
        <v>36.214405794374258</v>
      </c>
      <c r="O957" s="14">
        <f t="shared" si="114"/>
        <v>-3959.3717933836015</v>
      </c>
      <c r="P957" s="13">
        <f t="shared" si="115"/>
        <v>-3.964631685342327E-2</v>
      </c>
      <c r="Q957" s="15">
        <f t="shared" si="116"/>
        <v>-1.3810156237822113</v>
      </c>
      <c r="R957" s="13">
        <f t="shared" si="117"/>
        <v>-3.964631685342325E-2</v>
      </c>
      <c r="S957" s="15">
        <f t="shared" si="118"/>
        <v>35.267973231772061</v>
      </c>
      <c r="T957" s="15">
        <f t="shared" si="119"/>
        <v>41.5612397353513</v>
      </c>
    </row>
    <row r="958" spans="1:20" x14ac:dyDescent="0.3">
      <c r="A958" s="5">
        <v>42594.083333333336</v>
      </c>
      <c r="B958" s="14">
        <v>210664.86278147699</v>
      </c>
      <c r="C958" s="14">
        <v>220379.27667655601</v>
      </c>
      <c r="D958" s="6">
        <v>6082</v>
      </c>
      <c r="E958" s="1">
        <v>2016</v>
      </c>
      <c r="F958" s="1">
        <v>8</v>
      </c>
      <c r="G958" s="1" t="s">
        <v>36</v>
      </c>
      <c r="H958" s="12">
        <v>42583</v>
      </c>
      <c r="I958" s="1">
        <v>12</v>
      </c>
      <c r="J958" s="1">
        <v>6</v>
      </c>
      <c r="K958" s="1" t="s">
        <v>27</v>
      </c>
      <c r="L958" s="1" t="s">
        <v>22</v>
      </c>
      <c r="M958" s="15">
        <f t="shared" si="112"/>
        <v>34.637432223195823</v>
      </c>
      <c r="N958" s="15">
        <f t="shared" si="113"/>
        <v>36.23467225855903</v>
      </c>
      <c r="O958" s="14">
        <f t="shared" si="114"/>
        <v>-9714.413895079022</v>
      </c>
      <c r="P958" s="13">
        <f t="shared" si="115"/>
        <v>-4.6113119040434379E-2</v>
      </c>
      <c r="Q958" s="15">
        <f t="shared" si="116"/>
        <v>-1.5972400353632068</v>
      </c>
      <c r="R958" s="13">
        <f t="shared" si="117"/>
        <v>-4.6113119040434386E-2</v>
      </c>
      <c r="S958" s="15">
        <f t="shared" si="118"/>
        <v>35.267973231772061</v>
      </c>
      <c r="T958" s="15">
        <f t="shared" si="119"/>
        <v>41.31389378533251</v>
      </c>
    </row>
    <row r="959" spans="1:20" x14ac:dyDescent="0.3">
      <c r="A959" s="5">
        <v>42595.083333333336</v>
      </c>
      <c r="B959" s="14">
        <v>266271.03907309298</v>
      </c>
      <c r="C959" s="14">
        <v>281658.41831912298</v>
      </c>
      <c r="D959" s="6">
        <v>7771</v>
      </c>
      <c r="E959" s="1">
        <v>2016</v>
      </c>
      <c r="F959" s="1">
        <v>8</v>
      </c>
      <c r="G959" s="1" t="s">
        <v>36</v>
      </c>
      <c r="H959" s="12">
        <v>42583</v>
      </c>
      <c r="I959" s="1">
        <v>13</v>
      </c>
      <c r="J959" s="1">
        <v>7</v>
      </c>
      <c r="K959" s="1" t="s">
        <v>28</v>
      </c>
      <c r="L959" s="1" t="s">
        <v>22</v>
      </c>
      <c r="M959" s="15">
        <f t="shared" si="112"/>
        <v>34.264707125607124</v>
      </c>
      <c r="N959" s="15">
        <f t="shared" si="113"/>
        <v>36.244809975437263</v>
      </c>
      <c r="O959" s="14">
        <f t="shared" si="114"/>
        <v>-15387.379246030003</v>
      </c>
      <c r="P959" s="13">
        <f t="shared" si="115"/>
        <v>-5.778840725448206E-2</v>
      </c>
      <c r="Q959" s="15">
        <f t="shared" si="116"/>
        <v>-1.9801028498301392</v>
      </c>
      <c r="R959" s="13">
        <f t="shared" si="117"/>
        <v>-5.7788407254482095E-2</v>
      </c>
      <c r="S959" s="15">
        <f t="shared" si="118"/>
        <v>35.267973231772061</v>
      </c>
      <c r="T959" s="15">
        <f t="shared" si="119"/>
        <v>41.053404702578881</v>
      </c>
    </row>
    <row r="960" spans="1:20" x14ac:dyDescent="0.3">
      <c r="A960" s="5">
        <v>42596.083333333336</v>
      </c>
      <c r="B960" s="14">
        <v>123084.039069415</v>
      </c>
      <c r="C960" s="14">
        <v>129601.527226619</v>
      </c>
      <c r="D960" s="6">
        <v>3576</v>
      </c>
      <c r="E960" s="1">
        <v>2016</v>
      </c>
      <c r="F960" s="1">
        <v>8</v>
      </c>
      <c r="G960" s="1" t="s">
        <v>36</v>
      </c>
      <c r="H960" s="12">
        <v>42583</v>
      </c>
      <c r="I960" s="1">
        <v>14</v>
      </c>
      <c r="J960" s="1">
        <v>1</v>
      </c>
      <c r="K960" s="1" t="s">
        <v>29</v>
      </c>
      <c r="L960" s="1" t="s">
        <v>22</v>
      </c>
      <c r="M960" s="15">
        <f t="shared" si="112"/>
        <v>34.419474012699943</v>
      </c>
      <c r="N960" s="15">
        <f t="shared" si="113"/>
        <v>36.242037815050054</v>
      </c>
      <c r="O960" s="14">
        <f t="shared" si="114"/>
        <v>-6517.4881572040031</v>
      </c>
      <c r="P960" s="13">
        <f t="shared" si="115"/>
        <v>-5.2951529755441103E-2</v>
      </c>
      <c r="Q960" s="15">
        <f t="shared" si="116"/>
        <v>-1.8225638023501105</v>
      </c>
      <c r="R960" s="13">
        <f t="shared" si="117"/>
        <v>-5.2951529755441033E-2</v>
      </c>
      <c r="S960" s="15">
        <f t="shared" si="118"/>
        <v>35.267973231772061</v>
      </c>
      <c r="T960" s="15">
        <f t="shared" si="119"/>
        <v>40.798527873692628</v>
      </c>
    </row>
    <row r="961" spans="1:20" x14ac:dyDescent="0.3">
      <c r="A961" s="5">
        <v>42597.083333333336</v>
      </c>
      <c r="B961" s="14">
        <v>162727.52477714501</v>
      </c>
      <c r="C961" s="14">
        <v>168580.170571439</v>
      </c>
      <c r="D961" s="6">
        <v>4649</v>
      </c>
      <c r="E961" s="1">
        <v>2016</v>
      </c>
      <c r="F961" s="1">
        <v>8</v>
      </c>
      <c r="G961" s="1" t="s">
        <v>36</v>
      </c>
      <c r="H961" s="12">
        <v>42583</v>
      </c>
      <c r="I961" s="1">
        <v>15</v>
      </c>
      <c r="J961" s="1">
        <v>2</v>
      </c>
      <c r="K961" s="1" t="s">
        <v>21</v>
      </c>
      <c r="L961" s="1" t="s">
        <v>22</v>
      </c>
      <c r="M961" s="15">
        <f t="shared" si="112"/>
        <v>35.002694079833297</v>
      </c>
      <c r="N961" s="15">
        <f t="shared" si="113"/>
        <v>36.261598316076359</v>
      </c>
      <c r="O961" s="14">
        <f t="shared" si="114"/>
        <v>-5852.6457942939887</v>
      </c>
      <c r="P961" s="13">
        <f t="shared" si="115"/>
        <v>-3.5965924033498173E-2</v>
      </c>
      <c r="Q961" s="15">
        <f t="shared" si="116"/>
        <v>-1.2589042362430618</v>
      </c>
      <c r="R961" s="13">
        <f t="shared" si="117"/>
        <v>-3.5965924033498207E-2</v>
      </c>
      <c r="S961" s="15">
        <f t="shared" si="118"/>
        <v>35.267973231772061</v>
      </c>
      <c r="T961" s="15">
        <f t="shared" si="119"/>
        <v>40.563440585641196</v>
      </c>
    </row>
    <row r="962" spans="1:20" x14ac:dyDescent="0.3">
      <c r="A962" s="5">
        <v>42598.083333333336</v>
      </c>
      <c r="B962" s="14">
        <v>114708.945994047</v>
      </c>
      <c r="C962" s="14">
        <v>119758.061703468</v>
      </c>
      <c r="D962" s="6">
        <v>3302</v>
      </c>
      <c r="E962" s="1">
        <v>2016</v>
      </c>
      <c r="F962" s="1">
        <v>8</v>
      </c>
      <c r="G962" s="1" t="s">
        <v>36</v>
      </c>
      <c r="H962" s="12">
        <v>42583</v>
      </c>
      <c r="I962" s="1">
        <v>16</v>
      </c>
      <c r="J962" s="1">
        <v>3</v>
      </c>
      <c r="K962" s="1" t="s">
        <v>23</v>
      </c>
      <c r="L962" s="1" t="s">
        <v>22</v>
      </c>
      <c r="M962" s="15">
        <f t="shared" si="112"/>
        <v>34.739232584508478</v>
      </c>
      <c r="N962" s="15">
        <f t="shared" si="113"/>
        <v>36.268340915647485</v>
      </c>
      <c r="O962" s="14">
        <f t="shared" si="114"/>
        <v>-5049.1157094210066</v>
      </c>
      <c r="P962" s="13">
        <f t="shared" si="115"/>
        <v>-4.4016756196879697E-2</v>
      </c>
      <c r="Q962" s="15">
        <f t="shared" si="116"/>
        <v>-1.5291083311390068</v>
      </c>
      <c r="R962" s="13">
        <f t="shared" si="117"/>
        <v>-4.4016756196879642E-2</v>
      </c>
      <c r="S962" s="15">
        <f t="shared" si="118"/>
        <v>35.267973231772061</v>
      </c>
      <c r="T962" s="15">
        <f t="shared" si="119"/>
        <v>40.319929088993995</v>
      </c>
    </row>
    <row r="963" spans="1:20" x14ac:dyDescent="0.3">
      <c r="A963" s="5">
        <v>42599.083333333336</v>
      </c>
      <c r="B963" s="14">
        <v>122318.907468986</v>
      </c>
      <c r="C963" s="14">
        <v>128298.34345694901</v>
      </c>
      <c r="D963" s="6">
        <v>3536</v>
      </c>
      <c r="E963" s="1">
        <v>2016</v>
      </c>
      <c r="F963" s="1">
        <v>8</v>
      </c>
      <c r="G963" s="1" t="s">
        <v>36</v>
      </c>
      <c r="H963" s="12">
        <v>42583</v>
      </c>
      <c r="I963" s="1">
        <v>17</v>
      </c>
      <c r="J963" s="1">
        <v>4</v>
      </c>
      <c r="K963" s="1" t="s">
        <v>25</v>
      </c>
      <c r="L963" s="1" t="s">
        <v>22</v>
      </c>
      <c r="M963" s="15">
        <f t="shared" ref="M963:M1001" si="120">IFERROR(B963/D963,0)</f>
        <v>34.59245120729242</v>
      </c>
      <c r="N963" s="15">
        <f t="shared" ref="N963:N1001" si="121">IFERROR(C963/D963,0)</f>
        <v>36.283468172214086</v>
      </c>
      <c r="O963" s="14">
        <f t="shared" ref="O963:O1001" si="122">B963-C963</f>
        <v>-5979.4359879630065</v>
      </c>
      <c r="P963" s="13">
        <f t="shared" ref="P963:P1001" si="123">IFERROR(O963/B963,0)</f>
        <v>-4.8883987861640235E-2</v>
      </c>
      <c r="Q963" s="15">
        <f t="shared" ref="Q963:Q1001" si="124">M963-N963</f>
        <v>-1.6910169649216655</v>
      </c>
      <c r="R963" s="13">
        <f t="shared" ref="R963:R1001" si="125">IFERROR(Q963/M963,0)</f>
        <v>-4.8883987861640256E-2</v>
      </c>
      <c r="S963" s="15">
        <f t="shared" ref="S963:S1001" si="126">IFERROR(SUM($B$2:$B$1001)/SUM($D$2:$D$1001),0)</f>
        <v>35.267973231772061</v>
      </c>
      <c r="T963" s="15">
        <f t="shared" ref="T963:T1001" si="127">AVERAGEIFS($M$2:$M$1001,$A$2:$A$1001,"&gt;="&amp;A963-29,$A$2:$A$1001,"&lt;="&amp;A963)</f>
        <v>40.071105921989322</v>
      </c>
    </row>
    <row r="964" spans="1:20" x14ac:dyDescent="0.3">
      <c r="A964" s="5">
        <v>42600.083333333336</v>
      </c>
      <c r="B964" s="14">
        <v>112010.344531497</v>
      </c>
      <c r="C964" s="14">
        <v>117374.19157936001</v>
      </c>
      <c r="D964" s="6">
        <v>3236</v>
      </c>
      <c r="E964" s="1">
        <v>2016</v>
      </c>
      <c r="F964" s="1">
        <v>8</v>
      </c>
      <c r="G964" s="1" t="s">
        <v>36</v>
      </c>
      <c r="H964" s="12">
        <v>42583</v>
      </c>
      <c r="I964" s="1">
        <v>18</v>
      </c>
      <c r="J964" s="1">
        <v>5</v>
      </c>
      <c r="K964" s="1" t="s">
        <v>26</v>
      </c>
      <c r="L964" s="1" t="s">
        <v>22</v>
      </c>
      <c r="M964" s="15">
        <f t="shared" si="120"/>
        <v>34.613827111093016</v>
      </c>
      <c r="N964" s="15">
        <f t="shared" si="121"/>
        <v>36.271381823040791</v>
      </c>
      <c r="O964" s="14">
        <f t="shared" si="122"/>
        <v>-5363.8470478630043</v>
      </c>
      <c r="P964" s="13">
        <f t="shared" si="123"/>
        <v>-4.7887068558696427E-2</v>
      </c>
      <c r="Q964" s="15">
        <f t="shared" si="124"/>
        <v>-1.6575547119477747</v>
      </c>
      <c r="R964" s="13">
        <f t="shared" si="125"/>
        <v>-4.7887068558696379E-2</v>
      </c>
      <c r="S964" s="15">
        <f t="shared" si="126"/>
        <v>35.267973231772061</v>
      </c>
      <c r="T964" s="15">
        <f t="shared" si="127"/>
        <v>39.822303157827953</v>
      </c>
    </row>
    <row r="965" spans="1:20" x14ac:dyDescent="0.3">
      <c r="A965" s="5">
        <v>42601.083333333336</v>
      </c>
      <c r="B965" s="14">
        <v>229861.47028057999</v>
      </c>
      <c r="C965" s="14">
        <v>241090.13355630499</v>
      </c>
      <c r="D965" s="6">
        <v>6646</v>
      </c>
      <c r="E965" s="1">
        <v>2016</v>
      </c>
      <c r="F965" s="1">
        <v>8</v>
      </c>
      <c r="G965" s="1" t="s">
        <v>36</v>
      </c>
      <c r="H965" s="12">
        <v>42583</v>
      </c>
      <c r="I965" s="1">
        <v>19</v>
      </c>
      <c r="J965" s="1">
        <v>6</v>
      </c>
      <c r="K965" s="1" t="s">
        <v>27</v>
      </c>
      <c r="L965" s="1" t="s">
        <v>22</v>
      </c>
      <c r="M965" s="15">
        <f t="shared" si="120"/>
        <v>34.586438501441464</v>
      </c>
      <c r="N965" s="15">
        <f t="shared" si="121"/>
        <v>36.275975557674542</v>
      </c>
      <c r="O965" s="14">
        <f t="shared" si="122"/>
        <v>-11228.663275725004</v>
      </c>
      <c r="P965" s="13">
        <f t="shared" si="123"/>
        <v>-4.8849697437412007E-2</v>
      </c>
      <c r="Q965" s="15">
        <f t="shared" si="124"/>
        <v>-1.6895370562330783</v>
      </c>
      <c r="R965" s="13">
        <f t="shared" si="125"/>
        <v>-4.884969743741216E-2</v>
      </c>
      <c r="S965" s="15">
        <f t="shared" si="126"/>
        <v>35.267973231772061</v>
      </c>
      <c r="T965" s="15">
        <f t="shared" si="127"/>
        <v>39.573494006241823</v>
      </c>
    </row>
    <row r="966" spans="1:20" x14ac:dyDescent="0.3">
      <c r="A966" s="5">
        <v>42602.083333333336</v>
      </c>
      <c r="B966" s="14">
        <v>249981.24969419499</v>
      </c>
      <c r="C966" s="14">
        <v>262145.17733742</v>
      </c>
      <c r="D966" s="6">
        <v>7220</v>
      </c>
      <c r="E966" s="1">
        <v>2016</v>
      </c>
      <c r="F966" s="1">
        <v>8</v>
      </c>
      <c r="G966" s="1" t="s">
        <v>36</v>
      </c>
      <c r="H966" s="12">
        <v>42583</v>
      </c>
      <c r="I966" s="1">
        <v>20</v>
      </c>
      <c r="J966" s="1">
        <v>7</v>
      </c>
      <c r="K966" s="1" t="s">
        <v>28</v>
      </c>
      <c r="L966" s="1" t="s">
        <v>22</v>
      </c>
      <c r="M966" s="15">
        <f t="shared" si="120"/>
        <v>34.623441785899587</v>
      </c>
      <c r="N966" s="15">
        <f t="shared" si="121"/>
        <v>36.308196307121882</v>
      </c>
      <c r="O966" s="14">
        <f t="shared" si="122"/>
        <v>-12163.927643225004</v>
      </c>
      <c r="P966" s="13">
        <f t="shared" si="123"/>
        <v>-4.8659360084427457E-2</v>
      </c>
      <c r="Q966" s="15">
        <f t="shared" si="124"/>
        <v>-1.6847545212222954</v>
      </c>
      <c r="R966" s="13">
        <f t="shared" si="125"/>
        <v>-4.8659360084427325E-2</v>
      </c>
      <c r="S966" s="15">
        <f t="shared" si="126"/>
        <v>35.267973231772061</v>
      </c>
      <c r="T966" s="15">
        <f t="shared" si="127"/>
        <v>39.325299489621479</v>
      </c>
    </row>
    <row r="967" spans="1:20" x14ac:dyDescent="0.3">
      <c r="A967" s="5">
        <v>42603.083333333336</v>
      </c>
      <c r="B967" s="14">
        <v>136480.2491167</v>
      </c>
      <c r="C967" s="14">
        <v>143734.22721517101</v>
      </c>
      <c r="D967" s="6">
        <v>3958</v>
      </c>
      <c r="E967" s="1">
        <v>2016</v>
      </c>
      <c r="F967" s="1">
        <v>8</v>
      </c>
      <c r="G967" s="1" t="s">
        <v>36</v>
      </c>
      <c r="H967" s="12">
        <v>42583</v>
      </c>
      <c r="I967" s="1">
        <v>21</v>
      </c>
      <c r="J967" s="1">
        <v>1</v>
      </c>
      <c r="K967" s="1" t="s">
        <v>29</v>
      </c>
      <c r="L967" s="1" t="s">
        <v>22</v>
      </c>
      <c r="M967" s="15">
        <f t="shared" si="120"/>
        <v>34.482124587342092</v>
      </c>
      <c r="N967" s="15">
        <f t="shared" si="121"/>
        <v>36.314862863863318</v>
      </c>
      <c r="O967" s="14">
        <f t="shared" si="122"/>
        <v>-7253.9780984710087</v>
      </c>
      <c r="P967" s="13">
        <f t="shared" si="123"/>
        <v>-5.3150387293536945E-2</v>
      </c>
      <c r="Q967" s="15">
        <f t="shared" si="124"/>
        <v>-1.8327382765212263</v>
      </c>
      <c r="R967" s="13">
        <f t="shared" si="125"/>
        <v>-5.3150387293536987E-2</v>
      </c>
      <c r="S967" s="15">
        <f t="shared" si="126"/>
        <v>35.267973231772061</v>
      </c>
      <c r="T967" s="15">
        <f t="shared" si="127"/>
        <v>39.072864921504006</v>
      </c>
    </row>
    <row r="968" spans="1:20" x14ac:dyDescent="0.3">
      <c r="A968" s="5">
        <v>42604.083333333336</v>
      </c>
      <c r="B968" s="14">
        <v>127369.802614331</v>
      </c>
      <c r="C968" s="14">
        <v>133350.16138222901</v>
      </c>
      <c r="D968" s="6">
        <v>3672</v>
      </c>
      <c r="E968" s="1">
        <v>2016</v>
      </c>
      <c r="F968" s="1">
        <v>8</v>
      </c>
      <c r="G968" s="1" t="s">
        <v>36</v>
      </c>
      <c r="H968" s="12">
        <v>42583</v>
      </c>
      <c r="I968" s="1">
        <v>22</v>
      </c>
      <c r="J968" s="1">
        <v>2</v>
      </c>
      <c r="K968" s="1" t="s">
        <v>21</v>
      </c>
      <c r="L968" s="1" t="s">
        <v>22</v>
      </c>
      <c r="M968" s="15">
        <f t="shared" si="120"/>
        <v>34.686765417846132</v>
      </c>
      <c r="N968" s="15">
        <f t="shared" si="121"/>
        <v>36.315403426532953</v>
      </c>
      <c r="O968" s="14">
        <f t="shared" si="122"/>
        <v>-5980.3587678980111</v>
      </c>
      <c r="P968" s="13">
        <f t="shared" si="123"/>
        <v>-4.695272070104576E-2</v>
      </c>
      <c r="Q968" s="15">
        <f t="shared" si="124"/>
        <v>-1.6286380086868206</v>
      </c>
      <c r="R968" s="13">
        <f t="shared" si="125"/>
        <v>-4.6952720701045711E-2</v>
      </c>
      <c r="S968" s="15">
        <f t="shared" si="126"/>
        <v>35.267973231772061</v>
      </c>
      <c r="T968" s="15">
        <f t="shared" si="127"/>
        <v>38.827242991287804</v>
      </c>
    </row>
    <row r="969" spans="1:20" x14ac:dyDescent="0.3">
      <c r="A969" s="5">
        <v>42605.083333333336</v>
      </c>
      <c r="B969" s="14">
        <v>43537.728158220198</v>
      </c>
      <c r="C969" s="14">
        <v>37649.387527999497</v>
      </c>
      <c r="D969" s="6">
        <v>1035</v>
      </c>
      <c r="E969" s="1">
        <v>2016</v>
      </c>
      <c r="F969" s="1">
        <v>8</v>
      </c>
      <c r="G969" s="1" t="s">
        <v>36</v>
      </c>
      <c r="H969" s="12">
        <v>42583</v>
      </c>
      <c r="I969" s="1">
        <v>23</v>
      </c>
      <c r="J969" s="1">
        <v>3</v>
      </c>
      <c r="K969" s="1" t="s">
        <v>23</v>
      </c>
      <c r="L969" s="1" t="s">
        <v>22</v>
      </c>
      <c r="M969" s="15">
        <f t="shared" si="120"/>
        <v>42.065437834029176</v>
      </c>
      <c r="N969" s="15">
        <f t="shared" si="121"/>
        <v>36.376219833815938</v>
      </c>
      <c r="O969" s="14">
        <f t="shared" si="122"/>
        <v>5888.3406302207004</v>
      </c>
      <c r="P969" s="13">
        <f t="shared" si="123"/>
        <v>0.1352468509340202</v>
      </c>
      <c r="Q969" s="15">
        <f t="shared" si="124"/>
        <v>5.6892180002132378</v>
      </c>
      <c r="R969" s="13">
        <f t="shared" si="125"/>
        <v>0.1352468509340202</v>
      </c>
      <c r="S969" s="15">
        <f t="shared" si="126"/>
        <v>35.267973231772061</v>
      </c>
      <c r="T969" s="15">
        <f t="shared" si="127"/>
        <v>38.827457348709132</v>
      </c>
    </row>
    <row r="970" spans="1:20" x14ac:dyDescent="0.3">
      <c r="A970" s="5">
        <v>42606.083333333336</v>
      </c>
      <c r="B970" s="14">
        <v>120407.413267863</v>
      </c>
      <c r="C970" s="14">
        <v>127699.415911396</v>
      </c>
      <c r="D970" s="6">
        <v>3549</v>
      </c>
      <c r="E970" s="1">
        <v>2016</v>
      </c>
      <c r="F970" s="1">
        <v>8</v>
      </c>
      <c r="G970" s="1" t="s">
        <v>36</v>
      </c>
      <c r="H970" s="12">
        <v>42583</v>
      </c>
      <c r="I970" s="1">
        <v>24</v>
      </c>
      <c r="J970" s="1">
        <v>4</v>
      </c>
      <c r="K970" s="1" t="s">
        <v>25</v>
      </c>
      <c r="L970" s="1" t="s">
        <v>22</v>
      </c>
      <c r="M970" s="15">
        <f t="shared" si="120"/>
        <v>33.927138142536769</v>
      </c>
      <c r="N970" s="15">
        <f t="shared" si="121"/>
        <v>35.981802172836296</v>
      </c>
      <c r="O970" s="14">
        <f t="shared" si="122"/>
        <v>-7292.0026435330074</v>
      </c>
      <c r="P970" s="13">
        <f t="shared" si="123"/>
        <v>-6.0561077143239807E-2</v>
      </c>
      <c r="Q970" s="15">
        <f t="shared" si="124"/>
        <v>-2.0546640302995272</v>
      </c>
      <c r="R970" s="13">
        <f t="shared" si="125"/>
        <v>-6.0561077143239932E-2</v>
      </c>
      <c r="S970" s="15">
        <f t="shared" si="126"/>
        <v>35.267973231772061</v>
      </c>
      <c r="T970" s="15">
        <f t="shared" si="127"/>
        <v>38.555836074179098</v>
      </c>
    </row>
    <row r="971" spans="1:20" x14ac:dyDescent="0.3">
      <c r="A971" s="5">
        <v>42607.083333333336</v>
      </c>
      <c r="B971" s="14">
        <v>226375.543134796</v>
      </c>
      <c r="C971" s="14">
        <v>240429.685547203</v>
      </c>
      <c r="D971" s="6">
        <v>6647</v>
      </c>
      <c r="E971" s="1">
        <v>2016</v>
      </c>
      <c r="F971" s="1">
        <v>8</v>
      </c>
      <c r="G971" s="1" t="s">
        <v>36</v>
      </c>
      <c r="H971" s="12">
        <v>42583</v>
      </c>
      <c r="I971" s="1">
        <v>25</v>
      </c>
      <c r="J971" s="1">
        <v>5</v>
      </c>
      <c r="K971" s="1" t="s">
        <v>26</v>
      </c>
      <c r="L971" s="1" t="s">
        <v>22</v>
      </c>
      <c r="M971" s="15">
        <f t="shared" si="120"/>
        <v>34.056799027350081</v>
      </c>
      <c r="N971" s="15">
        <f t="shared" si="121"/>
        <v>36.171157747435387</v>
      </c>
      <c r="O971" s="14">
        <f t="shared" si="122"/>
        <v>-14054.142412407004</v>
      </c>
      <c r="P971" s="13">
        <f t="shared" si="123"/>
        <v>-6.2083307312214474E-2</v>
      </c>
      <c r="Q971" s="15">
        <f t="shared" si="124"/>
        <v>-2.1143587200853062</v>
      </c>
      <c r="R971" s="13">
        <f t="shared" si="125"/>
        <v>-6.2083307312214599E-2</v>
      </c>
      <c r="S971" s="15">
        <f t="shared" si="126"/>
        <v>35.267973231772061</v>
      </c>
      <c r="T971" s="15">
        <f t="shared" si="127"/>
        <v>38.289562279557238</v>
      </c>
    </row>
    <row r="972" spans="1:20" x14ac:dyDescent="0.3">
      <c r="A972" s="5">
        <v>42608.083333333336</v>
      </c>
      <c r="B972" s="14">
        <v>337900.17823359597</v>
      </c>
      <c r="C972" s="14">
        <v>358772.25036410999</v>
      </c>
      <c r="D972" s="6">
        <v>9908</v>
      </c>
      <c r="E972" s="1">
        <v>2016</v>
      </c>
      <c r="F972" s="1">
        <v>8</v>
      </c>
      <c r="G972" s="1" t="s">
        <v>36</v>
      </c>
      <c r="H972" s="12">
        <v>42583</v>
      </c>
      <c r="I972" s="1">
        <v>26</v>
      </c>
      <c r="J972" s="1">
        <v>6</v>
      </c>
      <c r="K972" s="1" t="s">
        <v>27</v>
      </c>
      <c r="L972" s="1" t="s">
        <v>22</v>
      </c>
      <c r="M972" s="15">
        <f t="shared" si="120"/>
        <v>34.1037725306415</v>
      </c>
      <c r="N972" s="15">
        <f t="shared" si="121"/>
        <v>36.210360351646145</v>
      </c>
      <c r="O972" s="14">
        <f t="shared" si="122"/>
        <v>-20872.072130514018</v>
      </c>
      <c r="P972" s="13">
        <f t="shared" si="123"/>
        <v>-6.1769935250181519E-2</v>
      </c>
      <c r="Q972" s="15">
        <f t="shared" si="124"/>
        <v>-2.1065878210046449</v>
      </c>
      <c r="R972" s="13">
        <f t="shared" si="125"/>
        <v>-6.1769935250181526E-2</v>
      </c>
      <c r="S972" s="15">
        <f t="shared" si="126"/>
        <v>35.267973231772061</v>
      </c>
      <c r="T972" s="15">
        <f t="shared" si="127"/>
        <v>38.023898068102532</v>
      </c>
    </row>
    <row r="973" spans="1:20" x14ac:dyDescent="0.3">
      <c r="A973" s="5">
        <v>42609.083333333336</v>
      </c>
      <c r="B973" s="14">
        <v>355069.54010681697</v>
      </c>
      <c r="C973" s="14">
        <v>376755.56448352599</v>
      </c>
      <c r="D973" s="6">
        <v>10393</v>
      </c>
      <c r="E973" s="1">
        <v>2016</v>
      </c>
      <c r="F973" s="1">
        <v>8</v>
      </c>
      <c r="G973" s="1" t="s">
        <v>36</v>
      </c>
      <c r="H973" s="12">
        <v>42583</v>
      </c>
      <c r="I973" s="1">
        <v>27</v>
      </c>
      <c r="J973" s="1">
        <v>7</v>
      </c>
      <c r="K973" s="1" t="s">
        <v>28</v>
      </c>
      <c r="L973" s="1" t="s">
        <v>22</v>
      </c>
      <c r="M973" s="15">
        <f t="shared" si="120"/>
        <v>34.164297133341378</v>
      </c>
      <c r="N973" s="15">
        <f t="shared" si="121"/>
        <v>36.25089622664543</v>
      </c>
      <c r="O973" s="14">
        <f t="shared" si="122"/>
        <v>-21686.024376709014</v>
      </c>
      <c r="P973" s="13">
        <f t="shared" si="123"/>
        <v>-6.1075428689786014E-2</v>
      </c>
      <c r="Q973" s="15">
        <f t="shared" si="124"/>
        <v>-2.0865990933040521</v>
      </c>
      <c r="R973" s="13">
        <f t="shared" si="125"/>
        <v>-6.1075428689786014E-2</v>
      </c>
      <c r="S973" s="15">
        <f t="shared" si="126"/>
        <v>35.267973231772061</v>
      </c>
      <c r="T973" s="15">
        <f t="shared" si="127"/>
        <v>37.760548514240909</v>
      </c>
    </row>
    <row r="974" spans="1:20" x14ac:dyDescent="0.3">
      <c r="A974" s="5">
        <v>42610.083333333336</v>
      </c>
      <c r="B974" s="14">
        <v>153893.68522804999</v>
      </c>
      <c r="C974" s="14">
        <v>163401.329154059</v>
      </c>
      <c r="D974" s="6">
        <v>4507</v>
      </c>
      <c r="E974" s="1">
        <v>2016</v>
      </c>
      <c r="F974" s="1">
        <v>8</v>
      </c>
      <c r="G974" s="1" t="s">
        <v>36</v>
      </c>
      <c r="H974" s="12">
        <v>42583</v>
      </c>
      <c r="I974" s="1">
        <v>28</v>
      </c>
      <c r="J974" s="1">
        <v>1</v>
      </c>
      <c r="K974" s="1" t="s">
        <v>29</v>
      </c>
      <c r="L974" s="1" t="s">
        <v>22</v>
      </c>
      <c r="M974" s="15">
        <f t="shared" si="120"/>
        <v>34.145481523862877</v>
      </c>
      <c r="N974" s="15">
        <f t="shared" si="121"/>
        <v>36.255009796773685</v>
      </c>
      <c r="O974" s="14">
        <f t="shared" si="122"/>
        <v>-9507.6439260090119</v>
      </c>
      <c r="P974" s="13">
        <f t="shared" si="123"/>
        <v>-6.1780598157227487E-2</v>
      </c>
      <c r="Q974" s="15">
        <f t="shared" si="124"/>
        <v>-2.1095282729108078</v>
      </c>
      <c r="R974" s="13">
        <f t="shared" si="125"/>
        <v>-6.178059815722748E-2</v>
      </c>
      <c r="S974" s="15">
        <f t="shared" si="126"/>
        <v>35.267973231772061</v>
      </c>
      <c r="T974" s="15">
        <f t="shared" si="127"/>
        <v>37.496592471973379</v>
      </c>
    </row>
    <row r="975" spans="1:20" x14ac:dyDescent="0.3">
      <c r="A975" s="5">
        <v>42611.083333333336</v>
      </c>
      <c r="B975" s="14">
        <v>159625.740922425</v>
      </c>
      <c r="C975" s="14">
        <v>169479.10605406499</v>
      </c>
      <c r="D975" s="6">
        <v>4672</v>
      </c>
      <c r="E975" s="1">
        <v>2016</v>
      </c>
      <c r="F975" s="1">
        <v>8</v>
      </c>
      <c r="G975" s="1" t="s">
        <v>36</v>
      </c>
      <c r="H975" s="12">
        <v>42583</v>
      </c>
      <c r="I975" s="1">
        <v>29</v>
      </c>
      <c r="J975" s="1">
        <v>2</v>
      </c>
      <c r="K975" s="1" t="s">
        <v>21</v>
      </c>
      <c r="L975" s="1" t="s">
        <v>22</v>
      </c>
      <c r="M975" s="15">
        <f t="shared" si="120"/>
        <v>34.166468519354666</v>
      </c>
      <c r="N975" s="15">
        <f t="shared" si="121"/>
        <v>36.275493590339252</v>
      </c>
      <c r="O975" s="14">
        <f t="shared" si="122"/>
        <v>-9853.3651316399919</v>
      </c>
      <c r="P975" s="13">
        <f t="shared" si="123"/>
        <v>-6.1727921040181953E-2</v>
      </c>
      <c r="Q975" s="15">
        <f t="shared" si="124"/>
        <v>-2.1090250709845861</v>
      </c>
      <c r="R975" s="13">
        <f t="shared" si="125"/>
        <v>-6.1727921040181918E-2</v>
      </c>
      <c r="S975" s="15">
        <f t="shared" si="126"/>
        <v>35.267973231772061</v>
      </c>
      <c r="T975" s="15">
        <f t="shared" si="127"/>
        <v>37.233569219822201</v>
      </c>
    </row>
    <row r="976" spans="1:20" x14ac:dyDescent="0.3">
      <c r="A976" s="5">
        <v>42612.083333333336</v>
      </c>
      <c r="B976" s="14">
        <v>133961.966992851</v>
      </c>
      <c r="C976" s="14">
        <v>142299.91779184801</v>
      </c>
      <c r="D976" s="6">
        <v>3924</v>
      </c>
      <c r="E976" s="1">
        <v>2016</v>
      </c>
      <c r="F976" s="1">
        <v>8</v>
      </c>
      <c r="G976" s="1" t="s">
        <v>36</v>
      </c>
      <c r="H976" s="12">
        <v>42583</v>
      </c>
      <c r="I976" s="1">
        <v>30</v>
      </c>
      <c r="J976" s="1">
        <v>3</v>
      </c>
      <c r="K976" s="1" t="s">
        <v>23</v>
      </c>
      <c r="L976" s="1" t="s">
        <v>22</v>
      </c>
      <c r="M976" s="15">
        <f t="shared" si="120"/>
        <v>34.139135319279049</v>
      </c>
      <c r="N976" s="15">
        <f t="shared" si="121"/>
        <v>36.263995359798166</v>
      </c>
      <c r="O976" s="14">
        <f t="shared" si="122"/>
        <v>-8337.9507989970152</v>
      </c>
      <c r="P976" s="13">
        <f t="shared" si="123"/>
        <v>-6.2241179240388265E-2</v>
      </c>
      <c r="Q976" s="15">
        <f t="shared" si="124"/>
        <v>-2.1248600405191169</v>
      </c>
      <c r="R976" s="13">
        <f t="shared" si="125"/>
        <v>-6.2241179240388265E-2</v>
      </c>
      <c r="S976" s="15">
        <f t="shared" si="126"/>
        <v>35.267973231772061</v>
      </c>
      <c r="T976" s="15">
        <f t="shared" si="127"/>
        <v>36.969538222086982</v>
      </c>
    </row>
    <row r="977" spans="1:20" x14ac:dyDescent="0.3">
      <c r="A977" s="5">
        <v>42613.083333333336</v>
      </c>
      <c r="B977" s="14">
        <v>236305.156366476</v>
      </c>
      <c r="C977" s="14">
        <v>250572.45338779499</v>
      </c>
      <c r="D977" s="6">
        <v>6918</v>
      </c>
      <c r="E977" s="1">
        <v>2016</v>
      </c>
      <c r="F977" s="1">
        <v>8</v>
      </c>
      <c r="G977" s="1" t="s">
        <v>36</v>
      </c>
      <c r="H977" s="12">
        <v>42583</v>
      </c>
      <c r="I977" s="1">
        <v>31</v>
      </c>
      <c r="J977" s="1">
        <v>4</v>
      </c>
      <c r="K977" s="1" t="s">
        <v>25</v>
      </c>
      <c r="L977" s="1" t="s">
        <v>22</v>
      </c>
      <c r="M977" s="15">
        <f t="shared" si="120"/>
        <v>34.158016242624456</v>
      </c>
      <c r="N977" s="15">
        <f t="shared" si="121"/>
        <v>36.220360420323068</v>
      </c>
      <c r="O977" s="14">
        <f t="shared" si="122"/>
        <v>-14267.297021318984</v>
      </c>
      <c r="P977" s="13">
        <f t="shared" si="123"/>
        <v>-6.0376579337915147E-2</v>
      </c>
      <c r="Q977" s="15">
        <f t="shared" si="124"/>
        <v>-2.0623441776986127</v>
      </c>
      <c r="R977" s="13">
        <f t="shared" si="125"/>
        <v>-6.0376579337915237E-2</v>
      </c>
      <c r="S977" s="15">
        <f t="shared" si="126"/>
        <v>35.267973231772061</v>
      </c>
      <c r="T977" s="15">
        <f t="shared" si="127"/>
        <v>36.705598578319169</v>
      </c>
    </row>
    <row r="978" spans="1:20" x14ac:dyDescent="0.3">
      <c r="A978" s="5">
        <v>42614.083333333336</v>
      </c>
      <c r="B978" s="14">
        <v>313491.73511881399</v>
      </c>
      <c r="C978" s="14">
        <v>333030.87570402701</v>
      </c>
      <c r="D978" s="6">
        <v>9183</v>
      </c>
      <c r="E978" s="1">
        <v>2016</v>
      </c>
      <c r="F978" s="1">
        <v>9</v>
      </c>
      <c r="G978" s="1" t="s">
        <v>37</v>
      </c>
      <c r="H978" s="12">
        <v>42614</v>
      </c>
      <c r="I978" s="1">
        <v>1</v>
      </c>
      <c r="J978" s="1">
        <v>5</v>
      </c>
      <c r="K978" s="1" t="s">
        <v>26</v>
      </c>
      <c r="L978" s="1" t="s">
        <v>22</v>
      </c>
      <c r="M978" s="15">
        <f t="shared" si="120"/>
        <v>34.138270186084505</v>
      </c>
      <c r="N978" s="15">
        <f t="shared" si="121"/>
        <v>36.266021529350652</v>
      </c>
      <c r="O978" s="14">
        <f t="shared" si="122"/>
        <v>-19539.140585213026</v>
      </c>
      <c r="P978" s="13">
        <f t="shared" si="123"/>
        <v>-6.2327450443973122E-2</v>
      </c>
      <c r="Q978" s="15">
        <f t="shared" si="124"/>
        <v>-2.1277513432661479</v>
      </c>
      <c r="R978" s="13">
        <f t="shared" si="125"/>
        <v>-6.2327450443973149E-2</v>
      </c>
      <c r="S978" s="15">
        <f t="shared" si="126"/>
        <v>35.267973231772061</v>
      </c>
      <c r="T978" s="15">
        <f t="shared" si="127"/>
        <v>36.441093951059614</v>
      </c>
    </row>
    <row r="979" spans="1:20" x14ac:dyDescent="0.3">
      <c r="A979" s="5">
        <v>42615.083333333336</v>
      </c>
      <c r="B979" s="14">
        <v>370355.00173424103</v>
      </c>
      <c r="C979" s="14">
        <v>392493.08269182302</v>
      </c>
      <c r="D979" s="6">
        <v>10830</v>
      </c>
      <c r="E979" s="1">
        <v>2016</v>
      </c>
      <c r="F979" s="1">
        <v>9</v>
      </c>
      <c r="G979" s="1" t="s">
        <v>37</v>
      </c>
      <c r="H979" s="12">
        <v>42614</v>
      </c>
      <c r="I979" s="1">
        <v>2</v>
      </c>
      <c r="J979" s="1">
        <v>6</v>
      </c>
      <c r="K979" s="1" t="s">
        <v>27</v>
      </c>
      <c r="L979" s="1" t="s">
        <v>22</v>
      </c>
      <c r="M979" s="15">
        <f t="shared" si="120"/>
        <v>34.197137740927147</v>
      </c>
      <c r="N979" s="15">
        <f t="shared" si="121"/>
        <v>36.241281873667866</v>
      </c>
      <c r="O979" s="14">
        <f t="shared" si="122"/>
        <v>-22138.080957581988</v>
      </c>
      <c r="P979" s="13">
        <f t="shared" si="123"/>
        <v>-5.9775298980484164E-2</v>
      </c>
      <c r="Q979" s="15">
        <f t="shared" si="124"/>
        <v>-2.044144132740719</v>
      </c>
      <c r="R979" s="13">
        <f t="shared" si="125"/>
        <v>-5.9775298980484164E-2</v>
      </c>
      <c r="S979" s="15">
        <f t="shared" si="126"/>
        <v>35.267973231772061</v>
      </c>
      <c r="T979" s="15">
        <f t="shared" si="127"/>
        <v>36.179315339878713</v>
      </c>
    </row>
    <row r="980" spans="1:20" x14ac:dyDescent="0.3">
      <c r="A980" s="5">
        <v>42616.083333333336</v>
      </c>
      <c r="B980" s="14">
        <v>369091.05539249798</v>
      </c>
      <c r="C980" s="14">
        <v>391842.50139780302</v>
      </c>
      <c r="D980" s="6">
        <v>10800</v>
      </c>
      <c r="E980" s="1">
        <v>2016</v>
      </c>
      <c r="F980" s="1">
        <v>9</v>
      </c>
      <c r="G980" s="1" t="s">
        <v>37</v>
      </c>
      <c r="H980" s="12">
        <v>42614</v>
      </c>
      <c r="I980" s="1">
        <v>3</v>
      </c>
      <c r="J980" s="1">
        <v>7</v>
      </c>
      <c r="K980" s="1" t="s">
        <v>28</v>
      </c>
      <c r="L980" s="1" t="s">
        <v>22</v>
      </c>
      <c r="M980" s="15">
        <f t="shared" si="120"/>
        <v>34.175097721527592</v>
      </c>
      <c r="N980" s="15">
        <f t="shared" si="121"/>
        <v>36.281713092389168</v>
      </c>
      <c r="O980" s="14">
        <f t="shared" si="122"/>
        <v>-22751.446005305042</v>
      </c>
      <c r="P980" s="13">
        <f t="shared" si="123"/>
        <v>-6.1641824349036992E-2</v>
      </c>
      <c r="Q980" s="15">
        <f t="shared" si="124"/>
        <v>-2.1066153708615758</v>
      </c>
      <c r="R980" s="13">
        <f t="shared" si="125"/>
        <v>-6.1641824349036922E-2</v>
      </c>
      <c r="S980" s="15">
        <f t="shared" si="126"/>
        <v>35.267973231772061</v>
      </c>
      <c r="T980" s="15">
        <f t="shared" si="127"/>
        <v>35.916990504108547</v>
      </c>
    </row>
    <row r="981" spans="1:20" x14ac:dyDescent="0.3">
      <c r="A981" s="5">
        <v>42617.083333333336</v>
      </c>
      <c r="B981" s="14">
        <v>209026.01967195899</v>
      </c>
      <c r="C981" s="14">
        <v>222163.72890927401</v>
      </c>
      <c r="D981" s="6">
        <v>6119</v>
      </c>
      <c r="E981" s="1">
        <v>2016</v>
      </c>
      <c r="F981" s="1">
        <v>9</v>
      </c>
      <c r="G981" s="1" t="s">
        <v>37</v>
      </c>
      <c r="H981" s="12">
        <v>42614</v>
      </c>
      <c r="I981" s="1">
        <v>4</v>
      </c>
      <c r="J981" s="1">
        <v>1</v>
      </c>
      <c r="K981" s="1" t="s">
        <v>29</v>
      </c>
      <c r="L981" s="1" t="s">
        <v>22</v>
      </c>
      <c r="M981" s="15">
        <f t="shared" si="120"/>
        <v>34.160160103278145</v>
      </c>
      <c r="N981" s="15">
        <f t="shared" si="121"/>
        <v>36.307195441947052</v>
      </c>
      <c r="O981" s="14">
        <f t="shared" si="122"/>
        <v>-13137.709237315023</v>
      </c>
      <c r="P981" s="13">
        <f t="shared" si="123"/>
        <v>-6.2852027981650641E-2</v>
      </c>
      <c r="Q981" s="15">
        <f t="shared" si="124"/>
        <v>-2.1470353386689069</v>
      </c>
      <c r="R981" s="13">
        <f t="shared" si="125"/>
        <v>-6.2852027981650738E-2</v>
      </c>
      <c r="S981" s="15">
        <f t="shared" si="126"/>
        <v>35.267973231772061</v>
      </c>
      <c r="T981" s="15">
        <f t="shared" si="127"/>
        <v>35.653349729922866</v>
      </c>
    </row>
    <row r="982" spans="1:20" x14ac:dyDescent="0.3">
      <c r="A982" s="5">
        <v>42618.083333333336</v>
      </c>
      <c r="B982" s="14">
        <v>228177.31678003</v>
      </c>
      <c r="C982" s="14">
        <v>242589.58721854401</v>
      </c>
      <c r="D982" s="6">
        <v>6685</v>
      </c>
      <c r="E982" s="1">
        <v>2016</v>
      </c>
      <c r="F982" s="1">
        <v>9</v>
      </c>
      <c r="G982" s="1" t="s">
        <v>37</v>
      </c>
      <c r="H982" s="12">
        <v>42614</v>
      </c>
      <c r="I982" s="1">
        <v>5</v>
      </c>
      <c r="J982" s="1">
        <v>2</v>
      </c>
      <c r="K982" s="1" t="s">
        <v>21</v>
      </c>
      <c r="L982" s="1" t="s">
        <v>22</v>
      </c>
      <c r="M982" s="15">
        <f t="shared" si="120"/>
        <v>34.132732502622289</v>
      </c>
      <c r="N982" s="15">
        <f t="shared" si="121"/>
        <v>36.28864431092655</v>
      </c>
      <c r="O982" s="14">
        <f t="shared" si="122"/>
        <v>-14412.27043851401</v>
      </c>
      <c r="P982" s="13">
        <f t="shared" si="123"/>
        <v>-6.3162590576029451E-2</v>
      </c>
      <c r="Q982" s="15">
        <f t="shared" si="124"/>
        <v>-2.1559118083042605</v>
      </c>
      <c r="R982" s="13">
        <f t="shared" si="125"/>
        <v>-6.3162590576029326E-2</v>
      </c>
      <c r="S982" s="15">
        <f t="shared" si="126"/>
        <v>35.267973231772061</v>
      </c>
      <c r="T982" s="15">
        <f t="shared" si="127"/>
        <v>35.388972226008519</v>
      </c>
    </row>
    <row r="983" spans="1:20" x14ac:dyDescent="0.3">
      <c r="A983" s="5">
        <v>42619.083333333336</v>
      </c>
      <c r="B983" s="14">
        <v>154494.78204917</v>
      </c>
      <c r="C983" s="14">
        <v>164108.82644458601</v>
      </c>
      <c r="D983" s="6">
        <v>4519</v>
      </c>
      <c r="E983" s="1">
        <v>2016</v>
      </c>
      <c r="F983" s="1">
        <v>9</v>
      </c>
      <c r="G983" s="1" t="s">
        <v>37</v>
      </c>
      <c r="H983" s="12">
        <v>42614</v>
      </c>
      <c r="I983" s="1">
        <v>6</v>
      </c>
      <c r="J983" s="1">
        <v>3</v>
      </c>
      <c r="K983" s="1" t="s">
        <v>23</v>
      </c>
      <c r="L983" s="1" t="s">
        <v>22</v>
      </c>
      <c r="M983" s="15">
        <f t="shared" si="120"/>
        <v>34.187825193443238</v>
      </c>
      <c r="N983" s="15">
        <f t="shared" si="121"/>
        <v>36.315296845449438</v>
      </c>
      <c r="O983" s="14">
        <f t="shared" si="122"/>
        <v>-9614.0443954160146</v>
      </c>
      <c r="P983" s="13">
        <f t="shared" si="123"/>
        <v>-6.2228926232319084E-2</v>
      </c>
      <c r="Q983" s="15">
        <f t="shared" si="124"/>
        <v>-2.1274716520062</v>
      </c>
      <c r="R983" s="13">
        <f t="shared" si="125"/>
        <v>-6.2228926232319105E-2</v>
      </c>
      <c r="S983" s="15">
        <f t="shared" si="126"/>
        <v>35.267973231772061</v>
      </c>
      <c r="T983" s="15">
        <f t="shared" si="127"/>
        <v>35.126882194794611</v>
      </c>
    </row>
    <row r="984" spans="1:20" x14ac:dyDescent="0.3">
      <c r="A984" s="5">
        <v>42620.083333333336</v>
      </c>
      <c r="B984" s="14">
        <v>50736.474172200098</v>
      </c>
      <c r="C984" s="14">
        <v>43830.196852872301</v>
      </c>
      <c r="D984" s="6">
        <v>1206</v>
      </c>
      <c r="E984" s="1">
        <v>2016</v>
      </c>
      <c r="F984" s="1">
        <v>9</v>
      </c>
      <c r="G984" s="1" t="s">
        <v>37</v>
      </c>
      <c r="H984" s="12">
        <v>42614</v>
      </c>
      <c r="I984" s="1">
        <v>7</v>
      </c>
      <c r="J984" s="1">
        <v>4</v>
      </c>
      <c r="K984" s="1" t="s">
        <v>25</v>
      </c>
      <c r="L984" s="1" t="s">
        <v>22</v>
      </c>
      <c r="M984" s="15">
        <f t="shared" si="120"/>
        <v>42.070044918905552</v>
      </c>
      <c r="N984" s="15">
        <f t="shared" si="121"/>
        <v>36.343446810010199</v>
      </c>
      <c r="O984" s="14">
        <f t="shared" si="122"/>
        <v>6906.2773193277972</v>
      </c>
      <c r="P984" s="13">
        <f t="shared" si="123"/>
        <v>0.13612056083928542</v>
      </c>
      <c r="Q984" s="15">
        <f t="shared" si="124"/>
        <v>5.7265981088953524</v>
      </c>
      <c r="R984" s="13">
        <f t="shared" si="125"/>
        <v>0.13612056083928539</v>
      </c>
      <c r="S984" s="15">
        <f t="shared" si="126"/>
        <v>35.267973231772061</v>
      </c>
      <c r="T984" s="15">
        <f t="shared" si="127"/>
        <v>35.127261770754785</v>
      </c>
    </row>
    <row r="985" spans="1:20" x14ac:dyDescent="0.3">
      <c r="A985" s="5">
        <v>42621.083333333336</v>
      </c>
      <c r="B985" s="14">
        <v>43292.149236510202</v>
      </c>
      <c r="C985" s="14">
        <v>37391.680889456104</v>
      </c>
      <c r="D985" s="6">
        <v>1029</v>
      </c>
      <c r="E985" s="1">
        <v>2016</v>
      </c>
      <c r="F985" s="1">
        <v>9</v>
      </c>
      <c r="G985" s="1" t="s">
        <v>37</v>
      </c>
      <c r="H985" s="12">
        <v>42614</v>
      </c>
      <c r="I985" s="1">
        <v>8</v>
      </c>
      <c r="J985" s="1">
        <v>5</v>
      </c>
      <c r="K985" s="1" t="s">
        <v>26</v>
      </c>
      <c r="L985" s="1" t="s">
        <v>22</v>
      </c>
      <c r="M985" s="15">
        <f t="shared" si="120"/>
        <v>42.072059510699908</v>
      </c>
      <c r="N985" s="15">
        <f t="shared" si="121"/>
        <v>36.33788230267843</v>
      </c>
      <c r="O985" s="14">
        <f t="shared" si="122"/>
        <v>5900.4683470540986</v>
      </c>
      <c r="P985" s="13">
        <f t="shared" si="123"/>
        <v>0.1362941884640361</v>
      </c>
      <c r="Q985" s="15">
        <f t="shared" si="124"/>
        <v>5.7341772080214781</v>
      </c>
      <c r="R985" s="13">
        <f t="shared" si="125"/>
        <v>0.13629418846403615</v>
      </c>
      <c r="S985" s="15">
        <f t="shared" si="126"/>
        <v>35.267973231772061</v>
      </c>
      <c r="T985" s="15">
        <f t="shared" si="127"/>
        <v>35.127585781416116</v>
      </c>
    </row>
    <row r="986" spans="1:20" x14ac:dyDescent="0.3">
      <c r="A986" s="5">
        <v>42622.083333333336</v>
      </c>
      <c r="B986" s="14">
        <v>77335.918597634198</v>
      </c>
      <c r="C986" s="14">
        <v>69612.126701887493</v>
      </c>
      <c r="D986" s="6">
        <v>1917</v>
      </c>
      <c r="E986" s="1">
        <v>2016</v>
      </c>
      <c r="F986" s="1">
        <v>9</v>
      </c>
      <c r="G986" s="1" t="s">
        <v>37</v>
      </c>
      <c r="H986" s="12">
        <v>42614</v>
      </c>
      <c r="I986" s="1">
        <v>9</v>
      </c>
      <c r="J986" s="1">
        <v>6</v>
      </c>
      <c r="K986" s="1" t="s">
        <v>27</v>
      </c>
      <c r="L986" s="1" t="s">
        <v>22</v>
      </c>
      <c r="M986" s="15">
        <f t="shared" si="120"/>
        <v>40.342158892871254</v>
      </c>
      <c r="N986" s="15">
        <f t="shared" si="121"/>
        <v>36.313055139221433</v>
      </c>
      <c r="O986" s="14">
        <f t="shared" si="122"/>
        <v>7723.7918957467045</v>
      </c>
      <c r="P986" s="13">
        <f t="shared" si="123"/>
        <v>9.9873280563618785E-2</v>
      </c>
      <c r="Q986" s="15">
        <f t="shared" si="124"/>
        <v>4.0291037536498209</v>
      </c>
      <c r="R986" s="13">
        <f t="shared" si="125"/>
        <v>9.9873280563618827E-2</v>
      </c>
      <c r="S986" s="15">
        <f t="shared" si="126"/>
        <v>35.267973231772061</v>
      </c>
      <c r="T986" s="15">
        <f t="shared" si="127"/>
        <v>35.329467061691034</v>
      </c>
    </row>
    <row r="987" spans="1:20" x14ac:dyDescent="0.3">
      <c r="A987" s="5">
        <v>42623.083333333336</v>
      </c>
      <c r="B987" s="14">
        <v>85070.234889733896</v>
      </c>
      <c r="C987" s="14">
        <v>76591.852917484997</v>
      </c>
      <c r="D987" s="6">
        <v>2108</v>
      </c>
      <c r="E987" s="1">
        <v>2016</v>
      </c>
      <c r="F987" s="1">
        <v>9</v>
      </c>
      <c r="G987" s="1" t="s">
        <v>37</v>
      </c>
      <c r="H987" s="12">
        <v>42614</v>
      </c>
      <c r="I987" s="1">
        <v>10</v>
      </c>
      <c r="J987" s="1">
        <v>7</v>
      </c>
      <c r="K987" s="1" t="s">
        <v>28</v>
      </c>
      <c r="L987" s="1" t="s">
        <v>22</v>
      </c>
      <c r="M987" s="15">
        <f t="shared" si="120"/>
        <v>40.355898904048338</v>
      </c>
      <c r="N987" s="15">
        <f t="shared" si="121"/>
        <v>36.333896070913184</v>
      </c>
      <c r="O987" s="14">
        <f t="shared" si="122"/>
        <v>8478.3819722488988</v>
      </c>
      <c r="P987" s="13">
        <f t="shared" si="123"/>
        <v>9.9663319176658965E-2</v>
      </c>
      <c r="Q987" s="15">
        <f t="shared" si="124"/>
        <v>4.0220028331351543</v>
      </c>
      <c r="R987" s="13">
        <f t="shared" si="125"/>
        <v>9.9663319176659035E-2</v>
      </c>
      <c r="S987" s="15">
        <f t="shared" si="126"/>
        <v>35.267973231772061</v>
      </c>
      <c r="T987" s="15">
        <f t="shared" si="127"/>
        <v>35.513550686139574</v>
      </c>
    </row>
    <row r="988" spans="1:20" x14ac:dyDescent="0.3">
      <c r="A988" s="5">
        <v>42624.083333333336</v>
      </c>
      <c r="B988" s="14">
        <v>48831.666105370197</v>
      </c>
      <c r="C988" s="14">
        <v>44014.232018730203</v>
      </c>
      <c r="D988" s="6">
        <v>1211</v>
      </c>
      <c r="E988" s="1">
        <v>2016</v>
      </c>
      <c r="F988" s="1">
        <v>9</v>
      </c>
      <c r="G988" s="1" t="s">
        <v>37</v>
      </c>
      <c r="H988" s="12">
        <v>42614</v>
      </c>
      <c r="I988" s="1">
        <v>11</v>
      </c>
      <c r="J988" s="1">
        <v>1</v>
      </c>
      <c r="K988" s="1" t="s">
        <v>29</v>
      </c>
      <c r="L988" s="1" t="s">
        <v>22</v>
      </c>
      <c r="M988" s="15">
        <f t="shared" si="120"/>
        <v>40.323423703856477</v>
      </c>
      <c r="N988" s="15">
        <f t="shared" si="121"/>
        <v>36.345360874261111</v>
      </c>
      <c r="O988" s="14">
        <f t="shared" si="122"/>
        <v>4817.4340866399943</v>
      </c>
      <c r="P988" s="13">
        <f t="shared" si="123"/>
        <v>9.8653895532559016E-2</v>
      </c>
      <c r="Q988" s="15">
        <f t="shared" si="124"/>
        <v>3.9780628295953662</v>
      </c>
      <c r="R988" s="13">
        <f t="shared" si="125"/>
        <v>9.8653895532558905E-2</v>
      </c>
      <c r="S988" s="15">
        <f t="shared" si="126"/>
        <v>35.267973231772061</v>
      </c>
      <c r="T988" s="15">
        <f t="shared" si="127"/>
        <v>35.703083735494921</v>
      </c>
    </row>
    <row r="989" spans="1:20" x14ac:dyDescent="0.3">
      <c r="A989" s="5">
        <v>42625.083333333336</v>
      </c>
      <c r="B989" s="14">
        <v>52075.1571766001</v>
      </c>
      <c r="C989" s="14">
        <v>46884.142508087803</v>
      </c>
      <c r="D989" s="6">
        <v>1291</v>
      </c>
      <c r="E989" s="1">
        <v>2016</v>
      </c>
      <c r="F989" s="1">
        <v>9</v>
      </c>
      <c r="G989" s="1" t="s">
        <v>37</v>
      </c>
      <c r="H989" s="12">
        <v>42614</v>
      </c>
      <c r="I989" s="1">
        <v>12</v>
      </c>
      <c r="J989" s="1">
        <v>2</v>
      </c>
      <c r="K989" s="1" t="s">
        <v>21</v>
      </c>
      <c r="L989" s="1" t="s">
        <v>22</v>
      </c>
      <c r="M989" s="15">
        <f t="shared" si="120"/>
        <v>40.337069850193728</v>
      </c>
      <c r="N989" s="15">
        <f t="shared" si="121"/>
        <v>36.316144467922392</v>
      </c>
      <c r="O989" s="14">
        <f t="shared" si="122"/>
        <v>5191.0146685122963</v>
      </c>
      <c r="P989" s="13">
        <f t="shared" si="123"/>
        <v>9.9683130113429053E-2</v>
      </c>
      <c r="Q989" s="15">
        <f t="shared" si="124"/>
        <v>4.0209253822713364</v>
      </c>
      <c r="R989" s="13">
        <f t="shared" si="125"/>
        <v>9.9683130113429025E-2</v>
      </c>
      <c r="S989" s="15">
        <f t="shared" si="126"/>
        <v>35.267973231772061</v>
      </c>
      <c r="T989" s="15">
        <f t="shared" si="127"/>
        <v>35.905495826314478</v>
      </c>
    </row>
    <row r="990" spans="1:20" x14ac:dyDescent="0.3">
      <c r="A990" s="5">
        <v>42626.083333333336</v>
      </c>
      <c r="B990" s="14">
        <v>30424.726256690101</v>
      </c>
      <c r="C990" s="14">
        <v>27398.588126893701</v>
      </c>
      <c r="D990" s="6">
        <v>755</v>
      </c>
      <c r="E990" s="1">
        <v>2016</v>
      </c>
      <c r="F990" s="1">
        <v>9</v>
      </c>
      <c r="G990" s="1" t="s">
        <v>37</v>
      </c>
      <c r="H990" s="12">
        <v>42614</v>
      </c>
      <c r="I990" s="1">
        <v>13</v>
      </c>
      <c r="J990" s="1">
        <v>3</v>
      </c>
      <c r="K990" s="1" t="s">
        <v>23</v>
      </c>
      <c r="L990" s="1" t="s">
        <v>22</v>
      </c>
      <c r="M990" s="15">
        <f t="shared" si="120"/>
        <v>40.297650671112713</v>
      </c>
      <c r="N990" s="15">
        <f t="shared" si="121"/>
        <v>36.289520697872454</v>
      </c>
      <c r="O990" s="14">
        <f t="shared" si="122"/>
        <v>3026.1381297963999</v>
      </c>
      <c r="P990" s="13">
        <f t="shared" si="123"/>
        <v>9.9463117737369336E-2</v>
      </c>
      <c r="Q990" s="15">
        <f t="shared" si="124"/>
        <v>4.0081299732402584</v>
      </c>
      <c r="R990" s="13">
        <f t="shared" si="125"/>
        <v>9.9463117737369197E-2</v>
      </c>
      <c r="S990" s="15">
        <f t="shared" si="126"/>
        <v>35.267973231772061</v>
      </c>
      <c r="T990" s="15">
        <f t="shared" si="127"/>
        <v>36.101435048261571</v>
      </c>
    </row>
    <row r="991" spans="1:20" x14ac:dyDescent="0.3">
      <c r="A991" s="5">
        <v>42627.083333333336</v>
      </c>
      <c r="B991" s="14">
        <v>20495.113025005001</v>
      </c>
      <c r="C991" s="14">
        <v>18375.052607697799</v>
      </c>
      <c r="D991" s="6">
        <v>508</v>
      </c>
      <c r="E991" s="1">
        <v>2016</v>
      </c>
      <c r="F991" s="1">
        <v>9</v>
      </c>
      <c r="G991" s="1" t="s">
        <v>37</v>
      </c>
      <c r="H991" s="12">
        <v>42614</v>
      </c>
      <c r="I991" s="1">
        <v>14</v>
      </c>
      <c r="J991" s="1">
        <v>4</v>
      </c>
      <c r="K991" s="1" t="s">
        <v>25</v>
      </c>
      <c r="L991" s="1" t="s">
        <v>22</v>
      </c>
      <c r="M991" s="15">
        <f t="shared" si="120"/>
        <v>40.344710679143702</v>
      </c>
      <c r="N991" s="15">
        <f t="shared" si="121"/>
        <v>36.171363400979921</v>
      </c>
      <c r="O991" s="14">
        <f t="shared" si="122"/>
        <v>2120.0604173072024</v>
      </c>
      <c r="P991" s="13">
        <f t="shared" si="123"/>
        <v>0.10344224082690488</v>
      </c>
      <c r="Q991" s="15">
        <f t="shared" si="124"/>
        <v>4.1733472781637815</v>
      </c>
      <c r="R991" s="13">
        <f t="shared" si="125"/>
        <v>0.10344224082690481</v>
      </c>
      <c r="S991" s="15">
        <f t="shared" si="126"/>
        <v>35.267973231772061</v>
      </c>
      <c r="T991" s="15">
        <f t="shared" si="127"/>
        <v>36.279502268238588</v>
      </c>
    </row>
    <row r="992" spans="1:20" x14ac:dyDescent="0.3">
      <c r="A992" s="5">
        <v>42628.083333333336</v>
      </c>
      <c r="B992" s="14">
        <v>40742.171681120199</v>
      </c>
      <c r="C992" s="14">
        <v>36464.759814940699</v>
      </c>
      <c r="D992" s="6">
        <v>1010</v>
      </c>
      <c r="E992" s="1">
        <v>2016</v>
      </c>
      <c r="F992" s="1">
        <v>9</v>
      </c>
      <c r="G992" s="1" t="s">
        <v>37</v>
      </c>
      <c r="H992" s="12">
        <v>42614</v>
      </c>
      <c r="I992" s="1">
        <v>15</v>
      </c>
      <c r="J992" s="1">
        <v>5</v>
      </c>
      <c r="K992" s="1" t="s">
        <v>26</v>
      </c>
      <c r="L992" s="1" t="s">
        <v>22</v>
      </c>
      <c r="M992" s="15">
        <f t="shared" si="120"/>
        <v>40.338783842693267</v>
      </c>
      <c r="N992" s="15">
        <f t="shared" si="121"/>
        <v>36.1037225890502</v>
      </c>
      <c r="O992" s="14">
        <f t="shared" si="122"/>
        <v>4277.4118661795001</v>
      </c>
      <c r="P992" s="13">
        <f t="shared" si="123"/>
        <v>0.10498733105485489</v>
      </c>
      <c r="Q992" s="15">
        <f t="shared" si="124"/>
        <v>4.2350612536430674</v>
      </c>
      <c r="R992" s="13">
        <f t="shared" si="125"/>
        <v>0.10498733105485483</v>
      </c>
      <c r="S992" s="15">
        <f t="shared" si="126"/>
        <v>35.267973231772061</v>
      </c>
      <c r="T992" s="15">
        <f t="shared" si="127"/>
        <v>36.466153976844758</v>
      </c>
    </row>
    <row r="993" spans="1:20" x14ac:dyDescent="0.3">
      <c r="A993" s="5">
        <v>42629.083333333336</v>
      </c>
      <c r="B993" s="14">
        <v>69864.836990219497</v>
      </c>
      <c r="C993" s="14">
        <v>62545.190684533103</v>
      </c>
      <c r="D993" s="6">
        <v>1733</v>
      </c>
      <c r="E993" s="1">
        <v>2016</v>
      </c>
      <c r="F993" s="1">
        <v>9</v>
      </c>
      <c r="G993" s="1" t="s">
        <v>37</v>
      </c>
      <c r="H993" s="12">
        <v>42614</v>
      </c>
      <c r="I993" s="1">
        <v>16</v>
      </c>
      <c r="J993" s="1">
        <v>6</v>
      </c>
      <c r="K993" s="1" t="s">
        <v>27</v>
      </c>
      <c r="L993" s="1" t="s">
        <v>22</v>
      </c>
      <c r="M993" s="15">
        <f t="shared" si="120"/>
        <v>40.314389492336694</v>
      </c>
      <c r="N993" s="15">
        <f t="shared" si="121"/>
        <v>36.090704376533814</v>
      </c>
      <c r="O993" s="14">
        <f t="shared" si="122"/>
        <v>7319.646305686394</v>
      </c>
      <c r="P993" s="13">
        <f t="shared" si="123"/>
        <v>0.10476867364209387</v>
      </c>
      <c r="Q993" s="15">
        <f t="shared" si="124"/>
        <v>4.2236851158028799</v>
      </c>
      <c r="R993" s="13">
        <f t="shared" si="125"/>
        <v>0.10476867364209383</v>
      </c>
      <c r="S993" s="15">
        <f t="shared" si="126"/>
        <v>35.267973231772061</v>
      </c>
      <c r="T993" s="15">
        <f t="shared" si="127"/>
        <v>36.656885253012895</v>
      </c>
    </row>
    <row r="994" spans="1:20" x14ac:dyDescent="0.3">
      <c r="A994" s="5">
        <v>42630.083333333336</v>
      </c>
      <c r="B994" s="14">
        <v>100120.711053233</v>
      </c>
      <c r="C994" s="14">
        <v>89572.407615025193</v>
      </c>
      <c r="D994" s="6">
        <v>2482</v>
      </c>
      <c r="E994" s="1">
        <v>2016</v>
      </c>
      <c r="F994" s="1">
        <v>9</v>
      </c>
      <c r="G994" s="1" t="s">
        <v>37</v>
      </c>
      <c r="H994" s="12">
        <v>42614</v>
      </c>
      <c r="I994" s="1">
        <v>17</v>
      </c>
      <c r="J994" s="1">
        <v>7</v>
      </c>
      <c r="K994" s="1" t="s">
        <v>28</v>
      </c>
      <c r="L994" s="1" t="s">
        <v>22</v>
      </c>
      <c r="M994" s="15">
        <f t="shared" si="120"/>
        <v>40.338723228538676</v>
      </c>
      <c r="N994" s="15">
        <f t="shared" si="121"/>
        <v>36.088802423458979</v>
      </c>
      <c r="O994" s="14">
        <f t="shared" si="122"/>
        <v>10548.303438207804</v>
      </c>
      <c r="P994" s="13">
        <f t="shared" si="123"/>
        <v>0.10535585821598287</v>
      </c>
      <c r="Q994" s="15">
        <f t="shared" si="124"/>
        <v>4.2499208050796966</v>
      </c>
      <c r="R994" s="13">
        <f t="shared" si="125"/>
        <v>0.10535585821598289</v>
      </c>
      <c r="S994" s="15">
        <f t="shared" si="126"/>
        <v>35.267973231772061</v>
      </c>
      <c r="T994" s="15">
        <f t="shared" si="127"/>
        <v>36.847715123594412</v>
      </c>
    </row>
    <row r="995" spans="1:20" x14ac:dyDescent="0.3">
      <c r="A995" s="5">
        <v>42631.083333333336</v>
      </c>
      <c r="B995" s="14">
        <v>49825.097035430103</v>
      </c>
      <c r="C995" s="14">
        <v>44593.796883395298</v>
      </c>
      <c r="D995" s="6">
        <v>1235</v>
      </c>
      <c r="E995" s="1">
        <v>2016</v>
      </c>
      <c r="F995" s="1">
        <v>9</v>
      </c>
      <c r="G995" s="1" t="s">
        <v>37</v>
      </c>
      <c r="H995" s="12">
        <v>42614</v>
      </c>
      <c r="I995" s="1">
        <v>18</v>
      </c>
      <c r="J995" s="1">
        <v>1</v>
      </c>
      <c r="K995" s="1" t="s">
        <v>29</v>
      </c>
      <c r="L995" s="1" t="s">
        <v>22</v>
      </c>
      <c r="M995" s="15">
        <f t="shared" si="120"/>
        <v>40.344208125854337</v>
      </c>
      <c r="N995" s="15">
        <f t="shared" si="121"/>
        <v>36.1083375574051</v>
      </c>
      <c r="O995" s="14">
        <f t="shared" si="122"/>
        <v>5231.3001520348043</v>
      </c>
      <c r="P995" s="13">
        <f t="shared" si="123"/>
        <v>0.10499327574444826</v>
      </c>
      <c r="Q995" s="15">
        <f t="shared" si="124"/>
        <v>4.2358705684492364</v>
      </c>
      <c r="R995" s="13">
        <f t="shared" si="125"/>
        <v>0.10499327574444831</v>
      </c>
      <c r="S995" s="15">
        <f t="shared" si="126"/>
        <v>35.267973231772061</v>
      </c>
      <c r="T995" s="15">
        <f t="shared" si="127"/>
        <v>37.039640777741504</v>
      </c>
    </row>
    <row r="996" spans="1:20" x14ac:dyDescent="0.3">
      <c r="A996" s="5">
        <v>42632.083333333336</v>
      </c>
      <c r="B996" s="14">
        <v>46566.462052040202</v>
      </c>
      <c r="C996" s="14">
        <v>41660.440426083696</v>
      </c>
      <c r="D996" s="6">
        <v>1155</v>
      </c>
      <c r="E996" s="1">
        <v>2016</v>
      </c>
      <c r="F996" s="1">
        <v>9</v>
      </c>
      <c r="G996" s="1" t="s">
        <v>37</v>
      </c>
      <c r="H996" s="12">
        <v>42614</v>
      </c>
      <c r="I996" s="1">
        <v>19</v>
      </c>
      <c r="J996" s="1">
        <v>2</v>
      </c>
      <c r="K996" s="1" t="s">
        <v>21</v>
      </c>
      <c r="L996" s="1" t="s">
        <v>22</v>
      </c>
      <c r="M996" s="15">
        <f t="shared" si="120"/>
        <v>40.317283161939571</v>
      </c>
      <c r="N996" s="15">
        <f t="shared" si="121"/>
        <v>36.069645390548658</v>
      </c>
      <c r="O996" s="14">
        <f t="shared" si="122"/>
        <v>4906.0216259565059</v>
      </c>
      <c r="P996" s="13">
        <f t="shared" si="123"/>
        <v>0.10535525804974827</v>
      </c>
      <c r="Q996" s="15">
        <f t="shared" si="124"/>
        <v>4.247637771390913</v>
      </c>
      <c r="R996" s="13">
        <f t="shared" si="125"/>
        <v>0.10535525804974824</v>
      </c>
      <c r="S996" s="15">
        <f t="shared" si="126"/>
        <v>35.267973231772061</v>
      </c>
      <c r="T996" s="15">
        <f t="shared" si="127"/>
        <v>37.229435490276174</v>
      </c>
    </row>
    <row r="997" spans="1:20" x14ac:dyDescent="0.3">
      <c r="A997" s="5">
        <v>42633.083333333336</v>
      </c>
      <c r="B997" s="14">
        <v>37923.765855785401</v>
      </c>
      <c r="C997" s="14">
        <v>34031.149487115101</v>
      </c>
      <c r="D997" s="6">
        <v>940</v>
      </c>
      <c r="E997" s="1">
        <v>2016</v>
      </c>
      <c r="F997" s="1">
        <v>9</v>
      </c>
      <c r="G997" s="1" t="s">
        <v>37</v>
      </c>
      <c r="H997" s="12">
        <v>42614</v>
      </c>
      <c r="I997" s="1">
        <v>20</v>
      </c>
      <c r="J997" s="1">
        <v>3</v>
      </c>
      <c r="K997" s="1" t="s">
        <v>23</v>
      </c>
      <c r="L997" s="1" t="s">
        <v>22</v>
      </c>
      <c r="M997" s="15">
        <f t="shared" si="120"/>
        <v>40.344431761473828</v>
      </c>
      <c r="N997" s="15">
        <f t="shared" si="121"/>
        <v>36.203350518207557</v>
      </c>
      <c r="O997" s="14">
        <f t="shared" si="122"/>
        <v>3892.6163686703003</v>
      </c>
      <c r="P997" s="13">
        <f t="shared" si="123"/>
        <v>0.10264319169865532</v>
      </c>
      <c r="Q997" s="15">
        <f t="shared" si="124"/>
        <v>4.1410812432662709</v>
      </c>
      <c r="R997" s="13">
        <f t="shared" si="125"/>
        <v>0.10264319169865518</v>
      </c>
      <c r="S997" s="15">
        <f t="shared" si="126"/>
        <v>35.267973231772061</v>
      </c>
      <c r="T997" s="15">
        <f t="shared" si="127"/>
        <v>37.424845729413889</v>
      </c>
    </row>
    <row r="998" spans="1:20" x14ac:dyDescent="0.3">
      <c r="A998" s="5">
        <v>42634.083333333336</v>
      </c>
      <c r="B998" s="14">
        <v>50084.812702065297</v>
      </c>
      <c r="C998" s="14">
        <v>44832.212598977203</v>
      </c>
      <c r="D998" s="6">
        <v>1241</v>
      </c>
      <c r="E998" s="1">
        <v>2016</v>
      </c>
      <c r="F998" s="1">
        <v>9</v>
      </c>
      <c r="G998" s="1" t="s">
        <v>37</v>
      </c>
      <c r="H998" s="12">
        <v>42614</v>
      </c>
      <c r="I998" s="1">
        <v>21</v>
      </c>
      <c r="J998" s="1">
        <v>4</v>
      </c>
      <c r="K998" s="1" t="s">
        <v>25</v>
      </c>
      <c r="L998" s="1" t="s">
        <v>22</v>
      </c>
      <c r="M998" s="15">
        <f t="shared" si="120"/>
        <v>40.358430863872115</v>
      </c>
      <c r="N998" s="15">
        <f t="shared" si="121"/>
        <v>36.125876389183887</v>
      </c>
      <c r="O998" s="14">
        <f t="shared" si="122"/>
        <v>5252.6001030880943</v>
      </c>
      <c r="P998" s="13">
        <f t="shared" si="123"/>
        <v>0.10487410893065989</v>
      </c>
      <c r="Q998" s="15">
        <f t="shared" si="124"/>
        <v>4.2325544746882287</v>
      </c>
      <c r="R998" s="13">
        <f t="shared" si="125"/>
        <v>0.10487410893065985</v>
      </c>
      <c r="S998" s="15">
        <f t="shared" si="126"/>
        <v>35.267973231772061</v>
      </c>
      <c r="T998" s="15">
        <f t="shared" si="127"/>
        <v>37.613901244281436</v>
      </c>
    </row>
    <row r="999" spans="1:20" x14ac:dyDescent="0.3">
      <c r="A999" s="5">
        <v>42635.083333333336</v>
      </c>
      <c r="B999" s="14">
        <v>41885.828278280402</v>
      </c>
      <c r="C999" s="14">
        <v>37565.478590927603</v>
      </c>
      <c r="D999" s="6">
        <v>1039</v>
      </c>
      <c r="E999" s="1">
        <v>2016</v>
      </c>
      <c r="F999" s="1">
        <v>9</v>
      </c>
      <c r="G999" s="1" t="s">
        <v>37</v>
      </c>
      <c r="H999" s="12">
        <v>42614</v>
      </c>
      <c r="I999" s="1">
        <v>22</v>
      </c>
      <c r="J999" s="1">
        <v>5</v>
      </c>
      <c r="K999" s="1" t="s">
        <v>26</v>
      </c>
      <c r="L999" s="1" t="s">
        <v>22</v>
      </c>
      <c r="M999" s="15">
        <f t="shared" si="120"/>
        <v>40.313597957921466</v>
      </c>
      <c r="N999" s="15">
        <f t="shared" si="121"/>
        <v>36.155417315618486</v>
      </c>
      <c r="O999" s="14">
        <f t="shared" si="122"/>
        <v>4320.3496873527984</v>
      </c>
      <c r="P999" s="13">
        <f t="shared" si="123"/>
        <v>0.10314585779823494</v>
      </c>
      <c r="Q999" s="15">
        <f t="shared" si="124"/>
        <v>4.1581806423029803</v>
      </c>
      <c r="R999" s="13">
        <f t="shared" si="125"/>
        <v>0.1031458577982349</v>
      </c>
      <c r="S999" s="15">
        <f t="shared" si="126"/>
        <v>35.267973231772061</v>
      </c>
      <c r="T999" s="15">
        <f t="shared" si="127"/>
        <v>37.555506581744517</v>
      </c>
    </row>
    <row r="1000" spans="1:20" x14ac:dyDescent="0.3">
      <c r="A1000" s="5">
        <v>42636.083333333336</v>
      </c>
      <c r="B1000" s="14">
        <v>147503.57315832499</v>
      </c>
      <c r="C1000" s="14">
        <v>131964.51579369901</v>
      </c>
      <c r="D1000" s="6">
        <v>3657</v>
      </c>
      <c r="E1000" s="1">
        <v>2016</v>
      </c>
      <c r="F1000" s="1">
        <v>9</v>
      </c>
      <c r="G1000" s="1" t="s">
        <v>37</v>
      </c>
      <c r="H1000" s="12">
        <v>42614</v>
      </c>
      <c r="I1000" s="1">
        <v>23</v>
      </c>
      <c r="J1000" s="1">
        <v>6</v>
      </c>
      <c r="K1000" s="1" t="s">
        <v>27</v>
      </c>
      <c r="L1000" s="1" t="s">
        <v>22</v>
      </c>
      <c r="M1000" s="15">
        <f t="shared" si="120"/>
        <v>40.334583855161334</v>
      </c>
      <c r="N1000" s="15">
        <f t="shared" si="121"/>
        <v>36.085456875498771</v>
      </c>
      <c r="O1000" s="14">
        <f t="shared" si="122"/>
        <v>15539.057364625973</v>
      </c>
      <c r="P1000" s="13">
        <f t="shared" si="123"/>
        <v>0.10534698944510931</v>
      </c>
      <c r="Q1000" s="15">
        <f t="shared" si="124"/>
        <v>4.249126979662563</v>
      </c>
      <c r="R1000" s="13">
        <f t="shared" si="125"/>
        <v>0.10534698944510945</v>
      </c>
      <c r="S1000" s="15">
        <f t="shared" si="126"/>
        <v>35.267973231772061</v>
      </c>
      <c r="T1000" s="15">
        <f t="shared" si="127"/>
        <v>37.769088105498668</v>
      </c>
    </row>
    <row r="1001" spans="1:20" x14ac:dyDescent="0.3">
      <c r="A1001" s="5">
        <v>42637.083333333336</v>
      </c>
      <c r="B1001" s="14">
        <v>151639.18384341101</v>
      </c>
      <c r="C1001" s="14">
        <v>135498.16319719399</v>
      </c>
      <c r="D1001" s="6">
        <v>3758</v>
      </c>
      <c r="E1001" s="1">
        <v>2016</v>
      </c>
      <c r="F1001" s="1">
        <v>9</v>
      </c>
      <c r="G1001" s="1" t="s">
        <v>37</v>
      </c>
      <c r="H1001" s="12">
        <v>42614</v>
      </c>
      <c r="I1001" s="1">
        <v>24</v>
      </c>
      <c r="J1001" s="1">
        <v>7</v>
      </c>
      <c r="K1001" s="1" t="s">
        <v>28</v>
      </c>
      <c r="L1001" s="1" t="s">
        <v>22</v>
      </c>
      <c r="M1001" s="15">
        <f t="shared" si="120"/>
        <v>40.351033486804418</v>
      </c>
      <c r="N1001" s="15">
        <f t="shared" si="121"/>
        <v>36.05592421426131</v>
      </c>
      <c r="O1001" s="14">
        <f t="shared" si="122"/>
        <v>16141.020646217017</v>
      </c>
      <c r="P1001" s="13">
        <f t="shared" si="123"/>
        <v>0.10644360011120156</v>
      </c>
      <c r="Q1001" s="15">
        <f t="shared" si="124"/>
        <v>4.2951092725431081</v>
      </c>
      <c r="R1001" s="13">
        <f t="shared" si="125"/>
        <v>0.10644360011120145</v>
      </c>
      <c r="S1001" s="15">
        <f t="shared" si="126"/>
        <v>35.267973231772061</v>
      </c>
      <c r="T1001" s="15">
        <f t="shared" si="127"/>
        <v>37.978895920813812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17C5C-108D-4D47-81A4-8F9FA8771165}">
  <dimension ref="A1:L107"/>
  <sheetViews>
    <sheetView topLeftCell="A114" workbookViewId="0">
      <selection sqref="A1:L1"/>
    </sheetView>
  </sheetViews>
  <sheetFormatPr defaultRowHeight="14.4" x14ac:dyDescent="0.3"/>
  <cols>
    <col min="1" max="1" width="20.33203125" customWidth="1"/>
    <col min="2" max="3" width="11.109375" customWidth="1"/>
    <col min="4" max="5" width="12" customWidth="1"/>
    <col min="6" max="6" width="10.21875" customWidth="1"/>
    <col min="7" max="7" width="13" customWidth="1"/>
    <col min="8" max="9" width="12" customWidth="1"/>
    <col min="10" max="10" width="13" customWidth="1"/>
    <col min="11" max="12" width="12" customWidth="1"/>
  </cols>
  <sheetData>
    <row r="1" spans="1:12" ht="31.95" customHeight="1" x14ac:dyDescent="0.45">
      <c r="A1" s="17" t="s">
        <v>40</v>
      </c>
      <c r="B1" s="17"/>
      <c r="C1" s="17"/>
      <c r="D1" s="17"/>
      <c r="E1" s="17"/>
      <c r="F1" s="17"/>
      <c r="G1" s="17"/>
      <c r="H1" s="17"/>
      <c r="I1" s="17"/>
      <c r="J1" s="17"/>
      <c r="K1" s="17"/>
      <c r="L1" s="17"/>
    </row>
    <row r="2" spans="1:12" x14ac:dyDescent="0.3">
      <c r="A2" s="18" t="s">
        <v>41</v>
      </c>
      <c r="B2" s="18"/>
      <c r="C2" s="18"/>
      <c r="D2" s="18"/>
      <c r="E2" s="18"/>
      <c r="F2" s="18"/>
      <c r="G2" s="18"/>
      <c r="H2" s="18"/>
      <c r="I2" s="18"/>
      <c r="J2" s="18"/>
      <c r="K2" s="18"/>
      <c r="L2" s="18"/>
    </row>
    <row r="3" spans="1:12" x14ac:dyDescent="0.3">
      <c r="A3" s="1"/>
      <c r="B3" s="1"/>
      <c r="C3" s="1"/>
      <c r="D3" s="1"/>
      <c r="E3" s="1"/>
      <c r="F3" s="1"/>
      <c r="G3" s="1"/>
      <c r="H3" s="1"/>
      <c r="I3" s="1"/>
      <c r="J3" s="1"/>
      <c r="K3" s="1"/>
      <c r="L3" s="1"/>
    </row>
    <row r="4" spans="1:12" ht="24" customHeight="1" x14ac:dyDescent="0.3">
      <c r="A4" s="27" t="s">
        <v>42</v>
      </c>
      <c r="B4" s="27"/>
      <c r="C4" s="27"/>
      <c r="D4" s="27"/>
      <c r="E4" s="27"/>
      <c r="F4" s="27"/>
      <c r="G4" s="27"/>
      <c r="H4" s="27"/>
      <c r="I4" s="27"/>
      <c r="J4" s="27"/>
      <c r="K4" s="27"/>
      <c r="L4" s="27"/>
    </row>
    <row r="5" spans="1:12" ht="24" customHeight="1" x14ac:dyDescent="0.3">
      <c r="A5" s="27"/>
      <c r="B5" s="27"/>
      <c r="C5" s="27"/>
      <c r="D5" s="27"/>
      <c r="E5" s="27"/>
      <c r="F5" s="27"/>
      <c r="G5" s="27"/>
      <c r="H5" s="27"/>
      <c r="I5" s="27"/>
      <c r="J5" s="27"/>
      <c r="K5" s="27"/>
      <c r="L5" s="27"/>
    </row>
    <row r="6" spans="1:12" ht="24" customHeight="1" x14ac:dyDescent="0.3">
      <c r="A6" s="27"/>
      <c r="B6" s="27"/>
      <c r="C6" s="27"/>
      <c r="D6" s="27"/>
      <c r="E6" s="27"/>
      <c r="F6" s="27"/>
      <c r="G6" s="27"/>
      <c r="H6" s="27"/>
      <c r="I6" s="27"/>
      <c r="J6" s="27"/>
      <c r="K6" s="27"/>
      <c r="L6" s="27"/>
    </row>
    <row r="7" spans="1:12" x14ac:dyDescent="0.3">
      <c r="A7" s="1"/>
      <c r="B7" s="1"/>
      <c r="C7" s="1"/>
      <c r="D7" s="1"/>
      <c r="E7" s="1"/>
      <c r="F7" s="1"/>
      <c r="G7" s="1"/>
      <c r="H7" s="1"/>
      <c r="I7" s="1"/>
      <c r="J7" s="1"/>
      <c r="K7" s="1"/>
      <c r="L7" s="1"/>
    </row>
    <row r="8" spans="1:12" x14ac:dyDescent="0.3">
      <c r="A8" s="28" t="s">
        <v>43</v>
      </c>
      <c r="B8" s="28"/>
      <c r="C8" s="28"/>
      <c r="D8" s="28" t="s">
        <v>44</v>
      </c>
      <c r="E8" s="28"/>
      <c r="F8" s="28"/>
      <c r="G8" s="28" t="s">
        <v>45</v>
      </c>
      <c r="H8" s="28"/>
      <c r="I8" s="28"/>
      <c r="J8" s="28" t="s">
        <v>46</v>
      </c>
      <c r="K8" s="28"/>
      <c r="L8" s="28"/>
    </row>
    <row r="9" spans="1:12" ht="48" customHeight="1" x14ac:dyDescent="0.3">
      <c r="A9" s="22">
        <f>SUM(SALES_EDA!$B$2:$B$1001)</f>
        <v>182259136.98216122</v>
      </c>
      <c r="B9" s="23"/>
      <c r="C9" s="23"/>
      <c r="D9" s="24">
        <f>SUM(SALES_EDA!$D$2:$D$1001)</f>
        <v>5167837</v>
      </c>
      <c r="E9" s="23"/>
      <c r="F9" s="23"/>
      <c r="G9" s="25">
        <f>SUM(SALES_EDA!$B$2:$B$1001)/SUM(SALES_EDA!$D$2:$D$1001)</f>
        <v>35.267973231772061</v>
      </c>
      <c r="H9" s="23"/>
      <c r="I9" s="23"/>
      <c r="J9" s="26">
        <f>SUM(SALES_EDA!$O$2:$O$1001)/SUM(SALES_EDA!$B$2:$B$1001)</f>
        <v>-4.1107106918457793E-2</v>
      </c>
      <c r="K9" s="23"/>
      <c r="L9" s="23"/>
    </row>
    <row r="10" spans="1:12" ht="48" customHeight="1" x14ac:dyDescent="0.3">
      <c r="A10" s="23"/>
      <c r="B10" s="23"/>
      <c r="C10" s="23"/>
      <c r="D10" s="23"/>
      <c r="E10" s="23"/>
      <c r="F10" s="23"/>
      <c r="G10" s="23"/>
      <c r="H10" s="23"/>
      <c r="I10" s="23"/>
      <c r="J10" s="23"/>
      <c r="K10" s="23"/>
      <c r="L10" s="23"/>
    </row>
    <row r="11" spans="1:12" x14ac:dyDescent="0.3">
      <c r="A11" s="1"/>
      <c r="B11" s="1"/>
      <c r="C11" s="1"/>
      <c r="D11" s="1"/>
      <c r="E11" s="1"/>
      <c r="F11" s="1"/>
      <c r="G11" s="1"/>
      <c r="H11" s="1"/>
      <c r="I11" s="1"/>
      <c r="J11" s="1"/>
      <c r="K11" s="1"/>
      <c r="L11" s="1"/>
    </row>
    <row r="12" spans="1:12" x14ac:dyDescent="0.3">
      <c r="A12" s="20" t="s">
        <v>47</v>
      </c>
      <c r="B12" s="20"/>
      <c r="C12" s="20"/>
      <c r="D12" s="20"/>
      <c r="E12" s="20"/>
      <c r="F12" s="20"/>
      <c r="G12" s="20"/>
      <c r="H12" s="20"/>
      <c r="I12" s="20"/>
      <c r="J12" s="20"/>
      <c r="K12" s="20"/>
      <c r="L12" s="20"/>
    </row>
    <row r="13" spans="1:12" x14ac:dyDescent="0.3">
      <c r="A13" s="1"/>
      <c r="B13" s="1"/>
      <c r="C13" s="1"/>
      <c r="D13" s="1"/>
      <c r="E13" s="1"/>
      <c r="F13" s="1"/>
      <c r="G13" s="1"/>
      <c r="H13" s="1"/>
      <c r="I13" s="1"/>
      <c r="J13" s="1"/>
      <c r="K13" s="1"/>
      <c r="L13" s="1"/>
    </row>
    <row r="14" spans="1:12" x14ac:dyDescent="0.3">
      <c r="A14" s="3" t="s">
        <v>48</v>
      </c>
      <c r="B14" s="3" t="s">
        <v>49</v>
      </c>
      <c r="C14" s="3" t="s">
        <v>50</v>
      </c>
      <c r="D14" s="3" t="s">
        <v>51</v>
      </c>
      <c r="E14" s="3" t="s">
        <v>52</v>
      </c>
      <c r="F14" s="3" t="s">
        <v>53</v>
      </c>
      <c r="G14" s="3" t="s">
        <v>54</v>
      </c>
      <c r="H14" s="3" t="s">
        <v>55</v>
      </c>
      <c r="I14" s="3" t="s">
        <v>56</v>
      </c>
      <c r="J14" s="3" t="s">
        <v>57</v>
      </c>
      <c r="K14" s="3" t="s">
        <v>58</v>
      </c>
      <c r="L14" s="1"/>
    </row>
    <row r="15" spans="1:12" ht="28.8" x14ac:dyDescent="0.3">
      <c r="A15" s="4" t="s">
        <v>59</v>
      </c>
      <c r="B15" s="5">
        <v>41768</v>
      </c>
      <c r="C15" s="5">
        <v>41918</v>
      </c>
      <c r="D15" s="6">
        <f>C15-B15+1</f>
        <v>151</v>
      </c>
      <c r="E15" s="7">
        <f>AVERAGEIFS(SALES_EDA!$M$2:$M$1001,SALES_EDA!$A$2:$A$1001,"&gt;="&amp;B15,SALES_EDA!$A$2:$A$1001,"&lt;"&amp;C15+1)</f>
        <v>33.064251588720509</v>
      </c>
      <c r="F15" s="7">
        <f>(SUMIFS(SALES_EDA!$M$2:$M$1001,SALES_EDA!$A$2:$A$1001,"&gt;="&amp;B15-14,SALES_EDA!$A$2:$A$1001,"&lt;"&amp;B15)+SUMIFS(SALES_EDA!$M$2:$M$1001,SALES_EDA!$A$2:$A$1001,"&gt;="&amp;C15+1,SALES_EDA!$A$2:$A$1001,"&lt;"&amp;C15+15))/(COUNTIFS(SALES_EDA!$A$2:$A$1001,"&gt;="&amp;B15-14,SALES_EDA!$A$2:$A$1001,"&lt;"&amp;B15)+COUNTIFS(SALES_EDA!$A$2:$A$1001,"&gt;="&amp;C15+1,SALES_EDA!$A$2:$A$1001,"&lt;"&amp;C15+15))</f>
        <v>35.932204661579739</v>
      </c>
      <c r="G15" s="8">
        <f>E15/F15-1</f>
        <v>-7.9815672315975861E-2</v>
      </c>
      <c r="H15" s="6">
        <f>AVERAGEIFS(SALES_EDA!$D$2:$D$1001,SALES_EDA!$A$2:$A$1001,"&gt;="&amp;B15,SALES_EDA!$A$2:$A$1001,"&lt;"&amp;C15+1)</f>
        <v>7892.6026490066224</v>
      </c>
      <c r="I15" s="6">
        <f>(SUMIFS(SALES_EDA!$D$2:$D$1001,SALES_EDA!$A$2:$A$1001,"&gt;="&amp;B15-14,SALES_EDA!$A$2:$A$1001,"&lt;"&amp;B15)+SUMIFS(SALES_EDA!$D$2:$D$1001,SALES_EDA!$A$2:$A$1001,"&gt;="&amp;C15+1,SALES_EDA!$A$2:$A$1001,"&lt;"&amp;C15+15))/(COUNTIFS(SALES_EDA!$A$2:$A$1001,"&gt;="&amp;B15-14,SALES_EDA!$A$2:$A$1001,"&lt;"&amp;B15)+COUNTIFS(SALES_EDA!$A$2:$A$1001,"&gt;="&amp;C15+1,SALES_EDA!$A$2:$A$1001,"&lt;"&amp;C15+15))</f>
        <v>3596.7142857142858</v>
      </c>
      <c r="J15" s="8">
        <f>H15/I15-1</f>
        <v>1.1943924432238293</v>
      </c>
      <c r="K15" s="9">
        <f>J15/G15</f>
        <v>-14.964384920488358</v>
      </c>
      <c r="L15" s="1"/>
    </row>
    <row r="16" spans="1:12" ht="28.8" x14ac:dyDescent="0.3">
      <c r="A16" s="4" t="s">
        <v>60</v>
      </c>
      <c r="B16" s="5">
        <v>42270</v>
      </c>
      <c r="C16" s="5">
        <v>42283</v>
      </c>
      <c r="D16" s="6">
        <f>C16-B16+1</f>
        <v>14</v>
      </c>
      <c r="E16" s="7">
        <f>AVERAGEIFS(SALES_EDA!$M$2:$M$1001,SALES_EDA!$A$2:$A$1001,"&gt;="&amp;B16,SALES_EDA!$A$2:$A$1001,"&lt;"&amp;C16+1)</f>
        <v>33.396349038198863</v>
      </c>
      <c r="F16" s="7">
        <f>(SUMIFS(SALES_EDA!$M$2:$M$1001,SALES_EDA!$A$2:$A$1001,"&gt;="&amp;B16-14,SALES_EDA!$A$2:$A$1001,"&lt;"&amp;B16)+SUMIFS(SALES_EDA!$M$2:$M$1001,SALES_EDA!$A$2:$A$1001,"&gt;="&amp;C16+1,SALES_EDA!$A$2:$A$1001,"&lt;"&amp;C16+15))/(COUNTIFS(SALES_EDA!$A$2:$A$1001,"&gt;="&amp;B16-14,SALES_EDA!$A$2:$A$1001,"&lt;"&amp;B16)+COUNTIFS(SALES_EDA!$A$2:$A$1001,"&gt;="&amp;C16+1,SALES_EDA!$A$2:$A$1001,"&lt;"&amp;C16+15))</f>
        <v>39.282414654644299</v>
      </c>
      <c r="G16" s="8">
        <f>E16/F16-1</f>
        <v>-0.14983970991074336</v>
      </c>
      <c r="H16" s="6">
        <f>AVERAGEIFS(SALES_EDA!$D$2:$D$1001,SALES_EDA!$A$2:$A$1001,"&gt;="&amp;B16,SALES_EDA!$A$2:$A$1001,"&lt;"&amp;C16+1)</f>
        <v>8089.3571428571431</v>
      </c>
      <c r="I16" s="6">
        <f>(SUMIFS(SALES_EDA!$D$2:$D$1001,SALES_EDA!$A$2:$A$1001,"&gt;="&amp;B16-14,SALES_EDA!$A$2:$A$1001,"&lt;"&amp;B16)+SUMIFS(SALES_EDA!$D$2:$D$1001,SALES_EDA!$A$2:$A$1001,"&gt;="&amp;C16+1,SALES_EDA!$A$2:$A$1001,"&lt;"&amp;C16+15))/(COUNTIFS(SALES_EDA!$A$2:$A$1001,"&gt;="&amp;B16-14,SALES_EDA!$A$2:$A$1001,"&lt;"&amp;B16)+COUNTIFS(SALES_EDA!$A$2:$A$1001,"&gt;="&amp;C16+1,SALES_EDA!$A$2:$A$1001,"&lt;"&amp;C16+15))</f>
        <v>1575.7857142857142</v>
      </c>
      <c r="J16" s="8">
        <f>H16/I16-1</f>
        <v>4.1335388241693494</v>
      </c>
      <c r="K16" s="9">
        <f>J16/G16</f>
        <v>-27.58640434255792</v>
      </c>
      <c r="L16" s="1"/>
    </row>
    <row r="17" spans="1:12" ht="28.8" x14ac:dyDescent="0.3">
      <c r="A17" s="4" t="s">
        <v>61</v>
      </c>
      <c r="B17" s="5">
        <v>42391</v>
      </c>
      <c r="C17" s="5">
        <v>42408</v>
      </c>
      <c r="D17" s="6">
        <f>C17-B17+1</f>
        <v>18</v>
      </c>
      <c r="E17" s="7">
        <f>AVERAGEIFS(SALES_EDA!$M$2:$M$1001,SALES_EDA!$A$2:$A$1001,"&gt;="&amp;B17,SALES_EDA!$A$2:$A$1001,"&lt;"&amp;C17+1)</f>
        <v>34.072823796237657</v>
      </c>
      <c r="F17" s="7">
        <f>(SUMIFS(SALES_EDA!$M$2:$M$1001,SALES_EDA!$A$2:$A$1001,"&gt;="&amp;B17-14,SALES_EDA!$A$2:$A$1001,"&lt;"&amp;B17)+SUMIFS(SALES_EDA!$M$2:$M$1001,SALES_EDA!$A$2:$A$1001,"&gt;="&amp;C17+1,SALES_EDA!$A$2:$A$1001,"&lt;"&amp;C17+15))/(COUNTIFS(SALES_EDA!$A$2:$A$1001,"&gt;="&amp;B17-14,SALES_EDA!$A$2:$A$1001,"&lt;"&amp;B17)+COUNTIFS(SALES_EDA!$A$2:$A$1001,"&gt;="&amp;C17+1,SALES_EDA!$A$2:$A$1001,"&lt;"&amp;C17+15))</f>
        <v>40.769813648278124</v>
      </c>
      <c r="G17" s="8">
        <f>E17/F17-1</f>
        <v>-0.16426344034376783</v>
      </c>
      <c r="H17" s="6">
        <f>AVERAGEIFS(SALES_EDA!$D$2:$D$1001,SALES_EDA!$A$2:$A$1001,"&gt;="&amp;B17,SALES_EDA!$A$2:$A$1001,"&lt;"&amp;C17+1)</f>
        <v>7925.1111111111113</v>
      </c>
      <c r="I17" s="6">
        <f>(SUMIFS(SALES_EDA!$D$2:$D$1001,SALES_EDA!$A$2:$A$1001,"&gt;="&amp;B17-14,SALES_EDA!$A$2:$A$1001,"&lt;"&amp;B17)+SUMIFS(SALES_EDA!$D$2:$D$1001,SALES_EDA!$A$2:$A$1001,"&gt;="&amp;C17+1,SALES_EDA!$A$2:$A$1001,"&lt;"&amp;C17+15))/(COUNTIFS(SALES_EDA!$A$2:$A$1001,"&gt;="&amp;B17-14,SALES_EDA!$A$2:$A$1001,"&lt;"&amp;B17)+COUNTIFS(SALES_EDA!$A$2:$A$1001,"&gt;="&amp;C17+1,SALES_EDA!$A$2:$A$1001,"&lt;"&amp;C17+15))</f>
        <v>2898.6071428571427</v>
      </c>
      <c r="J17" s="8">
        <f>H17/I17-1</f>
        <v>1.7341101158328649</v>
      </c>
      <c r="K17" s="9">
        <f>J17/G17</f>
        <v>-10.55688418679012</v>
      </c>
      <c r="L17" s="1"/>
    </row>
    <row r="18" spans="1:12" x14ac:dyDescent="0.3">
      <c r="A18" s="1"/>
      <c r="B18" s="1"/>
      <c r="C18" s="1"/>
      <c r="D18" s="1"/>
      <c r="E18" s="1"/>
      <c r="F18" s="1"/>
      <c r="G18" s="1"/>
      <c r="H18" s="1"/>
      <c r="I18" s="1"/>
      <c r="J18" s="1"/>
      <c r="K18" s="1"/>
      <c r="L18" s="1"/>
    </row>
    <row r="19" spans="1:12" x14ac:dyDescent="0.3">
      <c r="A19" s="1"/>
      <c r="B19" s="1"/>
      <c r="C19" s="1"/>
      <c r="D19" s="1"/>
      <c r="E19" s="1"/>
      <c r="F19" s="1"/>
      <c r="G19" s="1"/>
      <c r="H19" s="1"/>
      <c r="I19" s="1"/>
      <c r="J19" s="1"/>
      <c r="K19" s="1"/>
      <c r="L19" s="1"/>
    </row>
    <row r="20" spans="1:12" x14ac:dyDescent="0.3">
      <c r="A20" s="1"/>
      <c r="B20" s="1"/>
      <c r="C20" s="1"/>
      <c r="D20" s="1"/>
      <c r="E20" s="1"/>
      <c r="F20" s="1"/>
      <c r="G20" s="1"/>
      <c r="H20" s="1"/>
      <c r="I20" s="1"/>
      <c r="J20" s="1"/>
      <c r="K20" s="1"/>
      <c r="L20" s="1"/>
    </row>
    <row r="21" spans="1:12" x14ac:dyDescent="0.3">
      <c r="A21" s="1"/>
      <c r="B21" s="1"/>
      <c r="C21" s="1"/>
      <c r="D21" s="1"/>
      <c r="E21" s="1"/>
      <c r="F21" s="1"/>
      <c r="G21" s="1"/>
      <c r="H21" s="1"/>
      <c r="I21" s="1"/>
      <c r="J21" s="1"/>
      <c r="K21" s="1"/>
      <c r="L21" s="1"/>
    </row>
    <row r="22" spans="1:12" x14ac:dyDescent="0.3">
      <c r="A22" s="1"/>
      <c r="B22" s="1"/>
      <c r="C22" s="1"/>
      <c r="D22" s="1"/>
      <c r="E22" s="1"/>
      <c r="F22" s="1"/>
      <c r="G22" s="1"/>
      <c r="H22" s="1"/>
      <c r="I22" s="1"/>
      <c r="J22" s="1"/>
      <c r="K22" s="1"/>
      <c r="L22" s="1"/>
    </row>
    <row r="23" spans="1:12" x14ac:dyDescent="0.3">
      <c r="A23" s="1"/>
      <c r="B23" s="1"/>
      <c r="C23" s="1"/>
      <c r="D23" s="1"/>
      <c r="E23" s="1"/>
      <c r="F23" s="1"/>
      <c r="G23" s="1"/>
      <c r="H23" s="1"/>
      <c r="I23" s="1"/>
      <c r="J23" s="1"/>
      <c r="K23" s="1"/>
      <c r="L23" s="1"/>
    </row>
    <row r="24" spans="1:12" x14ac:dyDescent="0.3">
      <c r="A24" s="1"/>
      <c r="B24" s="1"/>
      <c r="C24" s="1"/>
      <c r="D24" s="1"/>
      <c r="E24" s="1"/>
      <c r="F24" s="1"/>
      <c r="G24" s="1"/>
      <c r="H24" s="1"/>
      <c r="I24" s="1"/>
      <c r="J24" s="1"/>
      <c r="K24" s="1"/>
      <c r="L24" s="1"/>
    </row>
    <row r="25" spans="1:12" x14ac:dyDescent="0.3">
      <c r="A25" s="1"/>
      <c r="B25" s="1"/>
      <c r="C25" s="1"/>
      <c r="D25" s="1"/>
      <c r="E25" s="1"/>
      <c r="F25" s="1"/>
      <c r="G25" s="1"/>
      <c r="H25" s="1"/>
      <c r="I25" s="1"/>
      <c r="J25" s="1"/>
      <c r="K25" s="1"/>
      <c r="L25" s="1"/>
    </row>
    <row r="26" spans="1:12" x14ac:dyDescent="0.3">
      <c r="A26" s="1"/>
      <c r="B26" s="1"/>
      <c r="C26" s="1"/>
      <c r="D26" s="1"/>
      <c r="E26" s="1"/>
      <c r="F26" s="1"/>
      <c r="G26" s="1"/>
      <c r="H26" s="1"/>
      <c r="I26" s="1"/>
      <c r="J26" s="1"/>
      <c r="K26" s="1"/>
      <c r="L26" s="1"/>
    </row>
    <row r="27" spans="1:12" x14ac:dyDescent="0.3">
      <c r="A27" s="1"/>
      <c r="B27" s="1"/>
      <c r="C27" s="1"/>
      <c r="D27" s="1"/>
      <c r="E27" s="1"/>
      <c r="F27" s="1"/>
      <c r="G27" s="1"/>
      <c r="H27" s="1"/>
      <c r="I27" s="1"/>
      <c r="J27" s="1"/>
      <c r="K27" s="1"/>
      <c r="L27" s="1"/>
    </row>
    <row r="28" spans="1:12" x14ac:dyDescent="0.3">
      <c r="A28" s="1"/>
      <c r="B28" s="1"/>
      <c r="C28" s="1"/>
      <c r="D28" s="1"/>
      <c r="E28" s="1"/>
      <c r="F28" s="1"/>
      <c r="G28" s="1"/>
      <c r="H28" s="1"/>
      <c r="I28" s="1"/>
      <c r="J28" s="1"/>
      <c r="K28" s="1"/>
      <c r="L28" s="1"/>
    </row>
    <row r="29" spans="1:12" x14ac:dyDescent="0.3">
      <c r="A29" s="1"/>
      <c r="B29" s="1"/>
      <c r="C29" s="1"/>
      <c r="D29" s="1"/>
      <c r="E29" s="1"/>
      <c r="F29" s="1"/>
      <c r="G29" s="1"/>
      <c r="H29" s="1"/>
      <c r="I29" s="1"/>
      <c r="J29" s="1"/>
      <c r="K29" s="1"/>
      <c r="L29" s="1"/>
    </row>
    <row r="30" spans="1:12" x14ac:dyDescent="0.3">
      <c r="A30" s="1"/>
      <c r="B30" s="1"/>
      <c r="C30" s="1"/>
      <c r="D30" s="1"/>
      <c r="E30" s="1"/>
      <c r="F30" s="1"/>
      <c r="G30" s="1"/>
      <c r="H30" s="1"/>
      <c r="I30" s="1"/>
      <c r="J30" s="1"/>
      <c r="K30" s="1"/>
      <c r="L30" s="1"/>
    </row>
    <row r="31" spans="1:12" x14ac:dyDescent="0.3">
      <c r="A31" s="1"/>
      <c r="B31" s="1"/>
      <c r="C31" s="1"/>
      <c r="D31" s="1"/>
      <c r="E31" s="1"/>
      <c r="F31" s="1"/>
      <c r="G31" s="1"/>
      <c r="H31" s="1"/>
      <c r="I31" s="1"/>
      <c r="J31" s="1"/>
      <c r="K31" s="1"/>
      <c r="L31" s="1"/>
    </row>
    <row r="32" spans="1:12" x14ac:dyDescent="0.3">
      <c r="A32" s="1"/>
      <c r="B32" s="1"/>
      <c r="C32" s="1"/>
      <c r="D32" s="1"/>
      <c r="E32" s="1"/>
      <c r="F32" s="1"/>
      <c r="G32" s="1"/>
      <c r="H32" s="1"/>
      <c r="I32" s="1"/>
      <c r="J32" s="1"/>
      <c r="K32" s="1"/>
      <c r="L32" s="1"/>
    </row>
    <row r="33" spans="1:12" x14ac:dyDescent="0.3">
      <c r="A33" s="1"/>
      <c r="B33" s="1"/>
      <c r="C33" s="1"/>
      <c r="D33" s="1"/>
      <c r="E33" s="1"/>
      <c r="F33" s="1"/>
      <c r="G33" s="1"/>
      <c r="H33" s="1"/>
      <c r="I33" s="1"/>
      <c r="J33" s="1"/>
      <c r="K33" s="1"/>
      <c r="L33" s="1"/>
    </row>
    <row r="34" spans="1:12" x14ac:dyDescent="0.3">
      <c r="A34" s="1"/>
      <c r="B34" s="1"/>
      <c r="C34" s="1"/>
      <c r="D34" s="1"/>
      <c r="E34" s="1"/>
      <c r="F34" s="1"/>
      <c r="G34" s="1"/>
      <c r="H34" s="1"/>
      <c r="I34" s="1"/>
      <c r="J34" s="1"/>
      <c r="K34" s="1"/>
      <c r="L34" s="1"/>
    </row>
    <row r="35" spans="1:12" x14ac:dyDescent="0.3">
      <c r="A35" s="1"/>
      <c r="B35" s="1"/>
      <c r="C35" s="1"/>
      <c r="D35" s="1"/>
      <c r="E35" s="1"/>
      <c r="F35" s="1"/>
      <c r="G35" s="1"/>
      <c r="H35" s="1"/>
      <c r="I35" s="1"/>
      <c r="J35" s="1"/>
      <c r="K35" s="1"/>
      <c r="L35" s="1"/>
    </row>
    <row r="36" spans="1:12" x14ac:dyDescent="0.3">
      <c r="A36" s="1"/>
      <c r="B36" s="1"/>
      <c r="C36" s="1"/>
      <c r="D36" s="1"/>
      <c r="E36" s="1"/>
      <c r="F36" s="1"/>
      <c r="G36" s="1"/>
      <c r="H36" s="1"/>
      <c r="I36" s="1"/>
      <c r="J36" s="1"/>
      <c r="K36" s="1"/>
      <c r="L36" s="1"/>
    </row>
    <row r="37" spans="1:12" x14ac:dyDescent="0.3">
      <c r="A37" s="1"/>
      <c r="B37" s="1"/>
      <c r="C37" s="1"/>
      <c r="D37" s="1"/>
      <c r="E37" s="1"/>
      <c r="F37" s="1"/>
      <c r="G37" s="1"/>
      <c r="H37" s="1"/>
      <c r="I37" s="1"/>
      <c r="J37" s="1"/>
      <c r="K37" s="1"/>
      <c r="L37" s="1"/>
    </row>
    <row r="38" spans="1:12" x14ac:dyDescent="0.3">
      <c r="A38" s="1"/>
      <c r="B38" s="1"/>
      <c r="C38" s="1"/>
      <c r="D38" s="1"/>
      <c r="E38" s="1"/>
      <c r="F38" s="1"/>
      <c r="G38" s="1"/>
      <c r="H38" s="1"/>
      <c r="I38" s="1"/>
      <c r="J38" s="1"/>
      <c r="K38" s="1"/>
      <c r="L38" s="1"/>
    </row>
    <row r="39" spans="1:12" x14ac:dyDescent="0.3">
      <c r="A39" s="1"/>
      <c r="B39" s="1"/>
      <c r="C39" s="1"/>
      <c r="D39" s="1"/>
      <c r="E39" s="1"/>
      <c r="F39" s="1"/>
      <c r="G39" s="1"/>
      <c r="H39" s="1"/>
      <c r="I39" s="1"/>
      <c r="J39" s="1"/>
      <c r="K39" s="1"/>
      <c r="L39" s="1"/>
    </row>
    <row r="40" spans="1:12" x14ac:dyDescent="0.3">
      <c r="A40" s="1"/>
      <c r="B40" s="1"/>
      <c r="C40" s="1"/>
      <c r="D40" s="1"/>
      <c r="E40" s="1"/>
      <c r="F40" s="1"/>
      <c r="G40" s="1"/>
      <c r="H40" s="1"/>
      <c r="I40" s="1"/>
      <c r="J40" s="1"/>
      <c r="K40" s="1"/>
      <c r="L40" s="1"/>
    </row>
    <row r="41" spans="1:12" x14ac:dyDescent="0.3">
      <c r="A41" s="1"/>
      <c r="B41" s="1"/>
      <c r="C41" s="1"/>
      <c r="D41" s="1"/>
      <c r="E41" s="1"/>
      <c r="F41" s="1"/>
      <c r="G41" s="1"/>
      <c r="H41" s="1"/>
      <c r="I41" s="1"/>
      <c r="J41" s="1"/>
      <c r="K41" s="1"/>
      <c r="L41" s="1"/>
    </row>
    <row r="42" spans="1:12" x14ac:dyDescent="0.3">
      <c r="A42" s="1"/>
      <c r="B42" s="1"/>
      <c r="C42" s="1"/>
      <c r="D42" s="1"/>
      <c r="E42" s="1"/>
      <c r="F42" s="1"/>
      <c r="G42" s="1"/>
      <c r="H42" s="1"/>
      <c r="I42" s="1"/>
      <c r="J42" s="1"/>
      <c r="K42" s="1"/>
      <c r="L42" s="1"/>
    </row>
    <row r="43" spans="1:12" x14ac:dyDescent="0.3">
      <c r="A43" s="1"/>
      <c r="B43" s="1"/>
      <c r="C43" s="1"/>
      <c r="D43" s="1"/>
      <c r="E43" s="1"/>
      <c r="F43" s="1"/>
      <c r="G43" s="1"/>
      <c r="H43" s="1"/>
      <c r="I43" s="1"/>
      <c r="J43" s="1"/>
      <c r="K43" s="1"/>
      <c r="L43" s="1"/>
    </row>
    <row r="44" spans="1:12" x14ac:dyDescent="0.3">
      <c r="A44" s="1"/>
      <c r="B44" s="1"/>
      <c r="C44" s="1"/>
      <c r="D44" s="1"/>
      <c r="E44" s="1"/>
      <c r="F44" s="1"/>
      <c r="G44" s="1"/>
      <c r="H44" s="1"/>
      <c r="I44" s="1"/>
      <c r="J44" s="1"/>
      <c r="K44" s="1"/>
      <c r="L44" s="1"/>
    </row>
    <row r="45" spans="1:12" x14ac:dyDescent="0.3">
      <c r="A45" s="1"/>
      <c r="B45" s="1"/>
      <c r="C45" s="1"/>
      <c r="D45" s="1"/>
      <c r="E45" s="1"/>
      <c r="F45" s="1"/>
      <c r="G45" s="1"/>
      <c r="H45" s="1"/>
      <c r="I45" s="1"/>
      <c r="J45" s="1"/>
      <c r="K45" s="1"/>
      <c r="L45" s="1"/>
    </row>
    <row r="46" spans="1:12" x14ac:dyDescent="0.3">
      <c r="A46" s="1"/>
      <c r="B46" s="1"/>
      <c r="C46" s="1"/>
      <c r="D46" s="1"/>
      <c r="E46" s="1"/>
      <c r="F46" s="1"/>
      <c r="G46" s="1"/>
      <c r="H46" s="1"/>
      <c r="I46" s="1"/>
      <c r="J46" s="1"/>
      <c r="K46" s="1"/>
      <c r="L46" s="1"/>
    </row>
    <row r="47" spans="1:12" x14ac:dyDescent="0.3">
      <c r="A47" s="1"/>
      <c r="B47" s="1"/>
      <c r="C47" s="1"/>
      <c r="D47" s="1"/>
      <c r="E47" s="1"/>
      <c r="F47" s="1"/>
      <c r="G47" s="1"/>
      <c r="H47" s="1"/>
      <c r="I47" s="1"/>
      <c r="J47" s="1"/>
      <c r="K47" s="1"/>
      <c r="L47" s="1"/>
    </row>
    <row r="48" spans="1:12" x14ac:dyDescent="0.3">
      <c r="A48" s="1"/>
      <c r="B48" s="1"/>
      <c r="C48" s="1"/>
      <c r="D48" s="1"/>
      <c r="E48" s="1"/>
      <c r="F48" s="1"/>
      <c r="G48" s="1"/>
      <c r="H48" s="1"/>
      <c r="I48" s="1"/>
      <c r="J48" s="1"/>
      <c r="K48" s="1"/>
      <c r="L48" s="1"/>
    </row>
    <row r="49" spans="1:12" x14ac:dyDescent="0.3">
      <c r="A49" s="1"/>
      <c r="B49" s="1"/>
      <c r="C49" s="1"/>
      <c r="D49" s="1"/>
      <c r="E49" s="1"/>
      <c r="F49" s="1"/>
      <c r="G49" s="1"/>
      <c r="H49" s="1"/>
      <c r="I49" s="1"/>
      <c r="J49" s="1"/>
      <c r="K49" s="1"/>
      <c r="L49" s="1"/>
    </row>
    <row r="50" spans="1:12" x14ac:dyDescent="0.3">
      <c r="A50" s="1"/>
      <c r="B50" s="1"/>
      <c r="C50" s="1"/>
      <c r="D50" s="1"/>
      <c r="E50" s="1"/>
      <c r="F50" s="1"/>
      <c r="G50" s="1"/>
      <c r="H50" s="1"/>
      <c r="I50" s="1"/>
      <c r="J50" s="1"/>
      <c r="K50" s="1"/>
      <c r="L50" s="1"/>
    </row>
    <row r="51" spans="1:12" x14ac:dyDescent="0.3">
      <c r="A51" s="1"/>
      <c r="B51" s="1"/>
      <c r="C51" s="1"/>
      <c r="D51" s="1"/>
      <c r="E51" s="1"/>
      <c r="F51" s="1"/>
      <c r="G51" s="1"/>
      <c r="H51" s="1"/>
      <c r="I51" s="1"/>
      <c r="J51" s="1"/>
      <c r="K51" s="1"/>
      <c r="L51" s="1"/>
    </row>
    <row r="52" spans="1:12" x14ac:dyDescent="0.3">
      <c r="A52" s="1"/>
      <c r="B52" s="1"/>
      <c r="C52" s="1"/>
      <c r="D52" s="1"/>
      <c r="E52" s="1"/>
      <c r="F52" s="1"/>
      <c r="G52" s="1"/>
      <c r="H52" s="1"/>
      <c r="I52" s="1"/>
      <c r="J52" s="1"/>
      <c r="K52" s="1"/>
      <c r="L52" s="1"/>
    </row>
    <row r="53" spans="1:12" ht="15" customHeight="1" x14ac:dyDescent="0.3">
      <c r="A53" s="20" t="s">
        <v>62</v>
      </c>
      <c r="B53" s="20"/>
      <c r="C53" s="20"/>
      <c r="D53" s="20"/>
      <c r="E53" s="20"/>
      <c r="F53" s="20"/>
      <c r="G53" s="1"/>
      <c r="H53" s="1"/>
      <c r="I53" s="1"/>
      <c r="J53" s="1"/>
      <c r="K53" s="1"/>
      <c r="L53" s="1"/>
    </row>
    <row r="54" spans="1:12" ht="15" customHeight="1" x14ac:dyDescent="0.3">
      <c r="A54" s="3" t="s">
        <v>63</v>
      </c>
      <c r="B54" s="3" t="s">
        <v>1</v>
      </c>
      <c r="C54" s="3" t="s">
        <v>64</v>
      </c>
      <c r="D54" s="3" t="s">
        <v>65</v>
      </c>
      <c r="E54" s="3" t="s">
        <v>66</v>
      </c>
      <c r="F54" s="3" t="s">
        <v>51</v>
      </c>
      <c r="G54" s="1"/>
      <c r="H54" s="1"/>
      <c r="I54" s="1"/>
      <c r="J54" s="1"/>
      <c r="K54" s="1"/>
      <c r="L54" s="1"/>
    </row>
    <row r="55" spans="1:12" ht="15" customHeight="1" x14ac:dyDescent="0.3">
      <c r="A55" s="10">
        <v>41609</v>
      </c>
      <c r="B55" s="11">
        <f>SUMIFS(SALES_EDA!$B$2:$B$1001,SALES_EDA!$A$2:$A$1001,"&gt;="&amp;A55,SALES_EDA!$A$2:$A$1001,"&lt;"&amp;EDATE(A55,1))</f>
        <v>524283.45243371301</v>
      </c>
      <c r="C55" s="6">
        <f>SUMIFS(SALES_EDA!$D$2:$D$1001,SALES_EDA!$A$2:$A$1001,"&gt;="&amp;A55,SALES_EDA!$A$2:$A$1001,"&lt;"&amp;EDATE(A55,1))</f>
        <v>16095</v>
      </c>
      <c r="D55" s="7">
        <f t="shared" ref="D55:D88" si="0">IFERROR(B55/C55,0)</f>
        <v>32.574305836204601</v>
      </c>
      <c r="E55" s="8">
        <f>IFERROR(SUMIFS(SALES_EDA!$O$2:$O$1001,SALES_EDA!$A$2:$A$1001,"&gt;="&amp;A55,SALES_EDA!$A$2:$A$1001,"&lt;"&amp;EDATE(A55,1))/B55,0)</f>
        <v>-2.4380493039944131E-2</v>
      </c>
      <c r="F55" s="6">
        <f>COUNTIFS(SALES_EDA!$A$2:$A$1001,"&gt;="&amp;A55,SALES_EDA!$A$2:$A$1001,"&lt;"&amp;EDATE(A55,1))</f>
        <v>2</v>
      </c>
      <c r="G55" s="1"/>
      <c r="H55" s="1"/>
      <c r="I55" s="1"/>
      <c r="J55" s="1"/>
      <c r="K55" s="1"/>
      <c r="L55" s="1"/>
    </row>
    <row r="56" spans="1:12" ht="15" customHeight="1" x14ac:dyDescent="0.3">
      <c r="A56" s="10">
        <v>41640</v>
      </c>
      <c r="B56" s="11">
        <f>SUMIFS(SALES_EDA!$B$2:$B$1001,SALES_EDA!$A$2:$A$1001,"&gt;="&amp;A56,SALES_EDA!$A$2:$A$1001,"&lt;"&amp;EDATE(A56,1))</f>
        <v>4008180.4888402349</v>
      </c>
      <c r="C56" s="6">
        <f>SUMIFS(SALES_EDA!$D$2:$D$1001,SALES_EDA!$A$2:$A$1001,"&gt;="&amp;A56,SALES_EDA!$A$2:$A$1001,"&lt;"&amp;EDATE(A56,1))</f>
        <v>119965</v>
      </c>
      <c r="D56" s="7">
        <f t="shared" si="0"/>
        <v>33.411249021299838</v>
      </c>
      <c r="E56" s="8">
        <f>IFERROR(SUMIFS(SALES_EDA!$O$2:$O$1001,SALES_EDA!$A$2:$A$1001,"&gt;="&amp;A56,SALES_EDA!$A$2:$A$1001,"&lt;"&amp;EDATE(A56,1))/B56,0)</f>
        <v>3.1088034678153518E-3</v>
      </c>
      <c r="F56" s="6">
        <f>COUNTIFS(SALES_EDA!$A$2:$A$1001,"&gt;="&amp;A56,SALES_EDA!$A$2:$A$1001,"&lt;"&amp;EDATE(A56,1))</f>
        <v>31</v>
      </c>
      <c r="G56" s="1"/>
      <c r="H56" s="1"/>
      <c r="I56" s="1"/>
      <c r="J56" s="1"/>
      <c r="K56" s="1"/>
      <c r="L56" s="1"/>
    </row>
    <row r="57" spans="1:12" ht="15" customHeight="1" x14ac:dyDescent="0.3">
      <c r="A57" s="10">
        <v>41671</v>
      </c>
      <c r="B57" s="11">
        <f>SUMIFS(SALES_EDA!$B$2:$B$1001,SALES_EDA!$A$2:$A$1001,"&gt;="&amp;A57,SALES_EDA!$A$2:$A$1001,"&lt;"&amp;EDATE(A57,1))</f>
        <v>5780487.175321022</v>
      </c>
      <c r="C57" s="6">
        <f>SUMIFS(SALES_EDA!$D$2:$D$1001,SALES_EDA!$A$2:$A$1001,"&gt;="&amp;A57,SALES_EDA!$A$2:$A$1001,"&lt;"&amp;EDATE(A57,1))</f>
        <v>178035</v>
      </c>
      <c r="D57" s="7">
        <f t="shared" si="0"/>
        <v>32.468262843379236</v>
      </c>
      <c r="E57" s="8">
        <f>IFERROR(SUMIFS(SALES_EDA!$O$2:$O$1001,SALES_EDA!$A$2:$A$1001,"&gt;="&amp;A57,SALES_EDA!$A$2:$A$1001,"&lt;"&amp;EDATE(A57,1))/B57,0)</f>
        <v>-2.3006951061081356E-2</v>
      </c>
      <c r="F57" s="6">
        <f>COUNTIFS(SALES_EDA!$A$2:$A$1001,"&gt;="&amp;A57,SALES_EDA!$A$2:$A$1001,"&lt;"&amp;EDATE(A57,1))</f>
        <v>28</v>
      </c>
      <c r="G57" s="1"/>
      <c r="H57" s="1"/>
      <c r="I57" s="1"/>
      <c r="J57" s="1"/>
      <c r="K57" s="1"/>
      <c r="L57" s="1"/>
    </row>
    <row r="58" spans="1:12" ht="15" customHeight="1" x14ac:dyDescent="0.3">
      <c r="A58" s="10">
        <v>41699</v>
      </c>
      <c r="B58" s="11">
        <f>SUMIFS(SALES_EDA!$B$2:$B$1001,SALES_EDA!$A$2:$A$1001,"&gt;="&amp;A58,SALES_EDA!$A$2:$A$1001,"&lt;"&amp;EDATE(A58,1))</f>
        <v>8279517.1761284554</v>
      </c>
      <c r="C58" s="6">
        <f>SUMIFS(SALES_EDA!$D$2:$D$1001,SALES_EDA!$A$2:$A$1001,"&gt;="&amp;A58,SALES_EDA!$A$2:$A$1001,"&lt;"&amp;EDATE(A58,1))</f>
        <v>252836</v>
      </c>
      <c r="D58" s="7">
        <f t="shared" si="0"/>
        <v>32.746591371989965</v>
      </c>
      <c r="E58" s="8">
        <f>IFERROR(SUMIFS(SALES_EDA!$O$2:$O$1001,SALES_EDA!$A$2:$A$1001,"&gt;="&amp;A58,SALES_EDA!$A$2:$A$1001,"&lt;"&amp;EDATE(A58,1))/B58,0)</f>
        <v>-1.6442606539534853E-2</v>
      </c>
      <c r="F58" s="6">
        <f>COUNTIFS(SALES_EDA!$A$2:$A$1001,"&gt;="&amp;A58,SALES_EDA!$A$2:$A$1001,"&lt;"&amp;EDATE(A58,1))</f>
        <v>31</v>
      </c>
      <c r="G58" s="1"/>
      <c r="H58" s="1"/>
      <c r="I58" s="1"/>
      <c r="J58" s="1"/>
      <c r="K58" s="1"/>
      <c r="L58" s="1"/>
    </row>
    <row r="59" spans="1:12" ht="15" customHeight="1" x14ac:dyDescent="0.3">
      <c r="A59" s="10">
        <v>41730</v>
      </c>
      <c r="B59" s="11">
        <f>SUMIFS(SALES_EDA!$B$2:$B$1001,SALES_EDA!$A$2:$A$1001,"&gt;="&amp;A59,SALES_EDA!$A$2:$A$1001,"&lt;"&amp;EDATE(A59,1))</f>
        <v>6435743.2738555912</v>
      </c>
      <c r="C59" s="6">
        <f>SUMIFS(SALES_EDA!$D$2:$D$1001,SALES_EDA!$A$2:$A$1001,"&gt;="&amp;A59,SALES_EDA!$A$2:$A$1001,"&lt;"&amp;EDATE(A59,1))</f>
        <v>190091</v>
      </c>
      <c r="D59" s="7">
        <f t="shared" si="0"/>
        <v>33.856117721804772</v>
      </c>
      <c r="E59" s="8">
        <f>IFERROR(SUMIFS(SALES_EDA!$O$2:$O$1001,SALES_EDA!$A$2:$A$1001,"&gt;="&amp;A59,SALES_EDA!$A$2:$A$1001,"&lt;"&amp;EDATE(A59,1))/B59,0)</f>
        <v>-6.8213335154871831E-3</v>
      </c>
      <c r="F59" s="6">
        <f>COUNTIFS(SALES_EDA!$A$2:$A$1001,"&gt;="&amp;A59,SALES_EDA!$A$2:$A$1001,"&lt;"&amp;EDATE(A59,1))</f>
        <v>30</v>
      </c>
      <c r="G59" s="1"/>
      <c r="H59" s="1"/>
      <c r="I59" s="1"/>
      <c r="J59" s="1"/>
      <c r="K59" s="1"/>
      <c r="L59" s="1"/>
    </row>
    <row r="60" spans="1:12" ht="15" customHeight="1" x14ac:dyDescent="0.3">
      <c r="A60" s="10">
        <v>41760</v>
      </c>
      <c r="B60" s="11">
        <f>SUMIFS(SALES_EDA!$B$2:$B$1001,SALES_EDA!$A$2:$A$1001,"&gt;="&amp;A60,SALES_EDA!$A$2:$A$1001,"&lt;"&amp;EDATE(A60,1))</f>
        <v>7694906.1536926758</v>
      </c>
      <c r="C60" s="6">
        <f>SUMIFS(SALES_EDA!$D$2:$D$1001,SALES_EDA!$A$2:$A$1001,"&gt;="&amp;A60,SALES_EDA!$A$2:$A$1001,"&lt;"&amp;EDATE(A60,1))</f>
        <v>235793</v>
      </c>
      <c r="D60" s="7">
        <f t="shared" si="0"/>
        <v>32.634158578467876</v>
      </c>
      <c r="E60" s="8">
        <f>IFERROR(SUMIFS(SALES_EDA!$O$2:$O$1001,SALES_EDA!$A$2:$A$1001,"&gt;="&amp;A60,SALES_EDA!$A$2:$A$1001,"&lt;"&amp;EDATE(A60,1))/B60,0)</f>
        <v>-4.1889304062888814E-2</v>
      </c>
      <c r="F60" s="6">
        <f>COUNTIFS(SALES_EDA!$A$2:$A$1001,"&gt;="&amp;A60,SALES_EDA!$A$2:$A$1001,"&lt;"&amp;EDATE(A60,1))</f>
        <v>31</v>
      </c>
      <c r="G60" s="1"/>
      <c r="H60" s="1"/>
      <c r="I60" s="1"/>
      <c r="J60" s="1"/>
      <c r="K60" s="1"/>
      <c r="L60" s="1"/>
    </row>
    <row r="61" spans="1:12" ht="15" customHeight="1" x14ac:dyDescent="0.3">
      <c r="A61" s="10">
        <v>41791</v>
      </c>
      <c r="B61" s="11">
        <f>SUMIFS(SALES_EDA!$B$2:$B$1001,SALES_EDA!$A$2:$A$1001,"&gt;="&amp;A61,SALES_EDA!$A$2:$A$1001,"&lt;"&amp;EDATE(A61,1))</f>
        <v>6456943.6466363054</v>
      </c>
      <c r="C61" s="6">
        <f>SUMIFS(SALES_EDA!$D$2:$D$1001,SALES_EDA!$A$2:$A$1001,"&gt;="&amp;A61,SALES_EDA!$A$2:$A$1001,"&lt;"&amp;EDATE(A61,1))</f>
        <v>198857</v>
      </c>
      <c r="D61" s="7">
        <f t="shared" si="0"/>
        <v>32.470285917198318</v>
      </c>
      <c r="E61" s="8">
        <f>IFERROR(SUMIFS(SALES_EDA!$O$2:$O$1001,SALES_EDA!$A$2:$A$1001,"&gt;="&amp;A61,SALES_EDA!$A$2:$A$1001,"&lt;"&amp;EDATE(A61,1))/B61,0)</f>
        <v>-2.925532894630942E-2</v>
      </c>
      <c r="F61" s="6">
        <f>COUNTIFS(SALES_EDA!$A$2:$A$1001,"&gt;="&amp;A61,SALES_EDA!$A$2:$A$1001,"&lt;"&amp;EDATE(A61,1))</f>
        <v>30</v>
      </c>
      <c r="G61" s="1"/>
      <c r="H61" s="1"/>
      <c r="I61" s="1"/>
      <c r="J61" s="1"/>
      <c r="K61" s="1"/>
      <c r="L61" s="1"/>
    </row>
    <row r="62" spans="1:12" ht="15" customHeight="1" x14ac:dyDescent="0.3">
      <c r="A62" s="10">
        <v>41821</v>
      </c>
      <c r="B62" s="11">
        <f>SUMIFS(SALES_EDA!$B$2:$B$1001,SALES_EDA!$A$2:$A$1001,"&gt;="&amp;A62,SALES_EDA!$A$2:$A$1001,"&lt;"&amp;EDATE(A62,1))</f>
        <v>4933710.8007092187</v>
      </c>
      <c r="C62" s="6">
        <f>SUMIFS(SALES_EDA!$D$2:$D$1001,SALES_EDA!$A$2:$A$1001,"&gt;="&amp;A62,SALES_EDA!$A$2:$A$1001,"&lt;"&amp;EDATE(A62,1))</f>
        <v>147449</v>
      </c>
      <c r="D62" s="7">
        <f t="shared" si="0"/>
        <v>33.460456162532253</v>
      </c>
      <c r="E62" s="8">
        <f>IFERROR(SUMIFS(SALES_EDA!$O$2:$O$1001,SALES_EDA!$A$2:$A$1001,"&gt;="&amp;A62,SALES_EDA!$A$2:$A$1001,"&lt;"&amp;EDATE(A62,1))/B62,0)</f>
        <v>-1.4428105760186686E-2</v>
      </c>
      <c r="F62" s="6">
        <f>COUNTIFS(SALES_EDA!$A$2:$A$1001,"&gt;="&amp;A62,SALES_EDA!$A$2:$A$1001,"&lt;"&amp;EDATE(A62,1))</f>
        <v>31</v>
      </c>
      <c r="G62" s="1"/>
      <c r="H62" s="1"/>
      <c r="I62" s="1"/>
      <c r="J62" s="1"/>
      <c r="K62" s="1"/>
      <c r="L62" s="1"/>
    </row>
    <row r="63" spans="1:12" ht="15" customHeight="1" x14ac:dyDescent="0.3">
      <c r="A63" s="10">
        <v>41852</v>
      </c>
      <c r="B63" s="11">
        <f>SUMIFS(SALES_EDA!$B$2:$B$1001,SALES_EDA!$A$2:$A$1001,"&gt;="&amp;A63,SALES_EDA!$A$2:$A$1001,"&lt;"&amp;EDATE(A63,1))</f>
        <v>10010378.28775782</v>
      </c>
      <c r="C63" s="6">
        <f>SUMIFS(SALES_EDA!$D$2:$D$1001,SALES_EDA!$A$2:$A$1001,"&gt;="&amp;A63,SALES_EDA!$A$2:$A$1001,"&lt;"&amp;EDATE(A63,1))</f>
        <v>310572</v>
      </c>
      <c r="D63" s="7">
        <f t="shared" si="0"/>
        <v>32.232069496792434</v>
      </c>
      <c r="E63" s="8">
        <f>IFERROR(SUMIFS(SALES_EDA!$O$2:$O$1001,SALES_EDA!$A$2:$A$1001,"&gt;="&amp;A63,SALES_EDA!$A$2:$A$1001,"&lt;"&amp;EDATE(A63,1))/B63,0)</f>
        <v>-5.13521189898399E-2</v>
      </c>
      <c r="F63" s="6">
        <f>COUNTIFS(SALES_EDA!$A$2:$A$1001,"&gt;="&amp;A63,SALES_EDA!$A$2:$A$1001,"&lt;"&amp;EDATE(A63,1))</f>
        <v>31</v>
      </c>
      <c r="G63" s="1"/>
      <c r="H63" s="1"/>
      <c r="I63" s="1"/>
      <c r="J63" s="1"/>
      <c r="K63" s="1"/>
      <c r="L63" s="1"/>
    </row>
    <row r="64" spans="1:12" ht="15" customHeight="1" x14ac:dyDescent="0.3">
      <c r="A64" s="10">
        <v>41883</v>
      </c>
      <c r="B64" s="11">
        <f>SUMIFS(SALES_EDA!$B$2:$B$1001,SALES_EDA!$A$2:$A$1001,"&gt;="&amp;A64,SALES_EDA!$A$2:$A$1001,"&lt;"&amp;EDATE(A64,1))</f>
        <v>7643452.6856598957</v>
      </c>
      <c r="C64" s="6">
        <f>SUMIFS(SALES_EDA!$D$2:$D$1001,SALES_EDA!$A$2:$A$1001,"&gt;="&amp;A64,SALES_EDA!$A$2:$A$1001,"&lt;"&amp;EDATE(A64,1))</f>
        <v>237742</v>
      </c>
      <c r="D64" s="7">
        <f t="shared" si="0"/>
        <v>32.150199315476002</v>
      </c>
      <c r="E64" s="8">
        <f>IFERROR(SUMIFS(SALES_EDA!$O$2:$O$1001,SALES_EDA!$A$2:$A$1001,"&gt;="&amp;A64,SALES_EDA!$A$2:$A$1001,"&lt;"&amp;EDATE(A64,1))/B64,0)</f>
        <v>-7.1971054986953525E-2</v>
      </c>
      <c r="F64" s="6">
        <f>COUNTIFS(SALES_EDA!$A$2:$A$1001,"&gt;="&amp;A64,SALES_EDA!$A$2:$A$1001,"&lt;"&amp;EDATE(A64,1))</f>
        <v>30</v>
      </c>
      <c r="G64" s="1"/>
      <c r="H64" s="1"/>
      <c r="I64" s="1"/>
      <c r="J64" s="1"/>
      <c r="K64" s="1"/>
      <c r="L64" s="1"/>
    </row>
    <row r="65" spans="1:12" ht="15" customHeight="1" x14ac:dyDescent="0.3">
      <c r="A65" s="10">
        <v>41913</v>
      </c>
      <c r="B65" s="11">
        <f>SUMIFS(SALES_EDA!$B$2:$B$1001,SALES_EDA!$A$2:$A$1001,"&gt;="&amp;A65,SALES_EDA!$A$2:$A$1001,"&lt;"&amp;EDATE(A65,1))</f>
        <v>5924683.3811629629</v>
      </c>
      <c r="C65" s="6">
        <f>SUMIFS(SALES_EDA!$D$2:$D$1001,SALES_EDA!$A$2:$A$1001,"&gt;="&amp;A65,SALES_EDA!$A$2:$A$1001,"&lt;"&amp;EDATE(A65,1))</f>
        <v>171709</v>
      </c>
      <c r="D65" s="7">
        <f t="shared" si="0"/>
        <v>34.50420992005639</v>
      </c>
      <c r="E65" s="8">
        <f>IFERROR(SUMIFS(SALES_EDA!$O$2:$O$1001,SALES_EDA!$A$2:$A$1001,"&gt;="&amp;A65,SALES_EDA!$A$2:$A$1001,"&lt;"&amp;EDATE(A65,1))/B65,0)</f>
        <v>-1.9204053419722582E-2</v>
      </c>
      <c r="F65" s="6">
        <f>COUNTIFS(SALES_EDA!$A$2:$A$1001,"&gt;="&amp;A65,SALES_EDA!$A$2:$A$1001,"&lt;"&amp;EDATE(A65,1))</f>
        <v>31</v>
      </c>
      <c r="G65" s="1"/>
      <c r="H65" s="1"/>
      <c r="I65" s="1"/>
      <c r="J65" s="1"/>
      <c r="K65" s="1"/>
      <c r="L65" s="1"/>
    </row>
    <row r="66" spans="1:12" ht="15" customHeight="1" x14ac:dyDescent="0.3">
      <c r="A66" s="10">
        <v>41944</v>
      </c>
      <c r="B66" s="11">
        <f>SUMIFS(SALES_EDA!$B$2:$B$1001,SALES_EDA!$A$2:$A$1001,"&gt;="&amp;A66,SALES_EDA!$A$2:$A$1001,"&lt;"&amp;EDATE(A66,1))</f>
        <v>2631353.343112655</v>
      </c>
      <c r="C66" s="6">
        <f>SUMIFS(SALES_EDA!$D$2:$D$1001,SALES_EDA!$A$2:$A$1001,"&gt;="&amp;A66,SALES_EDA!$A$2:$A$1001,"&lt;"&amp;EDATE(A66,1))</f>
        <v>68569</v>
      </c>
      <c r="D66" s="7">
        <f t="shared" si="0"/>
        <v>38.375262044256949</v>
      </c>
      <c r="E66" s="8">
        <f>IFERROR(SUMIFS(SALES_EDA!$O$2:$O$1001,SALES_EDA!$A$2:$A$1001,"&gt;="&amp;A66,SALES_EDA!$A$2:$A$1001,"&lt;"&amp;EDATE(A66,1))/B66,0)</f>
        <v>4.3410554468196756E-2</v>
      </c>
      <c r="F66" s="6">
        <f>COUNTIFS(SALES_EDA!$A$2:$A$1001,"&gt;="&amp;A66,SALES_EDA!$A$2:$A$1001,"&lt;"&amp;EDATE(A66,1))</f>
        <v>30</v>
      </c>
      <c r="G66" s="1"/>
      <c r="H66" s="1"/>
      <c r="I66" s="1"/>
      <c r="J66" s="1"/>
      <c r="K66" s="1"/>
      <c r="L66" s="1"/>
    </row>
    <row r="67" spans="1:12" ht="15" customHeight="1" x14ac:dyDescent="0.3">
      <c r="A67" s="10">
        <v>41974</v>
      </c>
      <c r="B67" s="11">
        <f>SUMIFS(SALES_EDA!$B$2:$B$1001,SALES_EDA!$A$2:$A$1001,"&gt;="&amp;A67,SALES_EDA!$A$2:$A$1001,"&lt;"&amp;EDATE(A67,1))</f>
        <v>5615619.2988237338</v>
      </c>
      <c r="C67" s="6">
        <f>SUMIFS(SALES_EDA!$D$2:$D$1001,SALES_EDA!$A$2:$A$1001,"&gt;="&amp;A67,SALES_EDA!$A$2:$A$1001,"&lt;"&amp;EDATE(A67,1))</f>
        <v>142612</v>
      </c>
      <c r="D67" s="7">
        <f t="shared" si="0"/>
        <v>39.376905862225719</v>
      </c>
      <c r="E67" s="8">
        <f>IFERROR(SUMIFS(SALES_EDA!$O$2:$O$1001,SALES_EDA!$A$2:$A$1001,"&gt;="&amp;A67,SALES_EDA!$A$2:$A$1001,"&lt;"&amp;EDATE(A67,1))/B67,0)</f>
        <v>-5.6837321667892335E-2</v>
      </c>
      <c r="F67" s="6">
        <f>COUNTIFS(SALES_EDA!$A$2:$A$1001,"&gt;="&amp;A67,SALES_EDA!$A$2:$A$1001,"&lt;"&amp;EDATE(A67,1))</f>
        <v>31</v>
      </c>
      <c r="G67" s="1"/>
      <c r="H67" s="1"/>
      <c r="I67" s="1"/>
      <c r="J67" s="1"/>
      <c r="K67" s="1"/>
      <c r="L67" s="1"/>
    </row>
    <row r="68" spans="1:12" ht="15" customHeight="1" x14ac:dyDescent="0.3">
      <c r="A68" s="10">
        <v>42005</v>
      </c>
      <c r="B68" s="11">
        <f>SUMIFS(SALES_EDA!$B$2:$B$1001,SALES_EDA!$A$2:$A$1001,"&gt;="&amp;A68,SALES_EDA!$A$2:$A$1001,"&lt;"&amp;EDATE(A68,1))</f>
        <v>3696191.507908708</v>
      </c>
      <c r="C68" s="6">
        <f>SUMIFS(SALES_EDA!$D$2:$D$1001,SALES_EDA!$A$2:$A$1001,"&gt;="&amp;A68,SALES_EDA!$A$2:$A$1001,"&lt;"&amp;EDATE(A68,1))</f>
        <v>91740</v>
      </c>
      <c r="D68" s="7">
        <f t="shared" si="0"/>
        <v>40.289857291352824</v>
      </c>
      <c r="E68" s="8">
        <f>IFERROR(SUMIFS(SALES_EDA!$O$2:$O$1001,SALES_EDA!$A$2:$A$1001,"&gt;="&amp;A68,SALES_EDA!$A$2:$A$1001,"&lt;"&amp;EDATE(A68,1))/B68,0)</f>
        <v>-4.1953713231710779E-2</v>
      </c>
      <c r="F68" s="6">
        <f>COUNTIFS(SALES_EDA!$A$2:$A$1001,"&gt;="&amp;A68,SALES_EDA!$A$2:$A$1001,"&lt;"&amp;EDATE(A68,1))</f>
        <v>31</v>
      </c>
      <c r="G68" s="1"/>
      <c r="H68" s="1"/>
      <c r="I68" s="1"/>
      <c r="J68" s="1"/>
      <c r="K68" s="1"/>
      <c r="L68" s="1"/>
    </row>
    <row r="69" spans="1:12" ht="15" customHeight="1" x14ac:dyDescent="0.3">
      <c r="A69" s="10">
        <v>42036</v>
      </c>
      <c r="B69" s="11">
        <f>SUMIFS(SALES_EDA!$B$2:$B$1001,SALES_EDA!$A$2:$A$1001,"&gt;="&amp;A69,SALES_EDA!$A$2:$A$1001,"&lt;"&amp;EDATE(A69,1))</f>
        <v>4901504.8931298014</v>
      </c>
      <c r="C69" s="6">
        <f>SUMIFS(SALES_EDA!$D$2:$D$1001,SALES_EDA!$A$2:$A$1001,"&gt;="&amp;A69,SALES_EDA!$A$2:$A$1001,"&lt;"&amp;EDATE(A69,1))</f>
        <v>127753</v>
      </c>
      <c r="D69" s="7">
        <f t="shared" si="0"/>
        <v>38.367043381602009</v>
      </c>
      <c r="E69" s="8">
        <f>IFERROR(SUMIFS(SALES_EDA!$O$2:$O$1001,SALES_EDA!$A$2:$A$1001,"&gt;="&amp;A69,SALES_EDA!$A$2:$A$1001,"&lt;"&amp;EDATE(A69,1))/B69,0)</f>
        <v>-5.1056028753481517E-2</v>
      </c>
      <c r="F69" s="6">
        <f>COUNTIFS(SALES_EDA!$A$2:$A$1001,"&gt;="&amp;A69,SALES_EDA!$A$2:$A$1001,"&lt;"&amp;EDATE(A69,1))</f>
        <v>28</v>
      </c>
      <c r="G69" s="1"/>
      <c r="H69" s="1"/>
      <c r="I69" s="1"/>
      <c r="J69" s="1"/>
      <c r="K69" s="1"/>
      <c r="L69" s="1"/>
    </row>
    <row r="70" spans="1:12" ht="15" customHeight="1" x14ac:dyDescent="0.3">
      <c r="A70" s="10">
        <v>42064</v>
      </c>
      <c r="B70" s="11">
        <f>SUMIFS(SALES_EDA!$B$2:$B$1001,SALES_EDA!$A$2:$A$1001,"&gt;="&amp;A70,SALES_EDA!$A$2:$A$1001,"&lt;"&amp;EDATE(A70,1))</f>
        <v>5269353.1526924418</v>
      </c>
      <c r="C70" s="6">
        <f>SUMIFS(SALES_EDA!$D$2:$D$1001,SALES_EDA!$A$2:$A$1001,"&gt;="&amp;A70,SALES_EDA!$A$2:$A$1001,"&lt;"&amp;EDATE(A70,1))</f>
        <v>136673</v>
      </c>
      <c r="D70" s="7">
        <f t="shared" si="0"/>
        <v>38.554455910768347</v>
      </c>
      <c r="E70" s="8">
        <f>IFERROR(SUMIFS(SALES_EDA!$O$2:$O$1001,SALES_EDA!$A$2:$A$1001,"&gt;="&amp;A70,SALES_EDA!$A$2:$A$1001,"&lt;"&amp;EDATE(A70,1))/B70,0)</f>
        <v>-6.2678958464622445E-2</v>
      </c>
      <c r="F70" s="6">
        <f>COUNTIFS(SALES_EDA!$A$2:$A$1001,"&gt;="&amp;A70,SALES_EDA!$A$2:$A$1001,"&lt;"&amp;EDATE(A70,1))</f>
        <v>31</v>
      </c>
      <c r="G70" s="1"/>
      <c r="H70" s="1"/>
      <c r="I70" s="1"/>
      <c r="J70" s="1"/>
      <c r="K70" s="1"/>
      <c r="L70" s="1"/>
    </row>
    <row r="71" spans="1:12" ht="15" customHeight="1" x14ac:dyDescent="0.3">
      <c r="A71" s="10">
        <v>42095</v>
      </c>
      <c r="B71" s="11">
        <f>SUMIFS(SALES_EDA!$B$2:$B$1001,SALES_EDA!$A$2:$A$1001,"&gt;="&amp;A71,SALES_EDA!$A$2:$A$1001,"&lt;"&amp;EDATE(A71,1))</f>
        <v>5963993.9677629443</v>
      </c>
      <c r="C71" s="6">
        <f>SUMIFS(SALES_EDA!$D$2:$D$1001,SALES_EDA!$A$2:$A$1001,"&gt;="&amp;A71,SALES_EDA!$A$2:$A$1001,"&lt;"&amp;EDATE(A71,1))</f>
        <v>153702</v>
      </c>
      <c r="D71" s="7">
        <f t="shared" si="0"/>
        <v>38.802318562952621</v>
      </c>
      <c r="E71" s="8">
        <f>IFERROR(SUMIFS(SALES_EDA!$O$2:$O$1001,SALES_EDA!$A$2:$A$1001,"&gt;="&amp;A71,SALES_EDA!$A$2:$A$1001,"&lt;"&amp;EDATE(A71,1))/B71,0)</f>
        <v>-5.4104631625758029E-2</v>
      </c>
      <c r="F71" s="6">
        <f>COUNTIFS(SALES_EDA!$A$2:$A$1001,"&gt;="&amp;A71,SALES_EDA!$A$2:$A$1001,"&lt;"&amp;EDATE(A71,1))</f>
        <v>30</v>
      </c>
      <c r="G71" s="1"/>
      <c r="H71" s="1"/>
      <c r="I71" s="1"/>
      <c r="J71" s="1"/>
      <c r="K71" s="1"/>
      <c r="L71" s="1"/>
    </row>
    <row r="72" spans="1:12" ht="15" customHeight="1" x14ac:dyDescent="0.3">
      <c r="A72" s="10">
        <v>42125</v>
      </c>
      <c r="B72" s="11">
        <f>SUMIFS(SALES_EDA!$B$2:$B$1001,SALES_EDA!$A$2:$A$1001,"&gt;="&amp;A72,SALES_EDA!$A$2:$A$1001,"&lt;"&amp;EDATE(A72,1))</f>
        <v>8384367.2411529217</v>
      </c>
      <c r="C72" s="6">
        <f>SUMIFS(SALES_EDA!$D$2:$D$1001,SALES_EDA!$A$2:$A$1001,"&gt;="&amp;A72,SALES_EDA!$A$2:$A$1001,"&lt;"&amp;EDATE(A72,1))</f>
        <v>220775</v>
      </c>
      <c r="D72" s="7">
        <f t="shared" si="0"/>
        <v>37.97697765214776</v>
      </c>
      <c r="E72" s="8">
        <f>IFERROR(SUMIFS(SALES_EDA!$O$2:$O$1001,SALES_EDA!$A$2:$A$1001,"&gt;="&amp;A72,SALES_EDA!$A$2:$A$1001,"&lt;"&amp;EDATE(A72,1))/B72,0)</f>
        <v>-7.0289699927546023E-2</v>
      </c>
      <c r="F72" s="6">
        <f>COUNTIFS(SALES_EDA!$A$2:$A$1001,"&gt;="&amp;A72,SALES_EDA!$A$2:$A$1001,"&lt;"&amp;EDATE(A72,1))</f>
        <v>31</v>
      </c>
      <c r="G72" s="1"/>
      <c r="H72" s="1"/>
      <c r="I72" s="1"/>
      <c r="J72" s="1"/>
      <c r="K72" s="1"/>
      <c r="L72" s="1"/>
    </row>
    <row r="73" spans="1:12" ht="15" customHeight="1" x14ac:dyDescent="0.3">
      <c r="A73" s="10">
        <v>42156</v>
      </c>
      <c r="B73" s="11">
        <f>SUMIFS(SALES_EDA!$B$2:$B$1001,SALES_EDA!$A$2:$A$1001,"&gt;="&amp;A73,SALES_EDA!$A$2:$A$1001,"&lt;"&amp;EDATE(A73,1))</f>
        <v>5332108.3233635416</v>
      </c>
      <c r="C73" s="6">
        <f>SUMIFS(SALES_EDA!$D$2:$D$1001,SALES_EDA!$A$2:$A$1001,"&gt;="&amp;A73,SALES_EDA!$A$2:$A$1001,"&lt;"&amp;EDATE(A73,1))</f>
        <v>136581</v>
      </c>
      <c r="D73" s="7">
        <f t="shared" si="0"/>
        <v>39.039898107083282</v>
      </c>
      <c r="E73" s="8">
        <f>IFERROR(SUMIFS(SALES_EDA!$O$2:$O$1001,SALES_EDA!$A$2:$A$1001,"&gt;="&amp;A73,SALES_EDA!$A$2:$A$1001,"&lt;"&amp;EDATE(A73,1))/B73,0)</f>
        <v>-3.5411329654711138E-2</v>
      </c>
      <c r="F73" s="6">
        <f>COUNTIFS(SALES_EDA!$A$2:$A$1001,"&gt;="&amp;A73,SALES_EDA!$A$2:$A$1001,"&lt;"&amp;EDATE(A73,1))</f>
        <v>30</v>
      </c>
      <c r="G73" s="1"/>
      <c r="H73" s="1"/>
      <c r="I73" s="1"/>
      <c r="J73" s="1"/>
      <c r="K73" s="1"/>
      <c r="L73" s="1"/>
    </row>
    <row r="74" spans="1:12" ht="15" customHeight="1" x14ac:dyDescent="0.3">
      <c r="A74" s="10">
        <v>42186</v>
      </c>
      <c r="B74" s="11">
        <f>SUMIFS(SALES_EDA!$B$2:$B$1001,SALES_EDA!$A$2:$A$1001,"&gt;="&amp;A74,SALES_EDA!$A$2:$A$1001,"&lt;"&amp;EDATE(A74,1))</f>
        <v>3677692.394056119</v>
      </c>
      <c r="C74" s="6">
        <f>SUMIFS(SALES_EDA!$D$2:$D$1001,SALES_EDA!$A$2:$A$1001,"&gt;="&amp;A74,SALES_EDA!$A$2:$A$1001,"&lt;"&amp;EDATE(A74,1))</f>
        <v>95600</v>
      </c>
      <c r="D74" s="7">
        <f t="shared" si="0"/>
        <v>38.469585711884093</v>
      </c>
      <c r="E74" s="8">
        <f>IFERROR(SUMIFS(SALES_EDA!$O$2:$O$1001,SALES_EDA!$A$2:$A$1001,"&gt;="&amp;A74,SALES_EDA!$A$2:$A$1001,"&lt;"&amp;EDATE(A74,1))/B74,0)</f>
        <v>-4.1193268695093536E-2</v>
      </c>
      <c r="F74" s="6">
        <f>COUNTIFS(SALES_EDA!$A$2:$A$1001,"&gt;="&amp;A74,SALES_EDA!$A$2:$A$1001,"&lt;"&amp;EDATE(A74,1))</f>
        <v>31</v>
      </c>
      <c r="G74" s="1"/>
      <c r="H74" s="1"/>
      <c r="I74" s="1"/>
      <c r="J74" s="1"/>
      <c r="K74" s="1"/>
      <c r="L74" s="1"/>
    </row>
    <row r="75" spans="1:12" ht="15" customHeight="1" x14ac:dyDescent="0.3">
      <c r="A75" s="10">
        <v>42217</v>
      </c>
      <c r="B75" s="11">
        <f>SUMIFS(SALES_EDA!$B$2:$B$1001,SALES_EDA!$A$2:$A$1001,"&gt;="&amp;A75,SALES_EDA!$A$2:$A$1001,"&lt;"&amp;EDATE(A75,1))</f>
        <v>3934668.4080629996</v>
      </c>
      <c r="C75" s="6">
        <f>SUMIFS(SALES_EDA!$D$2:$D$1001,SALES_EDA!$A$2:$A$1001,"&gt;="&amp;A75,SALES_EDA!$A$2:$A$1001,"&lt;"&amp;EDATE(A75,1))</f>
        <v>108899</v>
      </c>
      <c r="D75" s="7">
        <f t="shared" si="0"/>
        <v>36.131354815590591</v>
      </c>
      <c r="E75" s="8">
        <f>IFERROR(SUMIFS(SALES_EDA!$O$2:$O$1001,SALES_EDA!$A$2:$A$1001,"&gt;="&amp;A75,SALES_EDA!$A$2:$A$1001,"&lt;"&amp;EDATE(A75,1))/B75,0)</f>
        <v>-7.0211488791107515E-2</v>
      </c>
      <c r="F75" s="6">
        <f>COUNTIFS(SALES_EDA!$A$2:$A$1001,"&gt;="&amp;A75,SALES_EDA!$A$2:$A$1001,"&lt;"&amp;EDATE(A75,1))</f>
        <v>31</v>
      </c>
      <c r="G75" s="1"/>
      <c r="H75" s="1"/>
      <c r="I75" s="1"/>
      <c r="J75" s="1"/>
      <c r="K75" s="1"/>
      <c r="L75" s="1"/>
    </row>
    <row r="76" spans="1:12" ht="15" customHeight="1" x14ac:dyDescent="0.3">
      <c r="A76" s="10">
        <v>42248</v>
      </c>
      <c r="B76" s="11">
        <f>SUMIFS(SALES_EDA!$B$2:$B$1001,SALES_EDA!$A$2:$A$1001,"&gt;="&amp;A76,SALES_EDA!$A$2:$A$1001,"&lt;"&amp;EDATE(A76,1))</f>
        <v>4669899.8586166771</v>
      </c>
      <c r="C76" s="6">
        <f>SUMIFS(SALES_EDA!$D$2:$D$1001,SALES_EDA!$A$2:$A$1001,"&gt;="&amp;A76,SALES_EDA!$A$2:$A$1001,"&lt;"&amp;EDATE(A76,1))</f>
        <v>134837</v>
      </c>
      <c r="D76" s="7">
        <f t="shared" si="0"/>
        <v>34.633667751556892</v>
      </c>
      <c r="E76" s="8">
        <f>IFERROR(SUMIFS(SALES_EDA!$O$2:$O$1001,SALES_EDA!$A$2:$A$1001,"&gt;="&amp;A76,SALES_EDA!$A$2:$A$1001,"&lt;"&amp;EDATE(A76,1))/B76,0)</f>
        <v>-7.5932000054241541E-2</v>
      </c>
      <c r="F76" s="6">
        <f>COUNTIFS(SALES_EDA!$A$2:$A$1001,"&gt;="&amp;A76,SALES_EDA!$A$2:$A$1001,"&lt;"&amp;EDATE(A76,1))</f>
        <v>30</v>
      </c>
      <c r="G76" s="1"/>
      <c r="H76" s="1"/>
      <c r="I76" s="1"/>
      <c r="J76" s="1"/>
      <c r="K76" s="1"/>
      <c r="L76" s="1"/>
    </row>
    <row r="77" spans="1:12" ht="15" customHeight="1" x14ac:dyDescent="0.3">
      <c r="A77" s="10">
        <v>42278</v>
      </c>
      <c r="B77" s="11">
        <f>SUMIFS(SALES_EDA!$B$2:$B$1001,SALES_EDA!$A$2:$A$1001,"&gt;="&amp;A77,SALES_EDA!$A$2:$A$1001,"&lt;"&amp;EDATE(A77,1))</f>
        <v>4828975.0795014305</v>
      </c>
      <c r="C77" s="6">
        <f>SUMIFS(SALES_EDA!$D$2:$D$1001,SALES_EDA!$A$2:$A$1001,"&gt;="&amp;A77,SALES_EDA!$A$2:$A$1001,"&lt;"&amp;EDATE(A77,1))</f>
        <v>135328</v>
      </c>
      <c r="D77" s="7">
        <f t="shared" si="0"/>
        <v>35.68348811407418</v>
      </c>
      <c r="E77" s="8">
        <f>IFERROR(SUMIFS(SALES_EDA!$O$2:$O$1001,SALES_EDA!$A$2:$A$1001,"&gt;="&amp;A77,SALES_EDA!$A$2:$A$1001,"&lt;"&amp;EDATE(A77,1))/B77,0)</f>
        <v>-7.1758290791919949E-2</v>
      </c>
      <c r="F77" s="6">
        <f>COUNTIFS(SALES_EDA!$A$2:$A$1001,"&gt;="&amp;A77,SALES_EDA!$A$2:$A$1001,"&lt;"&amp;EDATE(A77,1))</f>
        <v>31</v>
      </c>
      <c r="G77" s="1"/>
      <c r="H77" s="1"/>
      <c r="I77" s="1"/>
      <c r="J77" s="1"/>
      <c r="K77" s="1"/>
      <c r="L77" s="1"/>
    </row>
    <row r="78" spans="1:12" ht="15" customHeight="1" x14ac:dyDescent="0.3">
      <c r="A78" s="10">
        <v>42309</v>
      </c>
      <c r="B78" s="11">
        <f>SUMIFS(SALES_EDA!$B$2:$B$1001,SALES_EDA!$A$2:$A$1001,"&gt;="&amp;A78,SALES_EDA!$A$2:$A$1001,"&lt;"&amp;EDATE(A78,1))</f>
        <v>6538148.8833287368</v>
      </c>
      <c r="C78" s="6">
        <f>SUMIFS(SALES_EDA!$D$2:$D$1001,SALES_EDA!$A$2:$A$1001,"&gt;="&amp;A78,SALES_EDA!$A$2:$A$1001,"&lt;"&amp;EDATE(A78,1))</f>
        <v>185868</v>
      </c>
      <c r="D78" s="7">
        <f t="shared" si="0"/>
        <v>35.1763019095742</v>
      </c>
      <c r="E78" s="8">
        <f>IFERROR(SUMIFS(SALES_EDA!$O$2:$O$1001,SALES_EDA!$A$2:$A$1001,"&gt;="&amp;A78,SALES_EDA!$A$2:$A$1001,"&lt;"&amp;EDATE(A78,1))/B78,0)</f>
        <v>-9.1873798235030793E-2</v>
      </c>
      <c r="F78" s="6">
        <f>COUNTIFS(SALES_EDA!$A$2:$A$1001,"&gt;="&amp;A78,SALES_EDA!$A$2:$A$1001,"&lt;"&amp;EDATE(A78,1))</f>
        <v>30</v>
      </c>
      <c r="G78" s="1"/>
      <c r="H78" s="1"/>
      <c r="I78" s="1"/>
      <c r="J78" s="1"/>
      <c r="K78" s="1"/>
      <c r="L78" s="1"/>
    </row>
    <row r="79" spans="1:12" ht="15" customHeight="1" x14ac:dyDescent="0.3">
      <c r="A79" s="10">
        <v>42339</v>
      </c>
      <c r="B79" s="11">
        <f>SUMIFS(SALES_EDA!$B$2:$B$1001,SALES_EDA!$A$2:$A$1001,"&gt;="&amp;A79,SALES_EDA!$A$2:$A$1001,"&lt;"&amp;EDATE(A79,1))</f>
        <v>6820689.6776469136</v>
      </c>
      <c r="C79" s="6">
        <f>SUMIFS(SALES_EDA!$D$2:$D$1001,SALES_EDA!$A$2:$A$1001,"&gt;="&amp;A79,SALES_EDA!$A$2:$A$1001,"&lt;"&amp;EDATE(A79,1))</f>
        <v>187333</v>
      </c>
      <c r="D79" s="7">
        <f t="shared" si="0"/>
        <v>36.409440288934213</v>
      </c>
      <c r="E79" s="8">
        <f>IFERROR(SUMIFS(SALES_EDA!$O$2:$O$1001,SALES_EDA!$A$2:$A$1001,"&gt;="&amp;A79,SALES_EDA!$A$2:$A$1001,"&lt;"&amp;EDATE(A79,1))/B79,0)</f>
        <v>-4.8914062753125542E-2</v>
      </c>
      <c r="F79" s="6">
        <f>COUNTIFS(SALES_EDA!$A$2:$A$1001,"&gt;="&amp;A79,SALES_EDA!$A$2:$A$1001,"&lt;"&amp;EDATE(A79,1))</f>
        <v>31</v>
      </c>
      <c r="G79" s="1"/>
      <c r="H79" s="1"/>
      <c r="I79" s="1"/>
      <c r="J79" s="1"/>
      <c r="K79" s="1"/>
      <c r="L79" s="1"/>
    </row>
    <row r="80" spans="1:12" ht="15" customHeight="1" x14ac:dyDescent="0.3">
      <c r="A80" s="10">
        <v>42370</v>
      </c>
      <c r="B80" s="11">
        <f>SUMIFS(SALES_EDA!$B$2:$B$1001,SALES_EDA!$A$2:$A$1001,"&gt;="&amp;A80,SALES_EDA!$A$2:$A$1001,"&lt;"&amp;EDATE(A80,1))</f>
        <v>5403090.5092575783</v>
      </c>
      <c r="C80" s="6">
        <f>SUMIFS(SALES_EDA!$D$2:$D$1001,SALES_EDA!$A$2:$A$1001,"&gt;="&amp;A80,SALES_EDA!$A$2:$A$1001,"&lt;"&amp;EDATE(A80,1))</f>
        <v>150561</v>
      </c>
      <c r="D80" s="7">
        <f t="shared" si="0"/>
        <v>35.886388302798061</v>
      </c>
      <c r="E80" s="8">
        <f>IFERROR(SUMIFS(SALES_EDA!$O$2:$O$1001,SALES_EDA!$A$2:$A$1001,"&gt;="&amp;A80,SALES_EDA!$A$2:$A$1001,"&lt;"&amp;EDATE(A80,1))/B80,0)</f>
        <v>-4.7056810475161859E-2</v>
      </c>
      <c r="F80" s="6">
        <f>COUNTIFS(SALES_EDA!$A$2:$A$1001,"&gt;="&amp;A80,SALES_EDA!$A$2:$A$1001,"&lt;"&amp;EDATE(A80,1))</f>
        <v>31</v>
      </c>
      <c r="G80" s="1"/>
      <c r="H80" s="1"/>
      <c r="I80" s="1"/>
      <c r="J80" s="1"/>
      <c r="K80" s="1"/>
      <c r="L80" s="1"/>
    </row>
    <row r="81" spans="1:12" ht="15" customHeight="1" x14ac:dyDescent="0.3">
      <c r="A81" s="10">
        <v>42401</v>
      </c>
      <c r="B81" s="11">
        <f>SUMIFS(SALES_EDA!$B$2:$B$1001,SALES_EDA!$A$2:$A$1001,"&gt;="&amp;A81,SALES_EDA!$A$2:$A$1001,"&lt;"&amp;EDATE(A81,1))</f>
        <v>4891882.3081559949</v>
      </c>
      <c r="C81" s="6">
        <f>SUMIFS(SALES_EDA!$D$2:$D$1001,SALES_EDA!$A$2:$A$1001,"&gt;="&amp;A81,SALES_EDA!$A$2:$A$1001,"&lt;"&amp;EDATE(A81,1))</f>
        <v>132990</v>
      </c>
      <c r="D81" s="7">
        <f t="shared" si="0"/>
        <v>36.783835688066731</v>
      </c>
      <c r="E81" s="8">
        <f>IFERROR(SUMIFS(SALES_EDA!$O$2:$O$1001,SALES_EDA!$A$2:$A$1001,"&gt;="&amp;A81,SALES_EDA!$A$2:$A$1001,"&lt;"&amp;EDATE(A81,1))/B81,0)</f>
        <v>5.2713133399933515E-4</v>
      </c>
      <c r="F81" s="6">
        <f>COUNTIFS(SALES_EDA!$A$2:$A$1001,"&gt;="&amp;A81,SALES_EDA!$A$2:$A$1001,"&lt;"&amp;EDATE(A81,1))</f>
        <v>29</v>
      </c>
      <c r="G81" s="1"/>
      <c r="H81" s="1"/>
      <c r="I81" s="1"/>
      <c r="J81" s="1"/>
      <c r="K81" s="1"/>
      <c r="L81" s="1"/>
    </row>
    <row r="82" spans="1:12" ht="15" customHeight="1" x14ac:dyDescent="0.3">
      <c r="A82" s="10">
        <v>42430</v>
      </c>
      <c r="B82" s="11">
        <f>SUMIFS(SALES_EDA!$B$2:$B$1001,SALES_EDA!$A$2:$A$1001,"&gt;="&amp;A82,SALES_EDA!$A$2:$A$1001,"&lt;"&amp;EDATE(A82,1))</f>
        <v>2951856.0057579</v>
      </c>
      <c r="C82" s="6">
        <f>SUMIFS(SALES_EDA!$D$2:$D$1001,SALES_EDA!$A$2:$A$1001,"&gt;="&amp;A82,SALES_EDA!$A$2:$A$1001,"&lt;"&amp;EDATE(A82,1))</f>
        <v>74185</v>
      </c>
      <c r="D82" s="7">
        <f t="shared" si="0"/>
        <v>39.79046984913257</v>
      </c>
      <c r="E82" s="8">
        <f>IFERROR(SUMIFS(SALES_EDA!$O$2:$O$1001,SALES_EDA!$A$2:$A$1001,"&gt;="&amp;A82,SALES_EDA!$A$2:$A$1001,"&lt;"&amp;EDATE(A82,1))/B82,0)</f>
        <v>1.1536644883618632E-2</v>
      </c>
      <c r="F82" s="6">
        <f>COUNTIFS(SALES_EDA!$A$2:$A$1001,"&gt;="&amp;A82,SALES_EDA!$A$2:$A$1001,"&lt;"&amp;EDATE(A82,1))</f>
        <v>31</v>
      </c>
      <c r="G82" s="1"/>
      <c r="H82" s="1"/>
      <c r="I82" s="1"/>
      <c r="J82" s="1"/>
      <c r="K82" s="1"/>
      <c r="L82" s="1"/>
    </row>
    <row r="83" spans="1:12" ht="15" customHeight="1" x14ac:dyDescent="0.3">
      <c r="A83" s="10">
        <v>42461</v>
      </c>
      <c r="B83" s="11">
        <f>SUMIFS(SALES_EDA!$B$2:$B$1001,SALES_EDA!$A$2:$A$1001,"&gt;="&amp;A83,SALES_EDA!$A$2:$A$1001,"&lt;"&amp;EDATE(A83,1))</f>
        <v>6656880.1761649484</v>
      </c>
      <c r="C83" s="6">
        <f>SUMIFS(SALES_EDA!$D$2:$D$1001,SALES_EDA!$A$2:$A$1001,"&gt;="&amp;A83,SALES_EDA!$A$2:$A$1001,"&lt;"&amp;EDATE(A83,1))</f>
        <v>190235</v>
      </c>
      <c r="D83" s="7">
        <f t="shared" si="0"/>
        <v>34.99293072339448</v>
      </c>
      <c r="E83" s="8">
        <f>IFERROR(SUMIFS(SALES_EDA!$O$2:$O$1001,SALES_EDA!$A$2:$A$1001,"&gt;="&amp;A83,SALES_EDA!$A$2:$A$1001,"&lt;"&amp;EDATE(A83,1))/B83,0)</f>
        <v>-7.0731591467100452E-2</v>
      </c>
      <c r="F83" s="6">
        <f>COUNTIFS(SALES_EDA!$A$2:$A$1001,"&gt;="&amp;A83,SALES_EDA!$A$2:$A$1001,"&lt;"&amp;EDATE(A83,1))</f>
        <v>30</v>
      </c>
      <c r="G83" s="1"/>
      <c r="H83" s="1"/>
      <c r="I83" s="1"/>
      <c r="J83" s="1"/>
      <c r="K83" s="1"/>
      <c r="L83" s="1"/>
    </row>
    <row r="84" spans="1:12" ht="15" customHeight="1" x14ac:dyDescent="0.3">
      <c r="A84" s="10">
        <v>42491</v>
      </c>
      <c r="B84" s="11">
        <f>SUMIFS(SALES_EDA!$B$2:$B$1001,SALES_EDA!$A$2:$A$1001,"&gt;="&amp;A84,SALES_EDA!$A$2:$A$1001,"&lt;"&amp;EDATE(A84,1))</f>
        <v>5170231.8549004085</v>
      </c>
      <c r="C84" s="6">
        <f>SUMIFS(SALES_EDA!$D$2:$D$1001,SALES_EDA!$A$2:$A$1001,"&gt;="&amp;A84,SALES_EDA!$A$2:$A$1001,"&lt;"&amp;EDATE(A84,1))</f>
        <v>146298</v>
      </c>
      <c r="D84" s="7">
        <f t="shared" si="0"/>
        <v>35.340413778044869</v>
      </c>
      <c r="E84" s="8">
        <f>IFERROR(SUMIFS(SALES_EDA!$O$2:$O$1001,SALES_EDA!$A$2:$A$1001,"&gt;="&amp;A84,SALES_EDA!$A$2:$A$1001,"&lt;"&amp;EDATE(A84,1))/B84,0)</f>
        <v>-3.2525190706358571E-2</v>
      </c>
      <c r="F84" s="6">
        <f>COUNTIFS(SALES_EDA!$A$2:$A$1001,"&gt;="&amp;A84,SALES_EDA!$A$2:$A$1001,"&lt;"&amp;EDATE(A84,1))</f>
        <v>31</v>
      </c>
      <c r="G84" s="1"/>
      <c r="H84" s="1"/>
      <c r="I84" s="1"/>
      <c r="J84" s="1"/>
      <c r="K84" s="1"/>
      <c r="L84" s="1"/>
    </row>
    <row r="85" spans="1:12" ht="15" customHeight="1" x14ac:dyDescent="0.3">
      <c r="A85" s="10">
        <v>42522</v>
      </c>
      <c r="B85" s="11">
        <f>SUMIFS(SALES_EDA!$B$2:$B$1001,SALES_EDA!$A$2:$A$1001,"&gt;="&amp;A85,SALES_EDA!$A$2:$A$1001,"&lt;"&amp;EDATE(A85,1))</f>
        <v>6771134.9382742001</v>
      </c>
      <c r="C85" s="6">
        <f>SUMIFS(SALES_EDA!$D$2:$D$1001,SALES_EDA!$A$2:$A$1001,"&gt;="&amp;A85,SALES_EDA!$A$2:$A$1001,"&lt;"&amp;EDATE(A85,1))</f>
        <v>197469</v>
      </c>
      <c r="D85" s="7">
        <f t="shared" si="0"/>
        <v>34.289609702151729</v>
      </c>
      <c r="E85" s="8">
        <f>IFERROR(SUMIFS(SALES_EDA!$O$2:$O$1001,SALES_EDA!$A$2:$A$1001,"&gt;="&amp;A85,SALES_EDA!$A$2:$A$1001,"&lt;"&amp;EDATE(A85,1))/B85,0)</f>
        <v>-5.8662941523501454E-2</v>
      </c>
      <c r="F85" s="6">
        <f>COUNTIFS(SALES_EDA!$A$2:$A$1001,"&gt;="&amp;A85,SALES_EDA!$A$2:$A$1001,"&lt;"&amp;EDATE(A85,1))</f>
        <v>30</v>
      </c>
      <c r="G85" s="1"/>
      <c r="H85" s="1"/>
      <c r="I85" s="1"/>
      <c r="J85" s="1"/>
      <c r="K85" s="1"/>
      <c r="L85" s="1"/>
    </row>
    <row r="86" spans="1:12" ht="15" customHeight="1" x14ac:dyDescent="0.3">
      <c r="A86" s="10">
        <v>42552</v>
      </c>
      <c r="B86" s="11">
        <f>SUMIFS(SALES_EDA!$B$2:$B$1001,SALES_EDA!$A$2:$A$1001,"&gt;="&amp;A86,SALES_EDA!$A$2:$A$1001,"&lt;"&amp;EDATE(A86,1))</f>
        <v>3324825.4316159762</v>
      </c>
      <c r="C86" s="6">
        <f>SUMIFS(SALES_EDA!$D$2:$D$1001,SALES_EDA!$A$2:$A$1001,"&gt;="&amp;A86,SALES_EDA!$A$2:$A$1001,"&lt;"&amp;EDATE(A86,1))</f>
        <v>90653</v>
      </c>
      <c r="D86" s="7">
        <f t="shared" si="0"/>
        <v>36.676397158571433</v>
      </c>
      <c r="E86" s="8">
        <f>IFERROR(SUMIFS(SALES_EDA!$O$2:$O$1001,SALES_EDA!$A$2:$A$1001,"&gt;="&amp;A86,SALES_EDA!$A$2:$A$1001,"&lt;"&amp;EDATE(A86,1))/B86,0)</f>
        <v>1.6971765946619817E-2</v>
      </c>
      <c r="F86" s="6">
        <f>COUNTIFS(SALES_EDA!$A$2:$A$1001,"&gt;="&amp;A86,SALES_EDA!$A$2:$A$1001,"&lt;"&amp;EDATE(A86,1))</f>
        <v>31</v>
      </c>
      <c r="G86" s="1"/>
      <c r="H86" s="1"/>
      <c r="I86" s="1"/>
      <c r="J86" s="1"/>
      <c r="K86" s="1"/>
      <c r="L86" s="1"/>
    </row>
    <row r="87" spans="1:12" ht="15" customHeight="1" x14ac:dyDescent="0.3">
      <c r="A87" s="10">
        <v>42583</v>
      </c>
      <c r="B87" s="11">
        <f>SUMIFS(SALES_EDA!$B$2:$B$1001,SALES_EDA!$A$2:$A$1001,"&gt;="&amp;A87,SALES_EDA!$A$2:$A$1001,"&lt;"&amp;EDATE(A87,1))</f>
        <v>4343329.4138204977</v>
      </c>
      <c r="C87" s="6">
        <f>SUMIFS(SALES_EDA!$D$2:$D$1001,SALES_EDA!$A$2:$A$1001,"&gt;="&amp;A87,SALES_EDA!$A$2:$A$1001,"&lt;"&amp;EDATE(A87,1))</f>
        <v>123621</v>
      </c>
      <c r="D87" s="7">
        <f t="shared" si="0"/>
        <v>35.134236204370595</v>
      </c>
      <c r="E87" s="8">
        <f>IFERROR(SUMIFS(SALES_EDA!$O$2:$O$1001,SALES_EDA!$A$2:$A$1001,"&gt;="&amp;A87,SALES_EDA!$A$2:$A$1001,"&lt;"&amp;EDATE(A87,1))/B87,0)</f>
        <v>-3.1417888947279031E-2</v>
      </c>
      <c r="F87" s="6">
        <f>COUNTIFS(SALES_EDA!$A$2:$A$1001,"&gt;="&amp;A87,SALES_EDA!$A$2:$A$1001,"&lt;"&amp;EDATE(A87,1))</f>
        <v>31</v>
      </c>
      <c r="G87" s="1"/>
      <c r="H87" s="1"/>
      <c r="I87" s="1"/>
      <c r="J87" s="1"/>
      <c r="K87" s="1"/>
      <c r="L87" s="1"/>
    </row>
    <row r="88" spans="1:12" ht="15" customHeight="1" x14ac:dyDescent="0.3">
      <c r="A88" s="10">
        <v>42614</v>
      </c>
      <c r="B88" s="11">
        <f>SUMIFS(SALES_EDA!$B$2:$B$1001,SALES_EDA!$A$2:$A$1001,"&gt;="&amp;A88,SALES_EDA!$A$2:$A$1001,"&lt;"&amp;EDATE(A88,1))</f>
        <v>2789053.7928563659</v>
      </c>
      <c r="C88" s="6">
        <f>SUMIFS(SALES_EDA!$D$2:$D$1001,SALES_EDA!$A$2:$A$1001,"&gt;="&amp;A88,SALES_EDA!$A$2:$A$1001,"&lt;"&amp;EDATE(A88,1))</f>
        <v>76411</v>
      </c>
      <c r="D88" s="7">
        <f t="shared" si="0"/>
        <v>36.50068436293683</v>
      </c>
      <c r="E88" s="8">
        <f>IFERROR(SUMIFS(SALES_EDA!$O$2:$O$1001,SALES_EDA!$A$2:$A$1001,"&gt;="&amp;A88,SALES_EDA!$A$2:$A$1001,"&lt;"&amp;EDATE(A88,1))/B88,0)</f>
        <v>7.1706048935060622E-3</v>
      </c>
      <c r="F88" s="6">
        <f>COUNTIFS(SALES_EDA!$A$2:$A$1001,"&gt;="&amp;A88,SALES_EDA!$A$2:$A$1001,"&lt;"&amp;EDATE(A88,1))</f>
        <v>24</v>
      </c>
      <c r="G88" s="1"/>
      <c r="H88" s="1"/>
      <c r="I88" s="1"/>
      <c r="J88" s="1"/>
      <c r="K88" s="1"/>
      <c r="L88" s="1"/>
    </row>
    <row r="89" spans="1:12" x14ac:dyDescent="0.3">
      <c r="A89" s="1"/>
      <c r="B89" s="1"/>
      <c r="C89" s="1"/>
      <c r="D89" s="1"/>
      <c r="E89" s="1"/>
      <c r="F89" s="1"/>
      <c r="G89" s="1"/>
      <c r="H89" s="1"/>
      <c r="I89" s="1"/>
      <c r="J89" s="1"/>
      <c r="K89" s="1"/>
      <c r="L89" s="1"/>
    </row>
    <row r="90" spans="1:12" x14ac:dyDescent="0.3">
      <c r="A90" s="1"/>
      <c r="B90" s="1"/>
      <c r="C90" s="1"/>
      <c r="D90" s="1"/>
      <c r="E90" s="1"/>
      <c r="F90" s="1"/>
      <c r="G90" s="1"/>
      <c r="H90" s="1"/>
      <c r="I90" s="1"/>
      <c r="J90" s="1"/>
      <c r="K90" s="1"/>
      <c r="L90" s="1"/>
    </row>
    <row r="91" spans="1:12" x14ac:dyDescent="0.3">
      <c r="A91" s="1"/>
      <c r="B91" s="1"/>
      <c r="C91" s="1"/>
      <c r="D91" s="1"/>
      <c r="E91" s="1"/>
      <c r="F91" s="1"/>
      <c r="G91" s="1"/>
      <c r="H91" s="1"/>
      <c r="I91" s="1"/>
      <c r="J91" s="1"/>
      <c r="K91" s="1"/>
      <c r="L91" s="1"/>
    </row>
    <row r="92" spans="1:12" x14ac:dyDescent="0.3">
      <c r="A92" s="1"/>
      <c r="B92" s="1"/>
      <c r="C92" s="1"/>
      <c r="D92" s="1"/>
      <c r="E92" s="1"/>
      <c r="F92" s="1"/>
      <c r="G92" s="1"/>
      <c r="H92" s="1"/>
      <c r="I92" s="1"/>
      <c r="J92" s="1"/>
      <c r="K92" s="1"/>
      <c r="L92" s="1"/>
    </row>
    <row r="93" spans="1:12" x14ac:dyDescent="0.3">
      <c r="A93" s="1"/>
      <c r="B93" s="1"/>
      <c r="C93" s="1"/>
      <c r="D93" s="1"/>
      <c r="E93" s="1"/>
      <c r="F93" s="1"/>
      <c r="G93" s="1"/>
      <c r="H93" s="1"/>
      <c r="I93" s="1"/>
      <c r="J93" s="1"/>
      <c r="K93" s="1"/>
      <c r="L93" s="1"/>
    </row>
    <row r="94" spans="1:12" x14ac:dyDescent="0.3">
      <c r="A94" s="1"/>
      <c r="B94" s="1"/>
      <c r="C94" s="1"/>
      <c r="D94" s="1"/>
      <c r="E94" s="1"/>
      <c r="F94" s="1"/>
      <c r="G94" s="1"/>
      <c r="H94" s="1"/>
      <c r="I94" s="1"/>
      <c r="J94" s="1"/>
      <c r="K94" s="1"/>
      <c r="L94" s="1"/>
    </row>
    <row r="95" spans="1:12" x14ac:dyDescent="0.3">
      <c r="A95" s="1"/>
      <c r="B95" s="1"/>
      <c r="C95" s="1"/>
      <c r="D95" s="1"/>
      <c r="E95" s="1"/>
      <c r="F95" s="1"/>
      <c r="G95" s="1"/>
      <c r="H95" s="1"/>
      <c r="I95" s="1"/>
      <c r="J95" s="1"/>
      <c r="K95" s="1"/>
      <c r="L95" s="1"/>
    </row>
    <row r="96" spans="1:12" x14ac:dyDescent="0.3">
      <c r="A96" s="1"/>
      <c r="B96" s="1"/>
      <c r="C96" s="1"/>
      <c r="D96" s="1"/>
      <c r="E96" s="1"/>
      <c r="F96" s="1"/>
      <c r="G96" s="1"/>
      <c r="H96" s="1"/>
      <c r="I96" s="1"/>
      <c r="J96" s="1"/>
      <c r="K96" s="1"/>
      <c r="L96" s="1"/>
    </row>
    <row r="97" spans="1:12" x14ac:dyDescent="0.3">
      <c r="A97" s="1"/>
      <c r="B97" s="1"/>
      <c r="C97" s="1"/>
      <c r="D97" s="1"/>
      <c r="E97" s="1"/>
      <c r="F97" s="1"/>
      <c r="G97" s="1"/>
      <c r="H97" s="1"/>
      <c r="I97" s="1"/>
      <c r="J97" s="1"/>
      <c r="K97" s="1"/>
      <c r="L97" s="1"/>
    </row>
    <row r="98" spans="1:12" x14ac:dyDescent="0.3">
      <c r="A98" s="1"/>
      <c r="B98" s="1"/>
      <c r="C98" s="1"/>
      <c r="D98" s="1"/>
      <c r="E98" s="1"/>
      <c r="F98" s="1"/>
      <c r="G98" s="1"/>
      <c r="H98" s="1"/>
      <c r="I98" s="1"/>
      <c r="J98" s="1"/>
      <c r="K98" s="1"/>
      <c r="L98" s="1"/>
    </row>
    <row r="99" spans="1:12" x14ac:dyDescent="0.3">
      <c r="A99" s="1"/>
      <c r="B99" s="1"/>
      <c r="C99" s="1"/>
      <c r="D99" s="1"/>
      <c r="E99" s="1"/>
      <c r="F99" s="1"/>
      <c r="G99" s="1"/>
      <c r="H99" s="1"/>
      <c r="I99" s="1"/>
      <c r="J99" s="1"/>
      <c r="K99" s="1"/>
      <c r="L99" s="1"/>
    </row>
    <row r="100" spans="1:12" x14ac:dyDescent="0.3">
      <c r="A100" s="1"/>
      <c r="B100" s="1"/>
      <c r="C100" s="1"/>
      <c r="D100" s="1"/>
      <c r="E100" s="1"/>
      <c r="F100" s="1"/>
      <c r="G100" s="1"/>
      <c r="H100" s="1"/>
      <c r="I100" s="1"/>
      <c r="J100" s="1"/>
      <c r="K100" s="1"/>
      <c r="L100" s="1"/>
    </row>
    <row r="101" spans="1:12" x14ac:dyDescent="0.3">
      <c r="A101" s="1"/>
      <c r="B101" s="1"/>
      <c r="C101" s="1"/>
      <c r="D101" s="1"/>
      <c r="E101" s="1"/>
      <c r="F101" s="1"/>
      <c r="G101" s="1"/>
      <c r="H101" s="1"/>
      <c r="I101" s="1"/>
      <c r="J101" s="1"/>
      <c r="K101" s="1"/>
      <c r="L101" s="1"/>
    </row>
    <row r="102" spans="1:12" x14ac:dyDescent="0.3">
      <c r="A102" s="1"/>
      <c r="B102" s="1"/>
      <c r="C102" s="1"/>
      <c r="D102" s="1"/>
      <c r="E102" s="1"/>
      <c r="F102" s="1"/>
      <c r="G102" s="1"/>
      <c r="H102" s="1"/>
      <c r="I102" s="1"/>
      <c r="J102" s="1"/>
      <c r="K102" s="1"/>
      <c r="L102" s="1"/>
    </row>
    <row r="103" spans="1:12" x14ac:dyDescent="0.3">
      <c r="A103" s="1"/>
      <c r="B103" s="1"/>
      <c r="C103" s="1"/>
      <c r="D103" s="1"/>
      <c r="E103" s="1"/>
      <c r="F103" s="1"/>
      <c r="G103" s="1"/>
      <c r="H103" s="1"/>
      <c r="I103" s="1"/>
      <c r="J103" s="1"/>
      <c r="K103" s="1"/>
      <c r="L103" s="1"/>
    </row>
    <row r="104" spans="1:12" x14ac:dyDescent="0.3">
      <c r="A104" s="1"/>
      <c r="B104" s="1"/>
      <c r="C104" s="1"/>
      <c r="D104" s="1"/>
      <c r="E104" s="1"/>
      <c r="F104" s="1"/>
      <c r="G104" s="1"/>
      <c r="H104" s="1"/>
      <c r="I104" s="1"/>
      <c r="J104" s="1"/>
      <c r="K104" s="1"/>
      <c r="L104" s="1"/>
    </row>
    <row r="105" spans="1:12" x14ac:dyDescent="0.3">
      <c r="A105" s="1"/>
      <c r="B105" s="1"/>
      <c r="C105" s="1"/>
      <c r="D105" s="1"/>
      <c r="E105" s="1"/>
      <c r="F105" s="1"/>
      <c r="G105" s="1"/>
      <c r="H105" s="1"/>
      <c r="I105" s="1"/>
      <c r="J105" s="1"/>
      <c r="K105" s="1"/>
      <c r="L105" s="1"/>
    </row>
    <row r="106" spans="1:12" x14ac:dyDescent="0.3">
      <c r="A106" s="1"/>
      <c r="B106" s="1"/>
      <c r="C106" s="1"/>
      <c r="D106" s="1"/>
      <c r="E106" s="1"/>
      <c r="F106" s="1"/>
      <c r="G106" s="1"/>
      <c r="H106" s="1"/>
      <c r="I106" s="1"/>
      <c r="J106" s="1"/>
      <c r="K106" s="1"/>
      <c r="L106" s="1"/>
    </row>
    <row r="107" spans="1:12" x14ac:dyDescent="0.3">
      <c r="A107" s="1"/>
      <c r="B107" s="1"/>
      <c r="C107" s="1"/>
      <c r="D107" s="1"/>
      <c r="E107" s="1"/>
      <c r="F107" s="1"/>
      <c r="G107" s="1"/>
      <c r="H107" s="1"/>
      <c r="I107" s="1"/>
      <c r="J107" s="1"/>
      <c r="K107" s="1"/>
      <c r="L107" s="1"/>
    </row>
  </sheetData>
  <mergeCells count="13">
    <mergeCell ref="A53:F53"/>
    <mergeCell ref="A1:L1"/>
    <mergeCell ref="A2:L2"/>
    <mergeCell ref="A4:L6"/>
    <mergeCell ref="A8:C8"/>
    <mergeCell ref="D8:F8"/>
    <mergeCell ref="G8:I8"/>
    <mergeCell ref="J8:L8"/>
    <mergeCell ref="A9:C10"/>
    <mergeCell ref="D9:F10"/>
    <mergeCell ref="G9:I10"/>
    <mergeCell ref="J9:L10"/>
    <mergeCell ref="A12:L12"/>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19C9-9C3E-4568-8B17-C8980561678C}">
  <dimension ref="A1:J1014"/>
  <sheetViews>
    <sheetView topLeftCell="A169" workbookViewId="0">
      <selection sqref="A1:L1"/>
    </sheetView>
  </sheetViews>
  <sheetFormatPr defaultRowHeight="14.4" x14ac:dyDescent="0.3"/>
  <cols>
    <col min="1" max="1" width="16.6640625" customWidth="1"/>
    <col min="2" max="3" width="11.44140625" customWidth="1"/>
    <col min="4" max="10" width="13.33203125" customWidth="1"/>
  </cols>
  <sheetData>
    <row r="1" spans="1:10" ht="23.4" x14ac:dyDescent="0.45">
      <c r="A1" s="17" t="s">
        <v>81</v>
      </c>
      <c r="B1" s="17"/>
      <c r="C1" s="17"/>
      <c r="D1" s="17"/>
      <c r="E1" s="17"/>
      <c r="F1" s="17"/>
      <c r="G1" s="17"/>
      <c r="H1" s="17"/>
      <c r="I1" s="17"/>
      <c r="J1" s="17"/>
    </row>
    <row r="2" spans="1:10" x14ac:dyDescent="0.3">
      <c r="A2" s="18" t="s">
        <v>82</v>
      </c>
      <c r="B2" s="18"/>
      <c r="C2" s="18"/>
      <c r="D2" s="18"/>
      <c r="E2" s="18"/>
      <c r="F2" s="18"/>
      <c r="G2" s="18"/>
      <c r="H2" s="18"/>
      <c r="I2" s="18"/>
      <c r="J2" s="18"/>
    </row>
    <row r="3" spans="1:10" x14ac:dyDescent="0.3">
      <c r="A3" s="1"/>
      <c r="B3" s="1"/>
      <c r="C3" s="1"/>
      <c r="D3" s="1"/>
      <c r="E3" s="1"/>
      <c r="F3" s="1"/>
      <c r="G3" s="1"/>
      <c r="H3" s="1"/>
      <c r="I3" s="1"/>
      <c r="J3" s="1"/>
    </row>
    <row r="4" spans="1:10" ht="24" customHeight="1" x14ac:dyDescent="0.3">
      <c r="A4" s="19" t="s">
        <v>83</v>
      </c>
      <c r="B4" s="19"/>
      <c r="C4" s="19"/>
      <c r="D4" s="19"/>
      <c r="E4" s="19"/>
      <c r="F4" s="19"/>
      <c r="G4" s="19"/>
      <c r="H4" s="19"/>
      <c r="I4" s="19"/>
      <c r="J4" s="19"/>
    </row>
    <row r="5" spans="1:10" ht="24" customHeight="1" x14ac:dyDescent="0.3">
      <c r="A5" s="19"/>
      <c r="B5" s="19"/>
      <c r="C5" s="19"/>
      <c r="D5" s="19"/>
      <c r="E5" s="19"/>
      <c r="F5" s="19"/>
      <c r="G5" s="19"/>
      <c r="H5" s="19"/>
      <c r="I5" s="19"/>
      <c r="J5" s="19"/>
    </row>
    <row r="6" spans="1:10" ht="24" customHeight="1" x14ac:dyDescent="0.3">
      <c r="A6" s="19"/>
      <c r="B6" s="19"/>
      <c r="C6" s="19"/>
      <c r="D6" s="19"/>
      <c r="E6" s="19"/>
      <c r="F6" s="19"/>
      <c r="G6" s="19"/>
      <c r="H6" s="19"/>
      <c r="I6" s="19"/>
      <c r="J6" s="19"/>
    </row>
    <row r="7" spans="1:10" x14ac:dyDescent="0.3">
      <c r="A7" s="1"/>
      <c r="B7" s="1"/>
      <c r="C7" s="1"/>
      <c r="D7" s="1"/>
      <c r="E7" s="1"/>
      <c r="F7" s="1"/>
      <c r="G7" s="1"/>
      <c r="H7" s="1"/>
      <c r="I7" s="1"/>
      <c r="J7" s="1"/>
    </row>
    <row r="8" spans="1:10" x14ac:dyDescent="0.3">
      <c r="A8" s="32" t="s">
        <v>84</v>
      </c>
      <c r="B8" s="32"/>
      <c r="C8" s="32"/>
      <c r="D8" s="32" t="s">
        <v>85</v>
      </c>
      <c r="E8" s="32"/>
      <c r="F8" s="32"/>
      <c r="G8" s="32" t="s">
        <v>86</v>
      </c>
      <c r="H8" s="32"/>
      <c r="I8" s="32"/>
      <c r="J8" s="32"/>
    </row>
    <row r="9" spans="1:10" x14ac:dyDescent="0.3">
      <c r="A9" s="29">
        <f>SUM(SALES_EDA!$B$2:$B$1001)/SUM(SALES_EDA!$D$2:$D$1001)</f>
        <v>35.267973231772061</v>
      </c>
      <c r="B9" s="30"/>
      <c r="C9" s="30"/>
      <c r="D9" s="29">
        <f>AVERAGE(SALES_EDA!$M$2:$M$1001)</f>
        <v>36.827322180867718</v>
      </c>
      <c r="E9" s="30"/>
      <c r="F9" s="30"/>
      <c r="G9" s="31">
        <f>SUM(SALES_EDA!$D$2:$D$1001)</f>
        <v>5167837</v>
      </c>
      <c r="H9" s="30"/>
      <c r="I9" s="30"/>
      <c r="J9" s="30"/>
    </row>
    <row r="10" spans="1:10" x14ac:dyDescent="0.3">
      <c r="A10" s="30"/>
      <c r="B10" s="30"/>
      <c r="C10" s="30"/>
      <c r="D10" s="30"/>
      <c r="E10" s="30"/>
      <c r="F10" s="30"/>
      <c r="G10" s="30"/>
      <c r="H10" s="30"/>
      <c r="I10" s="30"/>
      <c r="J10" s="30"/>
    </row>
    <row r="11" spans="1:10" x14ac:dyDescent="0.3">
      <c r="A11" s="1"/>
      <c r="B11" s="1"/>
      <c r="C11" s="1"/>
      <c r="D11" s="1"/>
      <c r="E11" s="1"/>
      <c r="F11" s="1"/>
      <c r="G11" s="1"/>
      <c r="H11" s="1"/>
      <c r="I11" s="1"/>
      <c r="J11" s="1"/>
    </row>
    <row r="12" spans="1:10" x14ac:dyDescent="0.3">
      <c r="A12" s="1"/>
      <c r="B12" s="1"/>
      <c r="C12" s="1"/>
      <c r="D12" s="1"/>
      <c r="E12" s="1"/>
      <c r="F12" s="1"/>
      <c r="G12" s="1"/>
      <c r="H12" s="1"/>
      <c r="I12" s="1"/>
      <c r="J12" s="1"/>
    </row>
    <row r="13" spans="1:10" x14ac:dyDescent="0.3">
      <c r="A13" s="20" t="s">
        <v>87</v>
      </c>
      <c r="B13" s="20"/>
      <c r="C13" s="20"/>
      <c r="D13" s="20"/>
      <c r="E13" s="20"/>
      <c r="F13" s="20"/>
      <c r="G13" s="20"/>
      <c r="H13" s="20"/>
      <c r="I13" s="20"/>
      <c r="J13" s="20"/>
    </row>
    <row r="14" spans="1:10" x14ac:dyDescent="0.3">
      <c r="A14" s="1" t="s">
        <v>0</v>
      </c>
      <c r="B14" s="1" t="s">
        <v>88</v>
      </c>
      <c r="C14" s="1" t="s">
        <v>89</v>
      </c>
      <c r="D14" s="1" t="s">
        <v>90</v>
      </c>
      <c r="E14" s="1" t="s">
        <v>1</v>
      </c>
      <c r="F14" s="1"/>
      <c r="G14" s="1"/>
      <c r="H14" s="1"/>
      <c r="I14" s="1"/>
      <c r="J14" s="1"/>
    </row>
    <row r="15" spans="1:10" x14ac:dyDescent="0.3">
      <c r="A15" s="5">
        <f>SALES_EDA!A2</f>
        <v>41638.083333333336</v>
      </c>
      <c r="B15" s="15">
        <f>SALES_EDA!M2</f>
        <v>32.801811611209459</v>
      </c>
      <c r="C15" s="15">
        <f>SALES_EDA!T2</f>
        <v>32.801811611209459</v>
      </c>
      <c r="D15" s="6">
        <f>SALES_EDA!D2</f>
        <v>6827</v>
      </c>
      <c r="E15" s="14">
        <f>SALES_EDA!B2</f>
        <v>223937.967869727</v>
      </c>
      <c r="F15" s="1"/>
      <c r="G15" s="1"/>
      <c r="H15" s="1"/>
      <c r="I15" s="1"/>
      <c r="J15" s="1"/>
    </row>
    <row r="16" spans="1:10" x14ac:dyDescent="0.3">
      <c r="A16" s="5">
        <f>SALES_EDA!A3</f>
        <v>41639.083333333336</v>
      </c>
      <c r="B16" s="15">
        <f>SALES_EDA!M3</f>
        <v>32.406720388863405</v>
      </c>
      <c r="C16" s="15">
        <f>SALES_EDA!T3</f>
        <v>32.604266000036432</v>
      </c>
      <c r="D16" s="6">
        <f>SALES_EDA!D3</f>
        <v>9268</v>
      </c>
      <c r="E16" s="14">
        <f>SALES_EDA!B3</f>
        <v>300345.48456398601</v>
      </c>
      <c r="F16" s="1"/>
      <c r="G16" s="1"/>
      <c r="H16" s="1"/>
      <c r="I16" s="1"/>
      <c r="J16" s="1"/>
    </row>
    <row r="17" spans="1:10" x14ac:dyDescent="0.3">
      <c r="A17" s="5">
        <f>SALES_EDA!A4</f>
        <v>41640.083333333336</v>
      </c>
      <c r="B17" s="15">
        <f>SALES_EDA!M4</f>
        <v>32.405701167818442</v>
      </c>
      <c r="C17" s="15">
        <f>SALES_EDA!T4</f>
        <v>32.53807772263044</v>
      </c>
      <c r="D17" s="6">
        <f>SALES_EDA!D4</f>
        <v>2678</v>
      </c>
      <c r="E17" s="14">
        <f>SALES_EDA!B4</f>
        <v>86782.467727417796</v>
      </c>
      <c r="F17" s="1"/>
      <c r="G17" s="1"/>
      <c r="H17" s="1"/>
      <c r="I17" s="1"/>
      <c r="J17" s="1"/>
    </row>
    <row r="18" spans="1:10" x14ac:dyDescent="0.3">
      <c r="A18" s="5">
        <f>SALES_EDA!A5</f>
        <v>41641.083333333336</v>
      </c>
      <c r="B18" s="15">
        <f>SALES_EDA!M5</f>
        <v>32.41669906925943</v>
      </c>
      <c r="C18" s="15">
        <f>SALES_EDA!T5</f>
        <v>32.507733059287688</v>
      </c>
      <c r="D18" s="6">
        <f>SALES_EDA!D5</f>
        <v>6175</v>
      </c>
      <c r="E18" s="14">
        <f>SALES_EDA!B5</f>
        <v>200173.11675267699</v>
      </c>
      <c r="F18" s="1"/>
      <c r="G18" s="1"/>
      <c r="H18" s="1"/>
      <c r="I18" s="1"/>
      <c r="J18" s="1"/>
    </row>
    <row r="19" spans="1:10" x14ac:dyDescent="0.3">
      <c r="A19" s="5">
        <f>SALES_EDA!A6</f>
        <v>41642.083333333336</v>
      </c>
      <c r="B19" s="15">
        <f>SALES_EDA!M6</f>
        <v>32.418293750131987</v>
      </c>
      <c r="C19" s="15">
        <f>SALES_EDA!T6</f>
        <v>32.489845197456546</v>
      </c>
      <c r="D19" s="6">
        <f>SALES_EDA!D6</f>
        <v>10084</v>
      </c>
      <c r="E19" s="14">
        <f>SALES_EDA!B6</f>
        <v>326906.07417633099</v>
      </c>
      <c r="F19" s="1"/>
      <c r="G19" s="1"/>
      <c r="H19" s="1"/>
      <c r="I19" s="1"/>
      <c r="J19" s="1"/>
    </row>
    <row r="20" spans="1:10" x14ac:dyDescent="0.3">
      <c r="A20" s="5">
        <f>SALES_EDA!A7</f>
        <v>41643.083333333336</v>
      </c>
      <c r="B20" s="15">
        <f>SALES_EDA!M7</f>
        <v>32.422802050914676</v>
      </c>
      <c r="C20" s="15">
        <f>SALES_EDA!T7</f>
        <v>32.478671339699567</v>
      </c>
      <c r="D20" s="6">
        <f>SALES_EDA!D7</f>
        <v>9470</v>
      </c>
      <c r="E20" s="14">
        <f>SALES_EDA!B7</f>
        <v>307043.935422162</v>
      </c>
      <c r="F20" s="1"/>
      <c r="G20" s="1"/>
      <c r="H20" s="1"/>
      <c r="I20" s="1"/>
      <c r="J20" s="1"/>
    </row>
    <row r="21" spans="1:10" x14ac:dyDescent="0.3">
      <c r="A21" s="5">
        <f>SALES_EDA!A8</f>
        <v>41644.083333333336</v>
      </c>
      <c r="B21" s="15">
        <f>SALES_EDA!M8</f>
        <v>32.43824845905322</v>
      </c>
      <c r="C21" s="15">
        <f>SALES_EDA!T8</f>
        <v>32.472896642464377</v>
      </c>
      <c r="D21" s="6">
        <f>SALES_EDA!D8</f>
        <v>5524</v>
      </c>
      <c r="E21" s="14">
        <f>SALES_EDA!B8</f>
        <v>179188.88448780999</v>
      </c>
      <c r="F21" s="1"/>
      <c r="G21" s="1"/>
      <c r="H21" s="1"/>
      <c r="I21" s="1"/>
      <c r="J21" s="1"/>
    </row>
    <row r="22" spans="1:10" x14ac:dyDescent="0.3">
      <c r="A22" s="5">
        <f>SALES_EDA!A9</f>
        <v>41645.083333333336</v>
      </c>
      <c r="B22" s="15">
        <f>SALES_EDA!M9</f>
        <v>32.425058304296357</v>
      </c>
      <c r="C22" s="15">
        <f>SALES_EDA!T9</f>
        <v>32.466916850193371</v>
      </c>
      <c r="D22" s="6">
        <f>SALES_EDA!D9</f>
        <v>9448</v>
      </c>
      <c r="E22" s="14">
        <f>SALES_EDA!B9</f>
        <v>306351.950858992</v>
      </c>
      <c r="F22" s="1"/>
      <c r="G22" s="1"/>
      <c r="H22" s="1"/>
      <c r="I22" s="1"/>
      <c r="J22" s="1"/>
    </row>
    <row r="23" spans="1:10" x14ac:dyDescent="0.3">
      <c r="A23" s="5">
        <f>SALES_EDA!A10</f>
        <v>41646.083333333336</v>
      </c>
      <c r="B23" s="15">
        <f>SALES_EDA!M10</f>
        <v>32.41504991585559</v>
      </c>
      <c r="C23" s="15">
        <f>SALES_EDA!T10</f>
        <v>32.461153857489172</v>
      </c>
      <c r="D23" s="6">
        <f>SALES_EDA!D10</f>
        <v>6911</v>
      </c>
      <c r="E23" s="14">
        <f>SALES_EDA!B10</f>
        <v>224020.40996847799</v>
      </c>
      <c r="F23" s="1"/>
      <c r="G23" s="1"/>
      <c r="H23" s="1"/>
      <c r="I23" s="1"/>
      <c r="J23" s="1"/>
    </row>
    <row r="24" spans="1:10" x14ac:dyDescent="0.3">
      <c r="A24" s="5">
        <f>SALES_EDA!A11</f>
        <v>41647.083333333336</v>
      </c>
      <c r="B24" s="15">
        <f>SALES_EDA!M11</f>
        <v>34.058997403423746</v>
      </c>
      <c r="C24" s="15">
        <f>SALES_EDA!T11</f>
        <v>32.620938212082635</v>
      </c>
      <c r="D24" s="6">
        <f>SALES_EDA!D11</f>
        <v>2990</v>
      </c>
      <c r="E24" s="14">
        <f>SALES_EDA!B11</f>
        <v>101836.402236237</v>
      </c>
      <c r="F24" s="1"/>
      <c r="G24" s="1"/>
      <c r="H24" s="1"/>
      <c r="I24" s="1"/>
      <c r="J24" s="1"/>
    </row>
    <row r="25" spans="1:10" x14ac:dyDescent="0.3">
      <c r="A25" s="5">
        <f>SALES_EDA!A12</f>
        <v>41648.083333333336</v>
      </c>
      <c r="B25" s="15">
        <f>SALES_EDA!M12</f>
        <v>34.126085769937319</v>
      </c>
      <c r="C25" s="15">
        <f>SALES_EDA!T12</f>
        <v>32.75776980825124</v>
      </c>
      <c r="D25" s="6">
        <f>SALES_EDA!D12</f>
        <v>3159</v>
      </c>
      <c r="E25" s="14">
        <f>SALES_EDA!B12</f>
        <v>107804.304947232</v>
      </c>
      <c r="F25" s="1"/>
      <c r="G25" s="1"/>
      <c r="H25" s="1"/>
      <c r="I25" s="1"/>
      <c r="J25" s="1"/>
    </row>
    <row r="26" spans="1:10" x14ac:dyDescent="0.3">
      <c r="A26" s="5">
        <f>SALES_EDA!A13</f>
        <v>41649.083333333336</v>
      </c>
      <c r="B26" s="15">
        <f>SALES_EDA!M13</f>
        <v>34.109740161076303</v>
      </c>
      <c r="C26" s="15">
        <f>SALES_EDA!T13</f>
        <v>32.870434004319996</v>
      </c>
      <c r="D26" s="6">
        <f>SALES_EDA!D13</f>
        <v>4246</v>
      </c>
      <c r="E26" s="14">
        <f>SALES_EDA!B13</f>
        <v>144829.95672392999</v>
      </c>
      <c r="F26" s="1"/>
      <c r="G26" s="1"/>
      <c r="H26" s="1"/>
      <c r="I26" s="1"/>
      <c r="J26" s="1"/>
    </row>
    <row r="27" spans="1:10" x14ac:dyDescent="0.3">
      <c r="A27" s="5">
        <f>SALES_EDA!A14</f>
        <v>41650.083333333336</v>
      </c>
      <c r="B27" s="15">
        <f>SALES_EDA!M14</f>
        <v>34.110189051254359</v>
      </c>
      <c r="C27" s="15">
        <f>SALES_EDA!T14</f>
        <v>32.965799777161095</v>
      </c>
      <c r="D27" s="6">
        <f>SALES_EDA!D14</f>
        <v>4297</v>
      </c>
      <c r="E27" s="14">
        <f>SALES_EDA!B14</f>
        <v>146571.48235323999</v>
      </c>
      <c r="F27" s="1"/>
      <c r="G27" s="1"/>
      <c r="H27" s="1"/>
      <c r="I27" s="1"/>
      <c r="J27" s="1"/>
    </row>
    <row r="28" spans="1:10" x14ac:dyDescent="0.3">
      <c r="A28" s="5">
        <f>SALES_EDA!A15</f>
        <v>41651.083333333336</v>
      </c>
      <c r="B28" s="15">
        <f>SALES_EDA!M15</f>
        <v>34.128173454333727</v>
      </c>
      <c r="C28" s="15">
        <f>SALES_EDA!T15</f>
        <v>33.048826468387709</v>
      </c>
      <c r="D28" s="6">
        <f>SALES_EDA!D15</f>
        <v>2796</v>
      </c>
      <c r="E28" s="14">
        <f>SALES_EDA!B15</f>
        <v>95422.3729783171</v>
      </c>
      <c r="F28" s="1"/>
      <c r="G28" s="1"/>
      <c r="H28" s="1"/>
      <c r="I28" s="1"/>
      <c r="J28" s="1"/>
    </row>
    <row r="29" spans="1:10" x14ac:dyDescent="0.3">
      <c r="A29" s="5">
        <f>SALES_EDA!A16</f>
        <v>41652.083333333336</v>
      </c>
      <c r="B29" s="15">
        <f>SALES_EDA!M16</f>
        <v>34.10008126778154</v>
      </c>
      <c r="C29" s="15">
        <f>SALES_EDA!T16</f>
        <v>33.118910121680635</v>
      </c>
      <c r="D29" s="6">
        <f>SALES_EDA!D16</f>
        <v>3369</v>
      </c>
      <c r="E29" s="14">
        <f>SALES_EDA!B16</f>
        <v>114883.173791156</v>
      </c>
      <c r="F29" s="1"/>
      <c r="G29" s="1"/>
      <c r="H29" s="1"/>
      <c r="I29" s="1"/>
      <c r="J29" s="1"/>
    </row>
    <row r="30" spans="1:10" x14ac:dyDescent="0.3">
      <c r="A30" s="5">
        <f>SALES_EDA!A17</f>
        <v>41653.083333333336</v>
      </c>
      <c r="B30" s="15">
        <f>SALES_EDA!M17</f>
        <v>34.110221499102508</v>
      </c>
      <c r="C30" s="15">
        <f>SALES_EDA!T17</f>
        <v>33.180867082769502</v>
      </c>
      <c r="D30" s="6">
        <f>SALES_EDA!D17</f>
        <v>2348</v>
      </c>
      <c r="E30" s="14">
        <f>SALES_EDA!B17</f>
        <v>80090.800079892695</v>
      </c>
      <c r="F30" s="1"/>
      <c r="G30" s="1"/>
      <c r="H30" s="1"/>
      <c r="I30" s="1"/>
      <c r="J30" s="1"/>
    </row>
    <row r="31" spans="1:10" x14ac:dyDescent="0.3">
      <c r="A31" s="5">
        <f>SALES_EDA!A18</f>
        <v>41654.083333333336</v>
      </c>
      <c r="B31" s="15">
        <f>SALES_EDA!M18</f>
        <v>34.083834364132898</v>
      </c>
      <c r="C31" s="15">
        <f>SALES_EDA!T18</f>
        <v>33.233982805202643</v>
      </c>
      <c r="D31" s="6">
        <f>SALES_EDA!D18</f>
        <v>2903</v>
      </c>
      <c r="E31" s="14">
        <f>SALES_EDA!B18</f>
        <v>98945.371159077797</v>
      </c>
      <c r="F31" s="1"/>
      <c r="G31" s="1"/>
      <c r="H31" s="1"/>
      <c r="I31" s="1"/>
      <c r="J31" s="1"/>
    </row>
    <row r="32" spans="1:10" x14ac:dyDescent="0.3">
      <c r="A32" s="5">
        <f>SALES_EDA!A19</f>
        <v>41655.083333333336</v>
      </c>
      <c r="B32" s="15">
        <f>SALES_EDA!M19</f>
        <v>34.084665481376071</v>
      </c>
      <c r="C32" s="15">
        <f>SALES_EDA!T19</f>
        <v>33.281242953878944</v>
      </c>
      <c r="D32" s="6">
        <f>SALES_EDA!D19</f>
        <v>2491</v>
      </c>
      <c r="E32" s="14">
        <f>SALES_EDA!B19</f>
        <v>84904.901714107793</v>
      </c>
      <c r="F32" s="1"/>
      <c r="G32" s="1"/>
      <c r="H32" s="1"/>
      <c r="I32" s="1"/>
      <c r="J32" s="1"/>
    </row>
    <row r="33" spans="1:10" x14ac:dyDescent="0.3">
      <c r="A33" s="5">
        <f>SALES_EDA!A20</f>
        <v>41656.083333333336</v>
      </c>
      <c r="B33" s="15">
        <f>SALES_EDA!M20</f>
        <v>34.138261014109119</v>
      </c>
      <c r="C33" s="15">
        <f>SALES_EDA!T20</f>
        <v>33.326349167575273</v>
      </c>
      <c r="D33" s="6">
        <f>SALES_EDA!D20</f>
        <v>3968</v>
      </c>
      <c r="E33" s="14">
        <f>SALES_EDA!B20</f>
        <v>135460.61970398499</v>
      </c>
      <c r="F33" s="1"/>
      <c r="G33" s="1"/>
      <c r="H33" s="1"/>
      <c r="I33" s="1"/>
      <c r="J33" s="1"/>
    </row>
    <row r="34" spans="1:10" x14ac:dyDescent="0.3">
      <c r="A34" s="5">
        <f>SALES_EDA!A21</f>
        <v>41657.083333333336</v>
      </c>
      <c r="B34" s="15">
        <f>SALES_EDA!M21</f>
        <v>34.128329088498745</v>
      </c>
      <c r="C34" s="15">
        <f>SALES_EDA!T21</f>
        <v>33.366448163621449</v>
      </c>
      <c r="D34" s="6">
        <f>SALES_EDA!D21</f>
        <v>4393</v>
      </c>
      <c r="E34" s="14">
        <f>SALES_EDA!B21</f>
        <v>149925.74968577499</v>
      </c>
      <c r="F34" s="1"/>
      <c r="G34" s="1"/>
      <c r="H34" s="1"/>
      <c r="I34" s="1"/>
      <c r="J34" s="1"/>
    </row>
    <row r="35" spans="1:10" x14ac:dyDescent="0.3">
      <c r="A35" s="5">
        <f>SALES_EDA!A22</f>
        <v>41658.083333333336</v>
      </c>
      <c r="B35" s="15">
        <f>SALES_EDA!M22</f>
        <v>34.1439830809664</v>
      </c>
      <c r="C35" s="15">
        <f>SALES_EDA!T22</f>
        <v>33.403473635875969</v>
      </c>
      <c r="D35" s="6">
        <f>SALES_EDA!D22</f>
        <v>2176</v>
      </c>
      <c r="E35" s="14">
        <f>SALES_EDA!B22</f>
        <v>74297.307184182893</v>
      </c>
      <c r="F35" s="1"/>
      <c r="G35" s="1"/>
      <c r="H35" s="1"/>
      <c r="I35" s="1"/>
      <c r="J35" s="1"/>
    </row>
    <row r="36" spans="1:10" x14ac:dyDescent="0.3">
      <c r="A36" s="5">
        <f>SALES_EDA!A23</f>
        <v>41659.083333333336</v>
      </c>
      <c r="B36" s="15">
        <f>SALES_EDA!M23</f>
        <v>34.120517626362137</v>
      </c>
      <c r="C36" s="15">
        <f>SALES_EDA!T23</f>
        <v>33.436066544534434</v>
      </c>
      <c r="D36" s="6">
        <f>SALES_EDA!D23</f>
        <v>2443</v>
      </c>
      <c r="E36" s="14">
        <f>SALES_EDA!B23</f>
        <v>83356.424561202701</v>
      </c>
      <c r="F36" s="1"/>
      <c r="G36" s="1"/>
      <c r="H36" s="1"/>
      <c r="I36" s="1"/>
      <c r="J36" s="1"/>
    </row>
    <row r="37" spans="1:10" x14ac:dyDescent="0.3">
      <c r="A37" s="5">
        <f>SALES_EDA!A24</f>
        <v>41660.083333333336</v>
      </c>
      <c r="B37" s="15">
        <f>SALES_EDA!M24</f>
        <v>34.087192678609782</v>
      </c>
      <c r="C37" s="15">
        <f>SALES_EDA!T24</f>
        <v>33.464376376450751</v>
      </c>
      <c r="D37" s="6">
        <f>SALES_EDA!D24</f>
        <v>2638</v>
      </c>
      <c r="E37" s="14">
        <f>SALES_EDA!B24</f>
        <v>89922.014286172605</v>
      </c>
      <c r="F37" s="1"/>
      <c r="G37" s="1"/>
      <c r="H37" s="1"/>
      <c r="I37" s="1"/>
      <c r="J37" s="1"/>
    </row>
    <row r="38" spans="1:10" x14ac:dyDescent="0.3">
      <c r="A38" s="5">
        <f>SALES_EDA!A25</f>
        <v>41661.083333333336</v>
      </c>
      <c r="B38" s="15">
        <f>SALES_EDA!M25</f>
        <v>33.923886608039318</v>
      </c>
      <c r="C38" s="15">
        <f>SALES_EDA!T25</f>
        <v>33.483522636100275</v>
      </c>
      <c r="D38" s="6">
        <f>SALES_EDA!D25</f>
        <v>1704</v>
      </c>
      <c r="E38" s="14">
        <f>SALES_EDA!B25</f>
        <v>57806.302780099002</v>
      </c>
      <c r="F38" s="1"/>
      <c r="G38" s="1"/>
      <c r="H38" s="1"/>
      <c r="I38" s="1"/>
      <c r="J38" s="1"/>
    </row>
    <row r="39" spans="1:10" x14ac:dyDescent="0.3">
      <c r="A39" s="5">
        <f>SALES_EDA!A26</f>
        <v>41662.083333333336</v>
      </c>
      <c r="B39" s="15">
        <f>SALES_EDA!M26</f>
        <v>34.176148690664313</v>
      </c>
      <c r="C39" s="15">
        <f>SALES_EDA!T26</f>
        <v>33.511227678282836</v>
      </c>
      <c r="D39" s="6">
        <f>SALES_EDA!D26</f>
        <v>1872</v>
      </c>
      <c r="E39" s="14">
        <f>SALES_EDA!B26</f>
        <v>63977.750348923597</v>
      </c>
      <c r="F39" s="1"/>
      <c r="G39" s="1"/>
      <c r="H39" s="1"/>
      <c r="I39" s="1"/>
      <c r="J39" s="1"/>
    </row>
    <row r="40" spans="1:10" x14ac:dyDescent="0.3">
      <c r="A40" s="5">
        <f>SALES_EDA!A27</f>
        <v>41663.083333333336</v>
      </c>
      <c r="B40" s="15">
        <f>SALES_EDA!M27</f>
        <v>34.168507113044697</v>
      </c>
      <c r="C40" s="15">
        <f>SALES_EDA!T27</f>
        <v>33.536507656542909</v>
      </c>
      <c r="D40" s="6">
        <f>SALES_EDA!D27</f>
        <v>3423</v>
      </c>
      <c r="E40" s="14">
        <f>SALES_EDA!B27</f>
        <v>116958.799847952</v>
      </c>
      <c r="F40" s="1"/>
      <c r="G40" s="1"/>
      <c r="H40" s="1"/>
      <c r="I40" s="1"/>
      <c r="J40" s="1"/>
    </row>
    <row r="41" spans="1:10" x14ac:dyDescent="0.3">
      <c r="A41" s="5">
        <f>SALES_EDA!A28</f>
        <v>41664.083333333336</v>
      </c>
      <c r="B41" s="15">
        <f>SALES_EDA!M28</f>
        <v>34.170956163177813</v>
      </c>
      <c r="C41" s="15">
        <f>SALES_EDA!T28</f>
        <v>33.56000574938124</v>
      </c>
      <c r="D41" s="6">
        <f>SALES_EDA!D28</f>
        <v>4544</v>
      </c>
      <c r="E41" s="14">
        <f>SALES_EDA!B28</f>
        <v>155272.82480547999</v>
      </c>
      <c r="F41" s="1"/>
      <c r="G41" s="1"/>
      <c r="H41" s="1"/>
      <c r="I41" s="1"/>
      <c r="J41" s="1"/>
    </row>
    <row r="42" spans="1:10" x14ac:dyDescent="0.3">
      <c r="A42" s="5">
        <f>SALES_EDA!A29</f>
        <v>41665.083333333336</v>
      </c>
      <c r="B42" s="15">
        <f>SALES_EDA!M29</f>
        <v>34.165381661072836</v>
      </c>
      <c r="C42" s="15">
        <f>SALES_EDA!T29</f>
        <v>33.581626317655939</v>
      </c>
      <c r="D42" s="6">
        <f>SALES_EDA!D29</f>
        <v>2426</v>
      </c>
      <c r="E42" s="14">
        <f>SALES_EDA!B29</f>
        <v>82885.215909762701</v>
      </c>
      <c r="F42" s="1"/>
      <c r="G42" s="1"/>
      <c r="H42" s="1"/>
      <c r="I42" s="1"/>
      <c r="J42" s="1"/>
    </row>
    <row r="43" spans="1:10" x14ac:dyDescent="0.3">
      <c r="A43" s="5">
        <f>SALES_EDA!A30</f>
        <v>41666.083333333336</v>
      </c>
      <c r="B43" s="15">
        <f>SALES_EDA!M30</f>
        <v>34.177338631295846</v>
      </c>
      <c r="C43" s="15">
        <f>SALES_EDA!T30</f>
        <v>33.602168121574557</v>
      </c>
      <c r="D43" s="6">
        <f>SALES_EDA!D30</f>
        <v>2117</v>
      </c>
      <c r="E43" s="14">
        <f>SALES_EDA!B30</f>
        <v>72353.425882453303</v>
      </c>
      <c r="F43" s="1"/>
      <c r="G43" s="1"/>
      <c r="H43" s="1"/>
      <c r="I43" s="1"/>
      <c r="J43" s="1"/>
    </row>
    <row r="44" spans="1:10" x14ac:dyDescent="0.3">
      <c r="A44" s="5">
        <f>SALES_EDA!A31</f>
        <v>41667.083333333336</v>
      </c>
      <c r="B44" s="15">
        <f>SALES_EDA!M31</f>
        <v>34.157116370182386</v>
      </c>
      <c r="C44" s="15">
        <f>SALES_EDA!T31</f>
        <v>33.620666396528151</v>
      </c>
      <c r="D44" s="6">
        <f>SALES_EDA!D31</f>
        <v>1476</v>
      </c>
      <c r="E44" s="14">
        <f>SALES_EDA!B31</f>
        <v>50415.9037623892</v>
      </c>
      <c r="F44" s="1"/>
      <c r="G44" s="1"/>
      <c r="H44" s="1"/>
      <c r="I44" s="1"/>
      <c r="J44" s="1"/>
    </row>
    <row r="45" spans="1:10" x14ac:dyDescent="0.3">
      <c r="A45" s="5">
        <f>SALES_EDA!A32</f>
        <v>41668.083333333336</v>
      </c>
      <c r="B45" s="15">
        <f>SALES_EDA!M32</f>
        <v>34.17340521341125</v>
      </c>
      <c r="C45" s="15">
        <f>SALES_EDA!T32</f>
        <v>33.666386183268209</v>
      </c>
      <c r="D45" s="6">
        <f>SALES_EDA!D32</f>
        <v>1974</v>
      </c>
      <c r="E45" s="14">
        <f>SALES_EDA!B32</f>
        <v>67458.301891273804</v>
      </c>
      <c r="F45" s="1"/>
      <c r="G45" s="1"/>
      <c r="H45" s="1"/>
      <c r="I45" s="1"/>
      <c r="J45" s="1"/>
    </row>
    <row r="46" spans="1:10" x14ac:dyDescent="0.3">
      <c r="A46" s="5">
        <f>SALES_EDA!A33</f>
        <v>41669.083333333336</v>
      </c>
      <c r="B46" s="15">
        <f>SALES_EDA!M33</f>
        <v>34.165100059827587</v>
      </c>
      <c r="C46" s="15">
        <f>SALES_EDA!T33</f>
        <v>33.724998838967011</v>
      </c>
      <c r="D46" s="6">
        <f>SALES_EDA!D33</f>
        <v>1892</v>
      </c>
      <c r="E46" s="14">
        <f>SALES_EDA!B33</f>
        <v>64640.369313193798</v>
      </c>
      <c r="F46" s="1"/>
      <c r="G46" s="1"/>
      <c r="H46" s="1"/>
      <c r="I46" s="1"/>
      <c r="J46" s="1"/>
    </row>
    <row r="47" spans="1:10" x14ac:dyDescent="0.3">
      <c r="A47" s="5">
        <f>SALES_EDA!A34</f>
        <v>41670.083333333336</v>
      </c>
      <c r="B47" s="15">
        <f>SALES_EDA!M34</f>
        <v>34.167214268072215</v>
      </c>
      <c r="C47" s="15">
        <f>SALES_EDA!T34</f>
        <v>33.78371594230881</v>
      </c>
      <c r="D47" s="6">
        <f>SALES_EDA!D34</f>
        <v>4030</v>
      </c>
      <c r="E47" s="14">
        <f>SALES_EDA!B34</f>
        <v>137693.87350033101</v>
      </c>
      <c r="F47" s="1"/>
      <c r="G47" s="1"/>
      <c r="H47" s="1"/>
      <c r="I47" s="1"/>
      <c r="J47" s="1"/>
    </row>
    <row r="48" spans="1:10" x14ac:dyDescent="0.3">
      <c r="A48" s="5">
        <f>SALES_EDA!A35</f>
        <v>41671.083333333336</v>
      </c>
      <c r="B48" s="15">
        <f>SALES_EDA!M35</f>
        <v>34.164616983637444</v>
      </c>
      <c r="C48" s="15">
        <f>SALES_EDA!T35</f>
        <v>33.841979872788073</v>
      </c>
      <c r="D48" s="6">
        <f>SALES_EDA!D35</f>
        <v>5304</v>
      </c>
      <c r="E48" s="14">
        <f>SALES_EDA!B35</f>
        <v>181209.128481213</v>
      </c>
      <c r="F48" s="1"/>
      <c r="G48" s="1"/>
      <c r="H48" s="1"/>
      <c r="I48" s="1"/>
      <c r="J48" s="1"/>
    </row>
    <row r="49" spans="1:10" x14ac:dyDescent="0.3">
      <c r="A49" s="5">
        <f>SALES_EDA!A36</f>
        <v>41672.083333333336</v>
      </c>
      <c r="B49" s="15">
        <f>SALES_EDA!M36</f>
        <v>34.166741278752106</v>
      </c>
      <c r="C49" s="15">
        <f>SALES_EDA!T36</f>
        <v>33.900261457075409</v>
      </c>
      <c r="D49" s="6">
        <f>SALES_EDA!D36</f>
        <v>3320</v>
      </c>
      <c r="E49" s="14">
        <f>SALES_EDA!B36</f>
        <v>113433.581045457</v>
      </c>
      <c r="F49" s="1"/>
      <c r="G49" s="1"/>
      <c r="H49" s="1"/>
      <c r="I49" s="1"/>
      <c r="J49" s="1"/>
    </row>
    <row r="50" spans="1:10" x14ac:dyDescent="0.3">
      <c r="A50" s="5">
        <f>SALES_EDA!A37</f>
        <v>41673.083333333336</v>
      </c>
      <c r="B50" s="15">
        <f>SALES_EDA!M37</f>
        <v>34.166674625668335</v>
      </c>
      <c r="C50" s="15">
        <f>SALES_EDA!T37</f>
        <v>33.958390542900524</v>
      </c>
      <c r="D50" s="6">
        <f>SALES_EDA!D37</f>
        <v>4191</v>
      </c>
      <c r="E50" s="14">
        <f>SALES_EDA!B37</f>
        <v>143192.53335617599</v>
      </c>
      <c r="F50" s="1"/>
      <c r="G50" s="1"/>
      <c r="H50" s="1"/>
      <c r="I50" s="1"/>
      <c r="J50" s="1"/>
    </row>
    <row r="51" spans="1:10" x14ac:dyDescent="0.3">
      <c r="A51" s="5">
        <f>SALES_EDA!A38</f>
        <v>41674.083333333336</v>
      </c>
      <c r="B51" s="15">
        <f>SALES_EDA!M38</f>
        <v>34.162943001543972</v>
      </c>
      <c r="C51" s="15">
        <f>SALES_EDA!T38</f>
        <v>34.015880360983559</v>
      </c>
      <c r="D51" s="6">
        <f>SALES_EDA!D38</f>
        <v>3809</v>
      </c>
      <c r="E51" s="14">
        <f>SALES_EDA!B38</f>
        <v>130126.649892881</v>
      </c>
      <c r="F51" s="1"/>
      <c r="G51" s="1"/>
      <c r="H51" s="1"/>
      <c r="I51" s="1"/>
      <c r="J51" s="1"/>
    </row>
    <row r="52" spans="1:10" x14ac:dyDescent="0.3">
      <c r="A52" s="5">
        <f>SALES_EDA!A39</f>
        <v>41675.083333333336</v>
      </c>
      <c r="B52" s="15">
        <f>SALES_EDA!M39</f>
        <v>32.469789824035395</v>
      </c>
      <c r="C52" s="15">
        <f>SALES_EDA!T39</f>
        <v>34.01737141164152</v>
      </c>
      <c r="D52" s="6">
        <f>SALES_EDA!D39</f>
        <v>5764</v>
      </c>
      <c r="E52" s="14">
        <f>SALES_EDA!B39</f>
        <v>187155.86854574</v>
      </c>
      <c r="F52" s="1"/>
      <c r="G52" s="1"/>
      <c r="H52" s="1"/>
      <c r="I52" s="1"/>
      <c r="J52" s="1"/>
    </row>
    <row r="53" spans="1:10" x14ac:dyDescent="0.3">
      <c r="A53" s="5">
        <f>SALES_EDA!A40</f>
        <v>41676.083333333336</v>
      </c>
      <c r="B53" s="15">
        <f>SALES_EDA!M40</f>
        <v>33.789534212848089</v>
      </c>
      <c r="C53" s="15">
        <f>SALES_EDA!T40</f>
        <v>34.063187554874609</v>
      </c>
      <c r="D53" s="6">
        <f>SALES_EDA!D40</f>
        <v>3028</v>
      </c>
      <c r="E53" s="14">
        <f>SALES_EDA!B40</f>
        <v>102314.70959650401</v>
      </c>
      <c r="F53" s="1"/>
      <c r="G53" s="1"/>
      <c r="H53" s="1"/>
      <c r="I53" s="1"/>
      <c r="J53" s="1"/>
    </row>
    <row r="54" spans="1:10" x14ac:dyDescent="0.3">
      <c r="A54" s="5">
        <f>SALES_EDA!A41</f>
        <v>41677.083333333336</v>
      </c>
      <c r="B54" s="15">
        <f>SALES_EDA!M41</f>
        <v>32.481025695291578</v>
      </c>
      <c r="C54" s="15">
        <f>SALES_EDA!T41</f>
        <v>34.010588497936872</v>
      </c>
      <c r="D54" s="6">
        <f>SALES_EDA!D41</f>
        <v>9284</v>
      </c>
      <c r="E54" s="14">
        <f>SALES_EDA!B41</f>
        <v>301553.842555087</v>
      </c>
      <c r="F54" s="1"/>
      <c r="G54" s="1"/>
      <c r="H54" s="1"/>
      <c r="I54" s="1"/>
      <c r="J54" s="1"/>
    </row>
    <row r="55" spans="1:10" x14ac:dyDescent="0.3">
      <c r="A55" s="5">
        <f>SALES_EDA!A42</f>
        <v>41678.083333333336</v>
      </c>
      <c r="B55" s="15">
        <f>SALES_EDA!M42</f>
        <v>32.461043190858994</v>
      </c>
      <c r="C55" s="15">
        <f>SALES_EDA!T42</f>
        <v>33.955087078634257</v>
      </c>
      <c r="D55" s="6">
        <f>SALES_EDA!D42</f>
        <v>9737</v>
      </c>
      <c r="E55" s="14">
        <f>SALES_EDA!B42</f>
        <v>316073.17754939402</v>
      </c>
      <c r="F55" s="1"/>
      <c r="G55" s="1"/>
      <c r="H55" s="1"/>
      <c r="I55" s="1"/>
      <c r="J55" s="1"/>
    </row>
    <row r="56" spans="1:10" x14ac:dyDescent="0.3">
      <c r="A56" s="5">
        <f>SALES_EDA!A43</f>
        <v>41679.083333333336</v>
      </c>
      <c r="B56" s="15">
        <f>SALES_EDA!M43</f>
        <v>32.471304961465769</v>
      </c>
      <c r="C56" s="15">
        <f>SALES_EDA!T43</f>
        <v>33.900472571980572</v>
      </c>
      <c r="D56" s="6">
        <f>SALES_EDA!D43</f>
        <v>4163</v>
      </c>
      <c r="E56" s="14">
        <f>SALES_EDA!B43</f>
        <v>135178.042554582</v>
      </c>
      <c r="F56" s="1"/>
      <c r="G56" s="1"/>
      <c r="H56" s="1"/>
      <c r="I56" s="1"/>
      <c r="J56" s="1"/>
    </row>
    <row r="57" spans="1:10" x14ac:dyDescent="0.3">
      <c r="A57" s="5">
        <f>SALES_EDA!A44</f>
        <v>41680.083333333336</v>
      </c>
      <c r="B57" s="15">
        <f>SALES_EDA!M44</f>
        <v>32.453320779067006</v>
      </c>
      <c r="C57" s="15">
        <f>SALES_EDA!T44</f>
        <v>33.845243629574327</v>
      </c>
      <c r="D57" s="6">
        <f>SALES_EDA!D44</f>
        <v>4552</v>
      </c>
      <c r="E57" s="14">
        <f>SALES_EDA!B44</f>
        <v>147727.51618631301</v>
      </c>
      <c r="F57" s="1"/>
      <c r="G57" s="1"/>
      <c r="H57" s="1"/>
      <c r="I57" s="1"/>
      <c r="J57" s="1"/>
    </row>
    <row r="58" spans="1:10" x14ac:dyDescent="0.3">
      <c r="A58" s="5">
        <f>SALES_EDA!A45</f>
        <v>41681.083333333336</v>
      </c>
      <c r="B58" s="15">
        <f>SALES_EDA!M45</f>
        <v>32.478127143908438</v>
      </c>
      <c r="C58" s="15">
        <f>SALES_EDA!T45</f>
        <v>33.790242085893482</v>
      </c>
      <c r="D58" s="6">
        <f>SALES_EDA!D45</f>
        <v>4172</v>
      </c>
      <c r="E58" s="14">
        <f>SALES_EDA!B45</f>
        <v>135498.74644438599</v>
      </c>
      <c r="F58" s="1"/>
      <c r="G58" s="1"/>
      <c r="H58" s="1"/>
      <c r="I58" s="1"/>
      <c r="J58" s="1"/>
    </row>
    <row r="59" spans="1:10" x14ac:dyDescent="0.3">
      <c r="A59" s="5">
        <f>SALES_EDA!A46</f>
        <v>41682.083333333336</v>
      </c>
      <c r="B59" s="15">
        <f>SALES_EDA!M46</f>
        <v>32.446465198586857</v>
      </c>
      <c r="C59" s="15">
        <f>SALES_EDA!T46</f>
        <v>33.735121550253666</v>
      </c>
      <c r="D59" s="6">
        <f>SALES_EDA!D46</f>
        <v>5037</v>
      </c>
      <c r="E59" s="14">
        <f>SALES_EDA!B46</f>
        <v>163432.84520528201</v>
      </c>
      <c r="F59" s="1"/>
      <c r="G59" s="1"/>
      <c r="H59" s="1"/>
      <c r="I59" s="1"/>
      <c r="J59" s="1"/>
    </row>
    <row r="60" spans="1:10" x14ac:dyDescent="0.3">
      <c r="A60" s="5">
        <f>SALES_EDA!A47</f>
        <v>41683.083333333336</v>
      </c>
      <c r="B60" s="15">
        <f>SALES_EDA!M47</f>
        <v>32.470446894009392</v>
      </c>
      <c r="C60" s="15">
        <f>SALES_EDA!T47</f>
        <v>33.680462396750563</v>
      </c>
      <c r="D60" s="6">
        <f>SALES_EDA!D47</f>
        <v>4259</v>
      </c>
      <c r="E60" s="14">
        <f>SALES_EDA!B47</f>
        <v>138291.63332158601</v>
      </c>
      <c r="F60" s="1"/>
      <c r="G60" s="1"/>
      <c r="H60" s="1"/>
      <c r="I60" s="1"/>
      <c r="J60" s="1"/>
    </row>
    <row r="61" spans="1:10" x14ac:dyDescent="0.3">
      <c r="A61" s="5">
        <f>SALES_EDA!A48</f>
        <v>41684.083333333336</v>
      </c>
      <c r="B61" s="15">
        <f>SALES_EDA!M48</f>
        <v>32.453652991050859</v>
      </c>
      <c r="C61" s="15">
        <f>SALES_EDA!T48</f>
        <v>33.626123017647821</v>
      </c>
      <c r="D61" s="6">
        <f>SALES_EDA!D48</f>
        <v>10381</v>
      </c>
      <c r="E61" s="14">
        <f>SALES_EDA!B48</f>
        <v>336901.37170009897</v>
      </c>
      <c r="F61" s="1"/>
      <c r="G61" s="1"/>
      <c r="H61" s="1"/>
      <c r="I61" s="1"/>
      <c r="J61" s="1"/>
    </row>
    <row r="62" spans="1:10" x14ac:dyDescent="0.3">
      <c r="A62" s="5">
        <f>SALES_EDA!A49</f>
        <v>41685.083333333336</v>
      </c>
      <c r="B62" s="15">
        <f>SALES_EDA!M49</f>
        <v>32.450517844547477</v>
      </c>
      <c r="C62" s="15">
        <f>SALES_EDA!T49</f>
        <v>33.571651429753537</v>
      </c>
      <c r="D62" s="6">
        <f>SALES_EDA!D49</f>
        <v>11332</v>
      </c>
      <c r="E62" s="14">
        <f>SALES_EDA!B49</f>
        <v>367729.26821441198</v>
      </c>
      <c r="F62" s="1"/>
      <c r="G62" s="1"/>
      <c r="H62" s="1"/>
      <c r="I62" s="1"/>
      <c r="J62" s="1"/>
    </row>
    <row r="63" spans="1:10" x14ac:dyDescent="0.3">
      <c r="A63" s="5">
        <f>SALES_EDA!A50</f>
        <v>41686.083333333336</v>
      </c>
      <c r="B63" s="15">
        <f>SALES_EDA!M50</f>
        <v>32.448229073755996</v>
      </c>
      <c r="C63" s="15">
        <f>SALES_EDA!T50</f>
        <v>33.515317031741766</v>
      </c>
      <c r="D63" s="6">
        <f>SALES_EDA!D50</f>
        <v>4127</v>
      </c>
      <c r="E63" s="14">
        <f>SALES_EDA!B50</f>
        <v>133913.841387391</v>
      </c>
      <c r="F63" s="1"/>
      <c r="G63" s="1"/>
      <c r="H63" s="1"/>
      <c r="I63" s="1"/>
      <c r="J63" s="1"/>
    </row>
    <row r="64" spans="1:10" x14ac:dyDescent="0.3">
      <c r="A64" s="5">
        <f>SALES_EDA!A51</f>
        <v>41687.083333333336</v>
      </c>
      <c r="B64" s="15">
        <f>SALES_EDA!M51</f>
        <v>32.437157886999785</v>
      </c>
      <c r="C64" s="15">
        <f>SALES_EDA!T51</f>
        <v>33.458944658358462</v>
      </c>
      <c r="D64" s="6">
        <f>SALES_EDA!D51</f>
        <v>4649</v>
      </c>
      <c r="E64" s="14">
        <f>SALES_EDA!B51</f>
        <v>150800.34701666201</v>
      </c>
      <c r="F64" s="1"/>
      <c r="G64" s="1"/>
      <c r="H64" s="1"/>
      <c r="I64" s="1"/>
      <c r="J64" s="1"/>
    </row>
    <row r="65" spans="1:10" x14ac:dyDescent="0.3">
      <c r="A65" s="5">
        <f>SALES_EDA!A52</f>
        <v>41688.083333333336</v>
      </c>
      <c r="B65" s="15">
        <f>SALES_EDA!M52</f>
        <v>34.168365295497168</v>
      </c>
      <c r="C65" s="15">
        <f>SALES_EDA!T52</f>
        <v>33.459757398842825</v>
      </c>
      <c r="D65" s="6">
        <f>SALES_EDA!D52</f>
        <v>1627</v>
      </c>
      <c r="E65" s="14">
        <f>SALES_EDA!B52</f>
        <v>55591.930335773897</v>
      </c>
      <c r="F65" s="1"/>
      <c r="G65" s="1"/>
      <c r="H65" s="1"/>
      <c r="I65" s="1"/>
      <c r="J65" s="1"/>
    </row>
    <row r="66" spans="1:10" x14ac:dyDescent="0.3">
      <c r="A66" s="5">
        <f>SALES_EDA!A53</f>
        <v>41689.083333333336</v>
      </c>
      <c r="B66" s="15">
        <f>SALES_EDA!M53</f>
        <v>32.437425126127401</v>
      </c>
      <c r="C66" s="15">
        <f>SALES_EDA!T53</f>
        <v>33.403654315501669</v>
      </c>
      <c r="D66" s="6">
        <f>SALES_EDA!D53</f>
        <v>3281</v>
      </c>
      <c r="E66" s="14">
        <f>SALES_EDA!B53</f>
        <v>106427.191838824</v>
      </c>
      <c r="F66" s="1"/>
      <c r="G66" s="1"/>
      <c r="H66" s="1"/>
      <c r="I66" s="1"/>
      <c r="J66" s="1"/>
    </row>
    <row r="67" spans="1:10" x14ac:dyDescent="0.3">
      <c r="A67" s="5">
        <f>SALES_EDA!A54</f>
        <v>41690.083333333336</v>
      </c>
      <c r="B67" s="15">
        <f>SALES_EDA!M54</f>
        <v>34.173400183895197</v>
      </c>
      <c r="C67" s="15">
        <f>SALES_EDA!T54</f>
        <v>33.406527899011181</v>
      </c>
      <c r="D67" s="6">
        <f>SALES_EDA!D54</f>
        <v>2310</v>
      </c>
      <c r="E67" s="14">
        <f>SALES_EDA!B54</f>
        <v>78940.554424797898</v>
      </c>
      <c r="F67" s="1"/>
      <c r="G67" s="1"/>
      <c r="H67" s="1"/>
      <c r="I67" s="1"/>
      <c r="J67" s="1"/>
    </row>
    <row r="68" spans="1:10" x14ac:dyDescent="0.3">
      <c r="A68" s="5">
        <f>SALES_EDA!A55</f>
        <v>41691.083333333336</v>
      </c>
      <c r="B68" s="15">
        <f>SALES_EDA!M55</f>
        <v>32.433821450574783</v>
      </c>
      <c r="C68" s="15">
        <f>SALES_EDA!T55</f>
        <v>33.356859060429031</v>
      </c>
      <c r="D68" s="6">
        <f>SALES_EDA!D55</f>
        <v>9802</v>
      </c>
      <c r="E68" s="14">
        <f>SALES_EDA!B55</f>
        <v>317916.31785853399</v>
      </c>
      <c r="F68" s="1"/>
      <c r="G68" s="1"/>
      <c r="H68" s="1"/>
      <c r="I68" s="1"/>
      <c r="J68" s="1"/>
    </row>
    <row r="69" spans="1:10" x14ac:dyDescent="0.3">
      <c r="A69" s="5">
        <f>SALES_EDA!A56</f>
        <v>41692.083333333336</v>
      </c>
      <c r="B69" s="15">
        <f>SALES_EDA!M56</f>
        <v>31.643253741560173</v>
      </c>
      <c r="C69" s="15">
        <f>SALES_EDA!T56</f>
        <v>33.272429228792227</v>
      </c>
      <c r="D69" s="6">
        <f>SALES_EDA!D56</f>
        <v>9772</v>
      </c>
      <c r="E69" s="14">
        <f>SALES_EDA!B56</f>
        <v>309217.87556252599</v>
      </c>
      <c r="F69" s="1"/>
      <c r="G69" s="1"/>
      <c r="H69" s="1"/>
      <c r="I69" s="1"/>
      <c r="J69" s="1"/>
    </row>
    <row r="70" spans="1:10" x14ac:dyDescent="0.3">
      <c r="A70" s="5">
        <f>SALES_EDA!A57</f>
        <v>41693.083333333336</v>
      </c>
      <c r="B70" s="15">
        <f>SALES_EDA!M57</f>
        <v>32.433618255377517</v>
      </c>
      <c r="C70" s="15">
        <f>SALES_EDA!T57</f>
        <v>33.214599600203329</v>
      </c>
      <c r="D70" s="6">
        <f>SALES_EDA!D57</f>
        <v>4270</v>
      </c>
      <c r="E70" s="14">
        <f>SALES_EDA!B57</f>
        <v>138491.54995046201</v>
      </c>
      <c r="F70" s="1"/>
      <c r="G70" s="1"/>
      <c r="H70" s="1"/>
      <c r="I70" s="1"/>
      <c r="J70" s="1"/>
    </row>
    <row r="71" spans="1:10" x14ac:dyDescent="0.3">
      <c r="A71" s="5">
        <f>SALES_EDA!A58</f>
        <v>41694.083333333336</v>
      </c>
      <c r="B71" s="15">
        <f>SALES_EDA!M58</f>
        <v>32.427233854173402</v>
      </c>
      <c r="C71" s="15">
        <f>SALES_EDA!T58</f>
        <v>33.156475523236509</v>
      </c>
      <c r="D71" s="6">
        <f>SALES_EDA!D58</f>
        <v>4106</v>
      </c>
      <c r="E71" s="14">
        <f>SALES_EDA!B58</f>
        <v>133146.222205236</v>
      </c>
      <c r="F71" s="1"/>
      <c r="G71" s="1"/>
      <c r="H71" s="1"/>
      <c r="I71" s="1"/>
      <c r="J71" s="1"/>
    </row>
    <row r="72" spans="1:10" x14ac:dyDescent="0.3">
      <c r="A72" s="5">
        <f>SALES_EDA!A59</f>
        <v>41695.083333333336</v>
      </c>
      <c r="B72" s="15">
        <f>SALES_EDA!M59</f>
        <v>32.433999738055647</v>
      </c>
      <c r="C72" s="15">
        <f>SALES_EDA!T59</f>
        <v>33.098762792469266</v>
      </c>
      <c r="D72" s="6">
        <f>SALES_EDA!D59</f>
        <v>6937</v>
      </c>
      <c r="E72" s="14">
        <f>SALES_EDA!B59</f>
        <v>224994.65618289201</v>
      </c>
      <c r="F72" s="1"/>
      <c r="G72" s="1"/>
      <c r="H72" s="1"/>
      <c r="I72" s="1"/>
      <c r="J72" s="1"/>
    </row>
    <row r="73" spans="1:10" x14ac:dyDescent="0.3">
      <c r="A73" s="5">
        <f>SALES_EDA!A60</f>
        <v>41696.083333333336</v>
      </c>
      <c r="B73" s="15">
        <f>SALES_EDA!M60</f>
        <v>32.456243361412177</v>
      </c>
      <c r="C73" s="15">
        <f>SALES_EDA!T60</f>
        <v>33.041392950139809</v>
      </c>
      <c r="D73" s="6">
        <f>SALES_EDA!D60</f>
        <v>6934</v>
      </c>
      <c r="E73" s="14">
        <f>SALES_EDA!B60</f>
        <v>225051.59146803201</v>
      </c>
      <c r="F73" s="1"/>
      <c r="G73" s="1"/>
      <c r="H73" s="1"/>
      <c r="I73" s="1"/>
      <c r="J73" s="1"/>
    </row>
    <row r="74" spans="1:10" x14ac:dyDescent="0.3">
      <c r="A74" s="5">
        <f>SALES_EDA!A61</f>
        <v>41697.083333333336</v>
      </c>
      <c r="B74" s="15">
        <f>SALES_EDA!M61</f>
        <v>31.068370550544124</v>
      </c>
      <c r="C74" s="15">
        <f>SALES_EDA!T61</f>
        <v>32.938434756151871</v>
      </c>
      <c r="D74" s="6">
        <f>SALES_EDA!D61</f>
        <v>11082</v>
      </c>
      <c r="E74" s="14">
        <f>SALES_EDA!B61</f>
        <v>344299.68244112999</v>
      </c>
      <c r="F74" s="1"/>
      <c r="G74" s="1"/>
      <c r="H74" s="1"/>
      <c r="I74" s="1"/>
      <c r="J74" s="1"/>
    </row>
    <row r="75" spans="1:10" x14ac:dyDescent="0.3">
      <c r="A75" s="5">
        <f>SALES_EDA!A62</f>
        <v>41698.083333333336</v>
      </c>
      <c r="B75" s="15">
        <f>SALES_EDA!M62</f>
        <v>31.813338139853354</v>
      </c>
      <c r="C75" s="15">
        <f>SALES_EDA!T62</f>
        <v>32.85976585369994</v>
      </c>
      <c r="D75" s="6">
        <f>SALES_EDA!D62</f>
        <v>20805</v>
      </c>
      <c r="E75" s="14">
        <f>SALES_EDA!B62</f>
        <v>661876.49999964901</v>
      </c>
      <c r="F75" s="1"/>
      <c r="G75" s="1"/>
      <c r="H75" s="1"/>
      <c r="I75" s="1"/>
      <c r="J75" s="1"/>
    </row>
    <row r="76" spans="1:10" x14ac:dyDescent="0.3">
      <c r="A76" s="5">
        <f>SALES_EDA!A63</f>
        <v>41699.083333333336</v>
      </c>
      <c r="B76" s="15">
        <f>SALES_EDA!M63</f>
        <v>32.059007503248921</v>
      </c>
      <c r="C76" s="15">
        <f>SALES_EDA!T63</f>
        <v>32.78956276848065</v>
      </c>
      <c r="D76" s="6">
        <f>SALES_EDA!D63</f>
        <v>26410</v>
      </c>
      <c r="E76" s="14">
        <f>SALES_EDA!B63</f>
        <v>846678.38816080405</v>
      </c>
      <c r="F76" s="1"/>
      <c r="G76" s="1"/>
      <c r="H76" s="1"/>
      <c r="I76" s="1"/>
      <c r="J76" s="1"/>
    </row>
    <row r="77" spans="1:10" x14ac:dyDescent="0.3">
      <c r="A77" s="5">
        <f>SALES_EDA!A64</f>
        <v>41700.083333333336</v>
      </c>
      <c r="B77" s="15">
        <f>SALES_EDA!M64</f>
        <v>31.918308775781323</v>
      </c>
      <c r="C77" s="15">
        <f>SALES_EDA!T64</f>
        <v>32.714599252070954</v>
      </c>
      <c r="D77" s="6">
        <f>SALES_EDA!D64</f>
        <v>15004</v>
      </c>
      <c r="E77" s="14">
        <f>SALES_EDA!B64</f>
        <v>478902.304871823</v>
      </c>
      <c r="F77" s="1"/>
      <c r="G77" s="1"/>
      <c r="H77" s="1"/>
      <c r="I77" s="1"/>
      <c r="J77" s="1"/>
    </row>
    <row r="78" spans="1:10" x14ac:dyDescent="0.3">
      <c r="A78" s="5">
        <f>SALES_EDA!A65</f>
        <v>41701.083333333336</v>
      </c>
      <c r="B78" s="15">
        <f>SALES_EDA!M65</f>
        <v>31.913480344263384</v>
      </c>
      <c r="C78" s="15">
        <f>SALES_EDA!T65</f>
        <v>32.639561364091819</v>
      </c>
      <c r="D78" s="6">
        <f>SALES_EDA!D65</f>
        <v>16884</v>
      </c>
      <c r="E78" s="14">
        <f>SALES_EDA!B65</f>
        <v>538827.20213254297</v>
      </c>
      <c r="F78" s="1"/>
      <c r="G78" s="1"/>
      <c r="H78" s="1"/>
      <c r="I78" s="1"/>
      <c r="J78" s="1"/>
    </row>
    <row r="79" spans="1:10" x14ac:dyDescent="0.3">
      <c r="A79" s="5">
        <f>SALES_EDA!A66</f>
        <v>41702.083333333336</v>
      </c>
      <c r="B79" s="15">
        <f>SALES_EDA!M66</f>
        <v>31.703557185365717</v>
      </c>
      <c r="C79" s="15">
        <f>SALES_EDA!T66</f>
        <v>32.557455227645605</v>
      </c>
      <c r="D79" s="6">
        <f>SALES_EDA!D66</f>
        <v>9789</v>
      </c>
      <c r="E79" s="14">
        <f>SALES_EDA!B66</f>
        <v>310346.12128754501</v>
      </c>
      <c r="F79" s="1"/>
      <c r="G79" s="1"/>
      <c r="H79" s="1"/>
      <c r="I79" s="1"/>
      <c r="J79" s="1"/>
    </row>
    <row r="80" spans="1:10" x14ac:dyDescent="0.3">
      <c r="A80" s="5">
        <f>SALES_EDA!A67</f>
        <v>41703.083333333336</v>
      </c>
      <c r="B80" s="15">
        <f>SALES_EDA!M67</f>
        <v>31.735427925544251</v>
      </c>
      <c r="C80" s="15">
        <f>SALES_EDA!T67</f>
        <v>32.4764136709748</v>
      </c>
      <c r="D80" s="6">
        <f>SALES_EDA!D67</f>
        <v>8079</v>
      </c>
      <c r="E80" s="14">
        <f>SALES_EDA!B67</f>
        <v>256390.522210472</v>
      </c>
      <c r="F80" s="1"/>
      <c r="G80" s="1"/>
      <c r="H80" s="1"/>
      <c r="I80" s="1"/>
      <c r="J80" s="1"/>
    </row>
    <row r="81" spans="1:10" x14ac:dyDescent="0.3">
      <c r="A81" s="5">
        <f>SALES_EDA!A68</f>
        <v>41704.083333333336</v>
      </c>
      <c r="B81" s="15">
        <f>SALES_EDA!M68</f>
        <v>33.084317779198344</v>
      </c>
      <c r="C81" s="15">
        <f>SALES_EDA!T68</f>
        <v>32.440459496896622</v>
      </c>
      <c r="D81" s="6">
        <f>SALES_EDA!D68</f>
        <v>5072</v>
      </c>
      <c r="E81" s="14">
        <f>SALES_EDA!B68</f>
        <v>167803.65977609399</v>
      </c>
      <c r="F81" s="1"/>
      <c r="G81" s="1"/>
      <c r="H81" s="1"/>
      <c r="I81" s="1"/>
      <c r="J81" s="1"/>
    </row>
    <row r="82" spans="1:10" x14ac:dyDescent="0.3">
      <c r="A82" s="5">
        <f>SALES_EDA!A69</f>
        <v>41705.083333333336</v>
      </c>
      <c r="B82" s="15">
        <f>SALES_EDA!M69</f>
        <v>31.978422205454333</v>
      </c>
      <c r="C82" s="15">
        <f>SALES_EDA!T69</f>
        <v>32.424080576277248</v>
      </c>
      <c r="D82" s="6">
        <f>SALES_EDA!D69</f>
        <v>14551</v>
      </c>
      <c r="E82" s="14">
        <f>SALES_EDA!B69</f>
        <v>465318.02151156601</v>
      </c>
      <c r="F82" s="1"/>
      <c r="G82" s="1"/>
      <c r="H82" s="1"/>
      <c r="I82" s="1"/>
      <c r="J82" s="1"/>
    </row>
    <row r="83" spans="1:10" x14ac:dyDescent="0.3">
      <c r="A83" s="5">
        <f>SALES_EDA!A70</f>
        <v>41706.083333333336</v>
      </c>
      <c r="B83" s="15">
        <f>SALES_EDA!M70</f>
        <v>31.985410751419938</v>
      </c>
      <c r="C83" s="15">
        <f>SALES_EDA!T70</f>
        <v>32.363943127562976</v>
      </c>
      <c r="D83" s="6">
        <f>SALES_EDA!D70</f>
        <v>16262</v>
      </c>
      <c r="E83" s="14">
        <f>SALES_EDA!B70</f>
        <v>520146.74963959103</v>
      </c>
      <c r="F83" s="1"/>
      <c r="G83" s="1"/>
      <c r="H83" s="1"/>
      <c r="I83" s="1"/>
      <c r="J83" s="1"/>
    </row>
    <row r="84" spans="1:10" x14ac:dyDescent="0.3">
      <c r="A84" s="5">
        <f>SALES_EDA!A71</f>
        <v>41707.083333333336</v>
      </c>
      <c r="B84" s="15">
        <f>SALES_EDA!M71</f>
        <v>32.03582161668264</v>
      </c>
      <c r="C84" s="15">
        <f>SALES_EDA!T71</f>
        <v>32.349102991609342</v>
      </c>
      <c r="D84" s="6">
        <f>SALES_EDA!D71</f>
        <v>7014</v>
      </c>
      <c r="E84" s="14">
        <f>SALES_EDA!B71</f>
        <v>224699.25281941201</v>
      </c>
      <c r="F84" s="1"/>
      <c r="G84" s="1"/>
      <c r="H84" s="1"/>
      <c r="I84" s="1"/>
      <c r="J84" s="1"/>
    </row>
    <row r="85" spans="1:10" x14ac:dyDescent="0.3">
      <c r="A85" s="5">
        <f>SALES_EDA!A72</f>
        <v>41708.083333333336</v>
      </c>
      <c r="B85" s="15">
        <f>SALES_EDA!M72</f>
        <v>32.045530552657631</v>
      </c>
      <c r="C85" s="15">
        <f>SALES_EDA!T72</f>
        <v>32.33525257033596</v>
      </c>
      <c r="D85" s="6">
        <f>SALES_EDA!D72</f>
        <v>8932</v>
      </c>
      <c r="E85" s="14">
        <f>SALES_EDA!B72</f>
        <v>286230.67889633798</v>
      </c>
      <c r="F85" s="1"/>
      <c r="G85" s="1"/>
      <c r="H85" s="1"/>
      <c r="I85" s="1"/>
      <c r="J85" s="1"/>
    </row>
    <row r="86" spans="1:10" x14ac:dyDescent="0.3">
      <c r="A86" s="5">
        <f>SALES_EDA!A73</f>
        <v>41709.083333333336</v>
      </c>
      <c r="B86" s="15">
        <f>SALES_EDA!M73</f>
        <v>32.620362221123059</v>
      </c>
      <c r="C86" s="15">
        <f>SALES_EDA!T73</f>
        <v>32.340221145657871</v>
      </c>
      <c r="D86" s="6">
        <f>SALES_EDA!D73</f>
        <v>5737</v>
      </c>
      <c r="E86" s="14">
        <f>SALES_EDA!B73</f>
        <v>187143.018062583</v>
      </c>
      <c r="F86" s="1"/>
      <c r="G86" s="1"/>
      <c r="H86" s="1"/>
      <c r="I86" s="1"/>
      <c r="J86" s="1"/>
    </row>
    <row r="87" spans="1:10" x14ac:dyDescent="0.3">
      <c r="A87" s="5">
        <f>SALES_EDA!A74</f>
        <v>41710.083333333336</v>
      </c>
      <c r="B87" s="15">
        <f>SALES_EDA!M74</f>
        <v>32.475078625823308</v>
      </c>
      <c r="C87" s="15">
        <f>SALES_EDA!T74</f>
        <v>32.340946407216421</v>
      </c>
      <c r="D87" s="6">
        <f>SALES_EDA!D74</f>
        <v>5903</v>
      </c>
      <c r="E87" s="14">
        <f>SALES_EDA!B74</f>
        <v>191700.38912823499</v>
      </c>
      <c r="F87" s="1"/>
      <c r="G87" s="1"/>
      <c r="H87" s="1"/>
      <c r="I87" s="1"/>
      <c r="J87" s="1"/>
    </row>
    <row r="88" spans="1:10" x14ac:dyDescent="0.3">
      <c r="A88" s="5">
        <f>SALES_EDA!A75</f>
        <v>41711.083333333336</v>
      </c>
      <c r="B88" s="15">
        <f>SALES_EDA!M75</f>
        <v>32.568031567009889</v>
      </c>
      <c r="C88" s="15">
        <f>SALES_EDA!T75</f>
        <v>32.343943221319805</v>
      </c>
      <c r="D88" s="6">
        <f>SALES_EDA!D75</f>
        <v>5056</v>
      </c>
      <c r="E88" s="14">
        <f>SALES_EDA!B75</f>
        <v>164663.967602802</v>
      </c>
      <c r="F88" s="1"/>
      <c r="G88" s="1"/>
      <c r="H88" s="1"/>
      <c r="I88" s="1"/>
      <c r="J88" s="1"/>
    </row>
    <row r="89" spans="1:10" x14ac:dyDescent="0.3">
      <c r="A89" s="5">
        <f>SALES_EDA!A76</f>
        <v>41712.083333333336</v>
      </c>
      <c r="B89" s="15">
        <f>SALES_EDA!M76</f>
        <v>32.54223268941908</v>
      </c>
      <c r="C89" s="15">
        <f>SALES_EDA!T76</f>
        <v>32.347135471014212</v>
      </c>
      <c r="D89" s="6">
        <f>SALES_EDA!D76</f>
        <v>12167</v>
      </c>
      <c r="E89" s="14">
        <f>SALES_EDA!B76</f>
        <v>395941.34513216198</v>
      </c>
      <c r="F89" s="1"/>
      <c r="G89" s="1"/>
      <c r="H89" s="1"/>
      <c r="I89" s="1"/>
      <c r="J89" s="1"/>
    </row>
    <row r="90" spans="1:10" x14ac:dyDescent="0.3">
      <c r="A90" s="5">
        <f>SALES_EDA!A77</f>
        <v>41713.083333333336</v>
      </c>
      <c r="B90" s="15">
        <f>SALES_EDA!M77</f>
        <v>32.445257677973451</v>
      </c>
      <c r="C90" s="15">
        <f>SALES_EDA!T77</f>
        <v>32.346295830479683</v>
      </c>
      <c r="D90" s="6">
        <f>SALES_EDA!D77</f>
        <v>15971</v>
      </c>
      <c r="E90" s="14">
        <f>SALES_EDA!B77</f>
        <v>518183.21037491399</v>
      </c>
      <c r="F90" s="1"/>
      <c r="G90" s="1"/>
      <c r="H90" s="1"/>
      <c r="I90" s="1"/>
      <c r="J90" s="1"/>
    </row>
    <row r="91" spans="1:10" x14ac:dyDescent="0.3">
      <c r="A91" s="5">
        <f>SALES_EDA!A78</f>
        <v>41714.083333333336</v>
      </c>
      <c r="B91" s="15">
        <f>SALES_EDA!M78</f>
        <v>32.52266861944188</v>
      </c>
      <c r="C91" s="15">
        <f>SALES_EDA!T78</f>
        <v>32.348596351426046</v>
      </c>
      <c r="D91" s="6">
        <f>SALES_EDA!D78</f>
        <v>6968</v>
      </c>
      <c r="E91" s="14">
        <f>SALES_EDA!B78</f>
        <v>226617.95494027101</v>
      </c>
      <c r="F91" s="1"/>
      <c r="G91" s="1"/>
      <c r="H91" s="1"/>
      <c r="I91" s="1"/>
      <c r="J91" s="1"/>
    </row>
    <row r="92" spans="1:10" x14ac:dyDescent="0.3">
      <c r="A92" s="5">
        <f>SALES_EDA!A79</f>
        <v>41715.083333333336</v>
      </c>
      <c r="B92" s="15">
        <f>SALES_EDA!M79</f>
        <v>32.520399245713506</v>
      </c>
      <c r="C92" s="15">
        <f>SALES_EDA!T79</f>
        <v>32.350925731464919</v>
      </c>
      <c r="D92" s="6">
        <f>SALES_EDA!D79</f>
        <v>7494</v>
      </c>
      <c r="E92" s="14">
        <f>SALES_EDA!B79</f>
        <v>243707.87194737699</v>
      </c>
      <c r="F92" s="1"/>
      <c r="G92" s="1"/>
      <c r="H92" s="1"/>
      <c r="I92" s="1"/>
      <c r="J92" s="1"/>
    </row>
    <row r="93" spans="1:10" x14ac:dyDescent="0.3">
      <c r="A93" s="5">
        <f>SALES_EDA!A80</f>
        <v>41716.083333333336</v>
      </c>
      <c r="B93" s="15">
        <f>SALES_EDA!M80</f>
        <v>35.038693682959178</v>
      </c>
      <c r="C93" s="15">
        <f>SALES_EDA!T80</f>
        <v>32.437274551771694</v>
      </c>
      <c r="D93" s="6">
        <f>SALES_EDA!D80</f>
        <v>2707</v>
      </c>
      <c r="E93" s="14">
        <f>SALES_EDA!B80</f>
        <v>94849.743799770498</v>
      </c>
      <c r="F93" s="1"/>
      <c r="G93" s="1"/>
      <c r="H93" s="1"/>
      <c r="I93" s="1"/>
      <c r="J93" s="1"/>
    </row>
    <row r="94" spans="1:10" x14ac:dyDescent="0.3">
      <c r="A94" s="5">
        <f>SALES_EDA!A81</f>
        <v>41717.083333333336</v>
      </c>
      <c r="B94" s="15">
        <f>SALES_EDA!M81</f>
        <v>35.034805865216384</v>
      </c>
      <c r="C94" s="15">
        <f>SALES_EDA!T81</f>
        <v>32.523862817712242</v>
      </c>
      <c r="D94" s="6">
        <f>SALES_EDA!D81</f>
        <v>2637</v>
      </c>
      <c r="E94" s="14">
        <f>SALES_EDA!B81</f>
        <v>92386.783066575605</v>
      </c>
      <c r="F94" s="1"/>
      <c r="G94" s="1"/>
      <c r="H94" s="1"/>
      <c r="I94" s="1"/>
      <c r="J94" s="1"/>
    </row>
    <row r="95" spans="1:10" x14ac:dyDescent="0.3">
      <c r="A95" s="5">
        <f>SALES_EDA!A82</f>
        <v>41718.083333333336</v>
      </c>
      <c r="B95" s="15">
        <f>SALES_EDA!M82</f>
        <v>35.034924782373274</v>
      </c>
      <c r="C95" s="15">
        <f>SALES_EDA!T82</f>
        <v>32.552748133941449</v>
      </c>
      <c r="D95" s="6">
        <f>SALES_EDA!D82</f>
        <v>5149</v>
      </c>
      <c r="E95" s="14">
        <f>SALES_EDA!B82</f>
        <v>180394.82770443999</v>
      </c>
      <c r="F95" s="1"/>
      <c r="G95" s="1"/>
      <c r="H95" s="1"/>
      <c r="I95" s="1"/>
      <c r="J95" s="1"/>
    </row>
    <row r="96" spans="1:10" x14ac:dyDescent="0.3">
      <c r="A96" s="5">
        <f>SALES_EDA!A83</f>
        <v>41719.083333333336</v>
      </c>
      <c r="B96" s="15">
        <f>SALES_EDA!M83</f>
        <v>35.037435460147165</v>
      </c>
      <c r="C96" s="15">
        <f>SALES_EDA!T83</f>
        <v>32.639415145075439</v>
      </c>
      <c r="D96" s="6">
        <f>SALES_EDA!D83</f>
        <v>5735</v>
      </c>
      <c r="E96" s="14">
        <f>SALES_EDA!B83</f>
        <v>200939.69236394399</v>
      </c>
      <c r="F96" s="1"/>
      <c r="G96" s="1"/>
      <c r="H96" s="1"/>
      <c r="I96" s="1"/>
      <c r="J96" s="1"/>
    </row>
    <row r="97" spans="1:10" x14ac:dyDescent="0.3">
      <c r="A97" s="5">
        <f>SALES_EDA!A84</f>
        <v>41720.083333333336</v>
      </c>
      <c r="B97" s="15">
        <f>SALES_EDA!M84</f>
        <v>35.039287826264186</v>
      </c>
      <c r="C97" s="15">
        <f>SALES_EDA!T84</f>
        <v>32.668278066487737</v>
      </c>
      <c r="D97" s="6">
        <f>SALES_EDA!D84</f>
        <v>4936</v>
      </c>
      <c r="E97" s="14">
        <f>SALES_EDA!B84</f>
        <v>172953.92471044001</v>
      </c>
      <c r="F97" s="1"/>
      <c r="G97" s="1"/>
      <c r="H97" s="1"/>
      <c r="I97" s="1"/>
      <c r="J97" s="1"/>
    </row>
    <row r="98" spans="1:10" x14ac:dyDescent="0.3">
      <c r="A98" s="5">
        <f>SALES_EDA!A85</f>
        <v>41721.083333333336</v>
      </c>
      <c r="B98" s="15">
        <f>SALES_EDA!M85</f>
        <v>35.044832520150372</v>
      </c>
      <c r="C98" s="15">
        <f>SALES_EDA!T85</f>
        <v>32.755311768806926</v>
      </c>
      <c r="D98" s="6">
        <f>SALES_EDA!D85</f>
        <v>2003</v>
      </c>
      <c r="E98" s="14">
        <f>SALES_EDA!B85</f>
        <v>70194.799537861196</v>
      </c>
      <c r="F98" s="1"/>
      <c r="G98" s="1"/>
      <c r="H98" s="1"/>
      <c r="I98" s="1"/>
      <c r="J98" s="1"/>
    </row>
    <row r="99" spans="1:10" x14ac:dyDescent="0.3">
      <c r="A99" s="5">
        <f>SALES_EDA!A86</f>
        <v>41722.083333333336</v>
      </c>
      <c r="B99" s="15">
        <f>SALES_EDA!M86</f>
        <v>35.031517275794663</v>
      </c>
      <c r="C99" s="15">
        <f>SALES_EDA!T86</f>
        <v>32.868253886614738</v>
      </c>
      <c r="D99" s="6">
        <f>SALES_EDA!D86</f>
        <v>2323</v>
      </c>
      <c r="E99" s="14">
        <f>SALES_EDA!B86</f>
        <v>81378.214631670999</v>
      </c>
      <c r="F99" s="1"/>
      <c r="G99" s="1"/>
      <c r="H99" s="1"/>
      <c r="I99" s="1"/>
      <c r="J99" s="1"/>
    </row>
    <row r="100" spans="1:10" x14ac:dyDescent="0.3">
      <c r="A100" s="5">
        <f>SALES_EDA!A87</f>
        <v>41723.083333333336</v>
      </c>
      <c r="B100" s="15">
        <f>SALES_EDA!M87</f>
        <v>34.073002280109627</v>
      </c>
      <c r="C100" s="15">
        <f>SALES_EDA!T87</f>
        <v>32.922900020772481</v>
      </c>
      <c r="D100" s="6">
        <f>SALES_EDA!D87</f>
        <v>3822</v>
      </c>
      <c r="E100" s="14">
        <f>SALES_EDA!B87</f>
        <v>130227.014714579</v>
      </c>
      <c r="F100" s="1"/>
      <c r="G100" s="1"/>
      <c r="H100" s="1"/>
      <c r="I100" s="1"/>
      <c r="J100" s="1"/>
    </row>
    <row r="101" spans="1:10" x14ac:dyDescent="0.3">
      <c r="A101" s="5">
        <f>SALES_EDA!A88</f>
        <v>41724.083333333336</v>
      </c>
      <c r="B101" s="15">
        <f>SALES_EDA!M88</f>
        <v>34.181679325655757</v>
      </c>
      <c r="C101" s="15">
        <f>SALES_EDA!T88</f>
        <v>32.981381536488556</v>
      </c>
      <c r="D101" s="6">
        <f>SALES_EDA!D88</f>
        <v>3666</v>
      </c>
      <c r="E101" s="14">
        <f>SALES_EDA!B88</f>
        <v>125310.036407854</v>
      </c>
      <c r="F101" s="1"/>
      <c r="G101" s="1"/>
      <c r="H101" s="1"/>
      <c r="I101" s="1"/>
      <c r="J101" s="1"/>
    </row>
    <row r="102" spans="1:10" x14ac:dyDescent="0.3">
      <c r="A102" s="5">
        <f>SALES_EDA!A89</f>
        <v>41725.083333333336</v>
      </c>
      <c r="B102" s="15">
        <f>SALES_EDA!M89</f>
        <v>33.715026710287887</v>
      </c>
      <c r="C102" s="15">
        <f>SALES_EDA!T89</f>
        <v>33.024082435562967</v>
      </c>
      <c r="D102" s="6">
        <f>SALES_EDA!D89</f>
        <v>3543</v>
      </c>
      <c r="E102" s="14">
        <f>SALES_EDA!B89</f>
        <v>119452.33963454999</v>
      </c>
      <c r="F102" s="1"/>
      <c r="G102" s="1"/>
      <c r="H102" s="1"/>
      <c r="I102" s="1"/>
      <c r="J102" s="1"/>
    </row>
    <row r="103" spans="1:10" x14ac:dyDescent="0.3">
      <c r="A103" s="5">
        <f>SALES_EDA!A90</f>
        <v>41726.083333333336</v>
      </c>
      <c r="B103" s="15">
        <f>SALES_EDA!M90</f>
        <v>33.969836324758184</v>
      </c>
      <c r="C103" s="15">
        <f>SALES_EDA!T90</f>
        <v>33.074535534341166</v>
      </c>
      <c r="D103" s="6">
        <f>SALES_EDA!D90</f>
        <v>8130</v>
      </c>
      <c r="E103" s="14">
        <f>SALES_EDA!B90</f>
        <v>276174.76932028402</v>
      </c>
      <c r="F103" s="1"/>
      <c r="G103" s="1"/>
      <c r="H103" s="1"/>
      <c r="I103" s="1"/>
      <c r="J103" s="1"/>
    </row>
    <row r="104" spans="1:10" x14ac:dyDescent="0.3">
      <c r="A104" s="5">
        <f>SALES_EDA!A91</f>
        <v>41727.083333333336</v>
      </c>
      <c r="B104" s="15">
        <f>SALES_EDA!M91</f>
        <v>33.97692212784284</v>
      </c>
      <c r="C104" s="15">
        <f>SALES_EDA!T91</f>
        <v>33.171487253584459</v>
      </c>
      <c r="D104" s="6">
        <f>SALES_EDA!D91</f>
        <v>10518</v>
      </c>
      <c r="E104" s="14">
        <f>SALES_EDA!B91</f>
        <v>357369.266940651</v>
      </c>
      <c r="F104" s="1"/>
      <c r="G104" s="1"/>
      <c r="H104" s="1"/>
      <c r="I104" s="1"/>
      <c r="J104" s="1"/>
    </row>
    <row r="105" spans="1:10" x14ac:dyDescent="0.3">
      <c r="A105" s="5">
        <f>SALES_EDA!A92</f>
        <v>41728.083333333336</v>
      </c>
      <c r="B105" s="15">
        <f>SALES_EDA!M92</f>
        <v>34.202774008078478</v>
      </c>
      <c r="C105" s="15">
        <f>SALES_EDA!T92</f>
        <v>33.251135115858624</v>
      </c>
      <c r="D105" s="6">
        <f>SALES_EDA!D92</f>
        <v>4791</v>
      </c>
      <c r="E105" s="14">
        <f>SALES_EDA!B92</f>
        <v>163865.49027270399</v>
      </c>
      <c r="F105" s="1"/>
      <c r="G105" s="1"/>
      <c r="H105" s="1"/>
      <c r="I105" s="1"/>
      <c r="J105" s="1"/>
    </row>
    <row r="106" spans="1:10" x14ac:dyDescent="0.3">
      <c r="A106" s="5">
        <f>SALES_EDA!A93</f>
        <v>41729.083333333336</v>
      </c>
      <c r="B106" s="15">
        <f>SALES_EDA!M93</f>
        <v>34.160776379831631</v>
      </c>
      <c r="C106" s="15">
        <f>SALES_EDA!T93</f>
        <v>33.321194078411388</v>
      </c>
      <c r="D106" s="6">
        <f>SALES_EDA!D93</f>
        <v>5583</v>
      </c>
      <c r="E106" s="14">
        <f>SALES_EDA!B93</f>
        <v>190719.61452860001</v>
      </c>
      <c r="F106" s="1"/>
      <c r="G106" s="1"/>
      <c r="H106" s="1"/>
      <c r="I106" s="1"/>
      <c r="J106" s="1"/>
    </row>
    <row r="107" spans="1:10" x14ac:dyDescent="0.3">
      <c r="A107" s="5">
        <f>SALES_EDA!A94</f>
        <v>41730.083333333336</v>
      </c>
      <c r="B107" s="15">
        <f>SALES_EDA!M94</f>
        <v>34.176828123754575</v>
      </c>
      <c r="C107" s="15">
        <f>SALES_EDA!T94</f>
        <v>33.396478056677161</v>
      </c>
      <c r="D107" s="6">
        <f>SALES_EDA!D94</f>
        <v>7155</v>
      </c>
      <c r="E107" s="14">
        <f>SALES_EDA!B94</f>
        <v>244535.20522546399</v>
      </c>
      <c r="F107" s="1"/>
      <c r="G107" s="1"/>
      <c r="H107" s="1"/>
      <c r="I107" s="1"/>
      <c r="J107" s="1"/>
    </row>
    <row r="108" spans="1:10" x14ac:dyDescent="0.3">
      <c r="A108" s="5">
        <f>SALES_EDA!A95</f>
        <v>41731.083333333336</v>
      </c>
      <c r="B108" s="15">
        <f>SALES_EDA!M95</f>
        <v>34.015410664224476</v>
      </c>
      <c r="C108" s="15">
        <f>SALES_EDA!T95</f>
        <v>33.466542400675863</v>
      </c>
      <c r="D108" s="6">
        <f>SALES_EDA!D95</f>
        <v>4575</v>
      </c>
      <c r="E108" s="14">
        <f>SALES_EDA!B95</f>
        <v>155620.50378882699</v>
      </c>
      <c r="F108" s="1"/>
      <c r="G108" s="1"/>
      <c r="H108" s="1"/>
      <c r="I108" s="1"/>
      <c r="J108" s="1"/>
    </row>
    <row r="109" spans="1:10" x14ac:dyDescent="0.3">
      <c r="A109" s="5">
        <f>SALES_EDA!A96</f>
        <v>41732.083333333336</v>
      </c>
      <c r="B109" s="15">
        <f>SALES_EDA!M96</f>
        <v>34.026014050557173</v>
      </c>
      <c r="C109" s="15">
        <f>SALES_EDA!T96</f>
        <v>33.543957629515575</v>
      </c>
      <c r="D109" s="6">
        <f>SALES_EDA!D96</f>
        <v>3997</v>
      </c>
      <c r="E109" s="14">
        <f>SALES_EDA!B96</f>
        <v>136001.97816007701</v>
      </c>
      <c r="F109" s="1"/>
      <c r="G109" s="1"/>
      <c r="H109" s="1"/>
      <c r="I109" s="1"/>
      <c r="J109" s="1"/>
    </row>
    <row r="110" spans="1:10" x14ac:dyDescent="0.3">
      <c r="A110" s="5">
        <f>SALES_EDA!A97</f>
        <v>41733.083333333336</v>
      </c>
      <c r="B110" s="15">
        <f>SALES_EDA!M97</f>
        <v>34.285694046917413</v>
      </c>
      <c r="C110" s="15">
        <f>SALES_EDA!T97</f>
        <v>33.62896650022801</v>
      </c>
      <c r="D110" s="6">
        <f>SALES_EDA!D97</f>
        <v>5558</v>
      </c>
      <c r="E110" s="14">
        <f>SALES_EDA!B97</f>
        <v>190559.88751276699</v>
      </c>
      <c r="F110" s="1"/>
      <c r="G110" s="1"/>
      <c r="H110" s="1"/>
      <c r="I110" s="1"/>
      <c r="J110" s="1"/>
    </row>
    <row r="111" spans="1:10" x14ac:dyDescent="0.3">
      <c r="A111" s="5">
        <f>SALES_EDA!A98</f>
        <v>41734.083333333336</v>
      </c>
      <c r="B111" s="15">
        <f>SALES_EDA!M98</f>
        <v>34.35292761536725</v>
      </c>
      <c r="C111" s="15">
        <f>SALES_EDA!T98</f>
        <v>33.671253494766979</v>
      </c>
      <c r="D111" s="6">
        <f>SALES_EDA!D98</f>
        <v>6320</v>
      </c>
      <c r="E111" s="14">
        <f>SALES_EDA!B98</f>
        <v>217110.502529121</v>
      </c>
      <c r="F111" s="1"/>
      <c r="G111" s="1"/>
      <c r="H111" s="1"/>
      <c r="I111" s="1"/>
      <c r="J111" s="1"/>
    </row>
    <row r="112" spans="1:10" x14ac:dyDescent="0.3">
      <c r="A112" s="5">
        <f>SALES_EDA!A99</f>
        <v>41735.083333333336</v>
      </c>
      <c r="B112" s="15">
        <f>SALES_EDA!M99</f>
        <v>34.577922826387002</v>
      </c>
      <c r="C112" s="15">
        <f>SALES_EDA!T99</f>
        <v>33.757903515464733</v>
      </c>
      <c r="D112" s="6">
        <f>SALES_EDA!D99</f>
        <v>3447</v>
      </c>
      <c r="E112" s="14">
        <f>SALES_EDA!B99</f>
        <v>119190.099982556</v>
      </c>
      <c r="F112" s="1"/>
      <c r="G112" s="1"/>
      <c r="H112" s="1"/>
      <c r="I112" s="1"/>
      <c r="J112" s="1"/>
    </row>
    <row r="113" spans="1:10" x14ac:dyDescent="0.3">
      <c r="A113" s="5">
        <f>SALES_EDA!A100</f>
        <v>41736.083333333336</v>
      </c>
      <c r="B113" s="15">
        <f>SALES_EDA!M100</f>
        <v>34.226828607039963</v>
      </c>
      <c r="C113" s="15">
        <f>SALES_EDA!T100</f>
        <v>33.832617443985399</v>
      </c>
      <c r="D113" s="6">
        <f>SALES_EDA!D100</f>
        <v>3854</v>
      </c>
      <c r="E113" s="14">
        <f>SALES_EDA!B100</f>
        <v>131910.197451532</v>
      </c>
      <c r="F113" s="1"/>
      <c r="G113" s="1"/>
      <c r="H113" s="1"/>
      <c r="I113" s="1"/>
      <c r="J113" s="1"/>
    </row>
    <row r="114" spans="1:10" x14ac:dyDescent="0.3">
      <c r="A114" s="5">
        <f>SALES_EDA!A101</f>
        <v>41737.083333333336</v>
      </c>
      <c r="B114" s="15">
        <f>SALES_EDA!M101</f>
        <v>35.038688178037418</v>
      </c>
      <c r="C114" s="15">
        <f>SALES_EDA!T101</f>
        <v>33.932712996030553</v>
      </c>
      <c r="D114" s="6">
        <f>SALES_EDA!D101</f>
        <v>3394</v>
      </c>
      <c r="E114" s="14">
        <f>SALES_EDA!B101</f>
        <v>118921.30767625901</v>
      </c>
      <c r="F114" s="1"/>
      <c r="G114" s="1"/>
      <c r="H114" s="1"/>
      <c r="I114" s="1"/>
      <c r="J114" s="1"/>
    </row>
    <row r="115" spans="1:10" x14ac:dyDescent="0.3">
      <c r="A115" s="5">
        <f>SALES_EDA!A102</f>
        <v>41738.083333333336</v>
      </c>
      <c r="B115" s="15">
        <f>SALES_EDA!M102</f>
        <v>35.034600852317993</v>
      </c>
      <c r="C115" s="15">
        <f>SALES_EDA!T102</f>
        <v>34.032348672685899</v>
      </c>
      <c r="D115" s="6">
        <f>SALES_EDA!D102</f>
        <v>3563</v>
      </c>
      <c r="E115" s="14">
        <f>SALES_EDA!B102</f>
        <v>124828.282836809</v>
      </c>
      <c r="F115" s="1"/>
      <c r="G115" s="1"/>
      <c r="H115" s="1"/>
      <c r="I115" s="1"/>
      <c r="J115" s="1"/>
    </row>
    <row r="116" spans="1:10" x14ac:dyDescent="0.3">
      <c r="A116" s="5">
        <f>SALES_EDA!A103</f>
        <v>41739.083333333336</v>
      </c>
      <c r="B116" s="15">
        <f>SALES_EDA!M103</f>
        <v>33.332061380686987</v>
      </c>
      <c r="C116" s="15">
        <f>SALES_EDA!T103</f>
        <v>34.056071978004702</v>
      </c>
      <c r="D116" s="6">
        <f>SALES_EDA!D103</f>
        <v>5380</v>
      </c>
      <c r="E116" s="14">
        <f>SALES_EDA!B103</f>
        <v>179326.49022809599</v>
      </c>
      <c r="F116" s="1"/>
      <c r="G116" s="1"/>
      <c r="H116" s="1"/>
      <c r="I116" s="1"/>
      <c r="J116" s="1"/>
    </row>
    <row r="117" spans="1:10" x14ac:dyDescent="0.3">
      <c r="A117" s="5">
        <f>SALES_EDA!A104</f>
        <v>41740.083333333336</v>
      </c>
      <c r="B117" s="15">
        <f>SALES_EDA!M104</f>
        <v>33.317645153678058</v>
      </c>
      <c r="C117" s="15">
        <f>SALES_EDA!T104</f>
        <v>34.084157528933183</v>
      </c>
      <c r="D117" s="6">
        <f>SALES_EDA!D104</f>
        <v>9573</v>
      </c>
      <c r="E117" s="14">
        <f>SALES_EDA!B104</f>
        <v>318949.81705616001</v>
      </c>
      <c r="F117" s="1"/>
      <c r="G117" s="1"/>
      <c r="H117" s="1"/>
      <c r="I117" s="1"/>
      <c r="J117" s="1"/>
    </row>
    <row r="118" spans="1:10" x14ac:dyDescent="0.3">
      <c r="A118" s="5">
        <f>SALES_EDA!A105</f>
        <v>41741.083333333336</v>
      </c>
      <c r="B118" s="15">
        <f>SALES_EDA!M105</f>
        <v>33.336098606461242</v>
      </c>
      <c r="C118" s="15">
        <f>SALES_EDA!T105</f>
        <v>34.109759763581572</v>
      </c>
      <c r="D118" s="6">
        <f>SALES_EDA!D105</f>
        <v>11250</v>
      </c>
      <c r="E118" s="14">
        <f>SALES_EDA!B105</f>
        <v>375031.10932268901</v>
      </c>
      <c r="F118" s="1"/>
      <c r="G118" s="1"/>
      <c r="H118" s="1"/>
      <c r="I118" s="1"/>
      <c r="J118" s="1"/>
    </row>
    <row r="119" spans="1:10" x14ac:dyDescent="0.3">
      <c r="A119" s="5">
        <f>SALES_EDA!A106</f>
        <v>41742.083333333336</v>
      </c>
      <c r="B119" s="15">
        <f>SALES_EDA!M106</f>
        <v>33.345398938932462</v>
      </c>
      <c r="C119" s="15">
        <f>SALES_EDA!T106</f>
        <v>34.136531971898684</v>
      </c>
      <c r="D119" s="6">
        <f>SALES_EDA!D106</f>
        <v>4990</v>
      </c>
      <c r="E119" s="14">
        <f>SALES_EDA!B106</f>
        <v>166393.54070527299</v>
      </c>
      <c r="F119" s="1"/>
      <c r="G119" s="1"/>
      <c r="H119" s="1"/>
      <c r="I119" s="1"/>
      <c r="J119" s="1"/>
    </row>
    <row r="120" spans="1:10" x14ac:dyDescent="0.3">
      <c r="A120" s="5">
        <f>SALES_EDA!A107</f>
        <v>41743.083333333336</v>
      </c>
      <c r="B120" s="15">
        <f>SALES_EDA!M107</f>
        <v>33.330865364514459</v>
      </c>
      <c r="C120" s="15">
        <f>SALES_EDA!T107</f>
        <v>34.166052228116719</v>
      </c>
      <c r="D120" s="6">
        <f>SALES_EDA!D107</f>
        <v>5810</v>
      </c>
      <c r="E120" s="14">
        <f>SALES_EDA!B107</f>
        <v>193652.327767829</v>
      </c>
      <c r="F120" s="1"/>
      <c r="G120" s="1"/>
      <c r="H120" s="1"/>
      <c r="I120" s="1"/>
      <c r="J120" s="1"/>
    </row>
    <row r="121" spans="1:10" x14ac:dyDescent="0.3">
      <c r="A121" s="5">
        <f>SALES_EDA!A108</f>
        <v>41744.083333333336</v>
      </c>
      <c r="B121" s="15">
        <f>SALES_EDA!M108</f>
        <v>33.32073058736708</v>
      </c>
      <c r="C121" s="15">
        <f>SALES_EDA!T108</f>
        <v>34.19265429371422</v>
      </c>
      <c r="D121" s="6">
        <f>SALES_EDA!D108</f>
        <v>7497</v>
      </c>
      <c r="E121" s="14">
        <f>SALES_EDA!B108</f>
        <v>249805.517213491</v>
      </c>
      <c r="F121" s="1"/>
      <c r="G121" s="1"/>
      <c r="H121" s="1"/>
      <c r="I121" s="1"/>
      <c r="J121" s="1"/>
    </row>
    <row r="122" spans="1:10" x14ac:dyDescent="0.3">
      <c r="A122" s="5">
        <f>SALES_EDA!A109</f>
        <v>41745.083333333336</v>
      </c>
      <c r="B122" s="15">
        <f>SALES_EDA!M109</f>
        <v>33.332208467072896</v>
      </c>
      <c r="C122" s="15">
        <f>SALES_EDA!T109</f>
        <v>34.219714601092868</v>
      </c>
      <c r="D122" s="6">
        <f>SALES_EDA!D109</f>
        <v>8821</v>
      </c>
      <c r="E122" s="14">
        <f>SALES_EDA!B109</f>
        <v>294023.41088804998</v>
      </c>
      <c r="F122" s="1"/>
      <c r="G122" s="1"/>
      <c r="H122" s="1"/>
      <c r="I122" s="1"/>
      <c r="J122" s="1"/>
    </row>
    <row r="123" spans="1:10" x14ac:dyDescent="0.3">
      <c r="A123" s="5">
        <f>SALES_EDA!A110</f>
        <v>41746.083333333336</v>
      </c>
      <c r="B123" s="15">
        <f>SALES_EDA!M110</f>
        <v>33.335293792727754</v>
      </c>
      <c r="C123" s="15">
        <f>SALES_EDA!T110</f>
        <v>34.162934604751825</v>
      </c>
      <c r="D123" s="6">
        <f>SALES_EDA!D110</f>
        <v>18366</v>
      </c>
      <c r="E123" s="14">
        <f>SALES_EDA!B110</f>
        <v>612236.00579723797</v>
      </c>
      <c r="F123" s="1"/>
      <c r="G123" s="1"/>
      <c r="H123" s="1"/>
      <c r="I123" s="1"/>
      <c r="J123" s="1"/>
    </row>
    <row r="124" spans="1:10" x14ac:dyDescent="0.3">
      <c r="A124" s="5">
        <f>SALES_EDA!A111</f>
        <v>41747.083333333336</v>
      </c>
      <c r="B124" s="15">
        <f>SALES_EDA!M111</f>
        <v>33.344011324859899</v>
      </c>
      <c r="C124" s="15">
        <f>SALES_EDA!T111</f>
        <v>34.106574786739941</v>
      </c>
      <c r="D124" s="6">
        <f>SALES_EDA!D111</f>
        <v>13940</v>
      </c>
      <c r="E124" s="14">
        <f>SALES_EDA!B111</f>
        <v>464815.517868547</v>
      </c>
      <c r="F124" s="1"/>
      <c r="G124" s="1"/>
      <c r="H124" s="1"/>
      <c r="I124" s="1"/>
      <c r="J124" s="1"/>
    </row>
    <row r="125" spans="1:10" x14ac:dyDescent="0.3">
      <c r="A125" s="5">
        <f>SALES_EDA!A112</f>
        <v>41748.083333333336</v>
      </c>
      <c r="B125" s="15">
        <f>SALES_EDA!M112</f>
        <v>33.334653268867946</v>
      </c>
      <c r="C125" s="15">
        <f>SALES_EDA!T112</f>
        <v>34.049899069623095</v>
      </c>
      <c r="D125" s="6">
        <f>SALES_EDA!D112</f>
        <v>10814</v>
      </c>
      <c r="E125" s="14">
        <f>SALES_EDA!B112</f>
        <v>360480.940449538</v>
      </c>
      <c r="F125" s="1"/>
      <c r="G125" s="1"/>
      <c r="H125" s="1"/>
      <c r="I125" s="1"/>
      <c r="J125" s="1"/>
    </row>
    <row r="126" spans="1:10" x14ac:dyDescent="0.3">
      <c r="A126" s="5">
        <f>SALES_EDA!A113</f>
        <v>41749.083333333336</v>
      </c>
      <c r="B126" s="15">
        <f>SALES_EDA!M113</f>
        <v>33.327377443502478</v>
      </c>
      <c r="C126" s="15">
        <f>SALES_EDA!T113</f>
        <v>33.992897135734935</v>
      </c>
      <c r="D126" s="6">
        <f>SALES_EDA!D113</f>
        <v>3429</v>
      </c>
      <c r="E126" s="14">
        <f>SALES_EDA!B113</f>
        <v>114279.57725377</v>
      </c>
      <c r="F126" s="1"/>
      <c r="G126" s="1"/>
      <c r="H126" s="1"/>
      <c r="I126" s="1"/>
      <c r="J126" s="1"/>
    </row>
    <row r="127" spans="1:10" x14ac:dyDescent="0.3">
      <c r="A127" s="5">
        <f>SALES_EDA!A114</f>
        <v>41750.083333333336</v>
      </c>
      <c r="B127" s="15">
        <f>SALES_EDA!M114</f>
        <v>33.341088209087708</v>
      </c>
      <c r="C127" s="15">
        <f>SALES_EDA!T114</f>
        <v>33.936290481829054</v>
      </c>
      <c r="D127" s="6">
        <f>SALES_EDA!D114</f>
        <v>4834</v>
      </c>
      <c r="E127" s="14">
        <f>SALES_EDA!B114</f>
        <v>161170.82040272999</v>
      </c>
      <c r="F127" s="1"/>
      <c r="G127" s="1"/>
      <c r="H127" s="1"/>
      <c r="I127" s="1"/>
      <c r="J127" s="1"/>
    </row>
    <row r="128" spans="1:10" x14ac:dyDescent="0.3">
      <c r="A128" s="5">
        <f>SALES_EDA!A115</f>
        <v>41751.083333333336</v>
      </c>
      <c r="B128" s="15">
        <f>SALES_EDA!M115</f>
        <v>33.330255067635619</v>
      </c>
      <c r="C128" s="15">
        <f>SALES_EDA!T115</f>
        <v>33.879137900078568</v>
      </c>
      <c r="D128" s="6">
        <f>SALES_EDA!D115</f>
        <v>5475</v>
      </c>
      <c r="E128" s="14">
        <f>SALES_EDA!B115</f>
        <v>182483.146495305</v>
      </c>
      <c r="F128" s="1"/>
      <c r="G128" s="1"/>
      <c r="H128" s="1"/>
      <c r="I128" s="1"/>
      <c r="J128" s="1"/>
    </row>
    <row r="129" spans="1:10" x14ac:dyDescent="0.3">
      <c r="A129" s="5">
        <f>SALES_EDA!A116</f>
        <v>41752.083333333336</v>
      </c>
      <c r="B129" s="15">
        <f>SALES_EDA!M116</f>
        <v>35.039542623844923</v>
      </c>
      <c r="C129" s="15">
        <f>SALES_EDA!T116</f>
        <v>33.879405411680246</v>
      </c>
      <c r="D129" s="6">
        <f>SALES_EDA!D116</f>
        <v>3121</v>
      </c>
      <c r="E129" s="14">
        <f>SALES_EDA!B116</f>
        <v>109358.41252902</v>
      </c>
      <c r="F129" s="1"/>
      <c r="G129" s="1"/>
      <c r="H129" s="1"/>
      <c r="I129" s="1"/>
      <c r="J129" s="1"/>
    </row>
    <row r="130" spans="1:10" x14ac:dyDescent="0.3">
      <c r="A130" s="5">
        <f>SALES_EDA!A117</f>
        <v>41753.083333333336</v>
      </c>
      <c r="B130" s="15">
        <f>SALES_EDA!M117</f>
        <v>35.04098045898558</v>
      </c>
      <c r="C130" s="15">
        <f>SALES_EDA!T117</f>
        <v>33.911671350976107</v>
      </c>
      <c r="D130" s="6">
        <f>SALES_EDA!D117</f>
        <v>2809</v>
      </c>
      <c r="E130" s="14">
        <f>SALES_EDA!B117</f>
        <v>98430.114109290502</v>
      </c>
      <c r="F130" s="1"/>
      <c r="G130" s="1"/>
      <c r="H130" s="1"/>
      <c r="I130" s="1"/>
      <c r="J130" s="1"/>
    </row>
    <row r="131" spans="1:10" x14ac:dyDescent="0.3">
      <c r="A131" s="5">
        <f>SALES_EDA!A118</f>
        <v>41754.083333333336</v>
      </c>
      <c r="B131" s="15">
        <f>SALES_EDA!M118</f>
        <v>34.642303732210735</v>
      </c>
      <c r="C131" s="15">
        <f>SALES_EDA!T118</f>
        <v>33.927025497861273</v>
      </c>
      <c r="D131" s="6">
        <f>SALES_EDA!D118</f>
        <v>8537</v>
      </c>
      <c r="E131" s="14">
        <f>SALES_EDA!B118</f>
        <v>295741.34696188301</v>
      </c>
      <c r="F131" s="1"/>
      <c r="G131" s="1"/>
      <c r="H131" s="1"/>
      <c r="I131" s="1"/>
      <c r="J131" s="1"/>
    </row>
    <row r="132" spans="1:10" x14ac:dyDescent="0.3">
      <c r="A132" s="5">
        <f>SALES_EDA!A119</f>
        <v>41755.083333333336</v>
      </c>
      <c r="B132" s="15">
        <f>SALES_EDA!M119</f>
        <v>34.724568148754777</v>
      </c>
      <c r="C132" s="15">
        <f>SALES_EDA!T119</f>
        <v>33.960676879143499</v>
      </c>
      <c r="D132" s="6">
        <f>SALES_EDA!D119</f>
        <v>8209</v>
      </c>
      <c r="E132" s="14">
        <f>SALES_EDA!B119</f>
        <v>285053.97993312799</v>
      </c>
      <c r="F132" s="1"/>
      <c r="G132" s="1"/>
      <c r="H132" s="1"/>
      <c r="I132" s="1"/>
      <c r="J132" s="1"/>
    </row>
    <row r="133" spans="1:10" x14ac:dyDescent="0.3">
      <c r="A133" s="5">
        <f>SALES_EDA!A120</f>
        <v>41756.083333333336</v>
      </c>
      <c r="B133" s="15">
        <f>SALES_EDA!M120</f>
        <v>34.78975402785607</v>
      </c>
      <c r="C133" s="15">
        <f>SALES_EDA!T120</f>
        <v>33.98800746924676</v>
      </c>
      <c r="D133" s="6">
        <f>SALES_EDA!D120</f>
        <v>3592</v>
      </c>
      <c r="E133" s="14">
        <f>SALES_EDA!B120</f>
        <v>124964.79646805899</v>
      </c>
      <c r="F133" s="1"/>
      <c r="G133" s="1"/>
      <c r="H133" s="1"/>
      <c r="I133" s="1"/>
      <c r="J133" s="1"/>
    </row>
    <row r="134" spans="1:10" x14ac:dyDescent="0.3">
      <c r="A134" s="5">
        <f>SALES_EDA!A121</f>
        <v>41757.083333333336</v>
      </c>
      <c r="B134" s="15">
        <f>SALES_EDA!M121</f>
        <v>34.724778621968397</v>
      </c>
      <c r="C134" s="15">
        <f>SALES_EDA!T121</f>
        <v>34.01293601905094</v>
      </c>
      <c r="D134" s="6">
        <f>SALES_EDA!D121</f>
        <v>3576</v>
      </c>
      <c r="E134" s="14">
        <f>SALES_EDA!B121</f>
        <v>124175.808352159</v>
      </c>
      <c r="F134" s="1"/>
      <c r="G134" s="1"/>
      <c r="H134" s="1"/>
      <c r="I134" s="1"/>
      <c r="J134" s="1"/>
    </row>
    <row r="135" spans="1:10" x14ac:dyDescent="0.3">
      <c r="A135" s="5">
        <f>SALES_EDA!A122</f>
        <v>41758.083333333336</v>
      </c>
      <c r="B135" s="15">
        <f>SALES_EDA!M122</f>
        <v>34.631618500720784</v>
      </c>
      <c r="C135" s="15">
        <f>SALES_EDA!T122</f>
        <v>34.027230835472352</v>
      </c>
      <c r="D135" s="6">
        <f>SALES_EDA!D122</f>
        <v>3807</v>
      </c>
      <c r="E135" s="14">
        <f>SALES_EDA!B122</f>
        <v>131842.57163224401</v>
      </c>
      <c r="F135" s="1"/>
      <c r="G135" s="1"/>
      <c r="H135" s="1"/>
      <c r="I135" s="1"/>
      <c r="J135" s="1"/>
    </row>
    <row r="136" spans="1:10" x14ac:dyDescent="0.3">
      <c r="A136" s="5">
        <f>SALES_EDA!A123</f>
        <v>41759.083333333336</v>
      </c>
      <c r="B136" s="15">
        <f>SALES_EDA!M123</f>
        <v>35.209199012660527</v>
      </c>
      <c r="C136" s="15">
        <f>SALES_EDA!T123</f>
        <v>34.062178256566654</v>
      </c>
      <c r="D136" s="6">
        <f>SALES_EDA!D123</f>
        <v>4398</v>
      </c>
      <c r="E136" s="14">
        <f>SALES_EDA!B123</f>
        <v>154850.05725768101</v>
      </c>
      <c r="F136" s="1"/>
      <c r="G136" s="1"/>
      <c r="H136" s="1"/>
      <c r="I136" s="1"/>
      <c r="J136" s="1"/>
    </row>
    <row r="137" spans="1:10" x14ac:dyDescent="0.3">
      <c r="A137" s="5">
        <f>SALES_EDA!A124</f>
        <v>41760.083333333336</v>
      </c>
      <c r="B137" s="15">
        <f>SALES_EDA!M124</f>
        <v>35.186235115149884</v>
      </c>
      <c r="C137" s="15">
        <f>SALES_EDA!T124</f>
        <v>34.09582515627983</v>
      </c>
      <c r="D137" s="6">
        <f>SALES_EDA!D124</f>
        <v>5124</v>
      </c>
      <c r="E137" s="14">
        <f>SALES_EDA!B124</f>
        <v>180294.26873002801</v>
      </c>
      <c r="F137" s="1"/>
      <c r="G137" s="1"/>
      <c r="H137" s="1"/>
      <c r="I137" s="1"/>
      <c r="J137" s="1"/>
    </row>
    <row r="138" spans="1:10" x14ac:dyDescent="0.3">
      <c r="A138" s="5">
        <f>SALES_EDA!A125</f>
        <v>41761.083333333336</v>
      </c>
      <c r="B138" s="15">
        <f>SALES_EDA!M125</f>
        <v>35.767089244636757</v>
      </c>
      <c r="C138" s="15">
        <f>SALES_EDA!T125</f>
        <v>34.154214442293572</v>
      </c>
      <c r="D138" s="6">
        <f>SALES_EDA!D125</f>
        <v>4581</v>
      </c>
      <c r="E138" s="14">
        <f>SALES_EDA!B125</f>
        <v>163849.035829681</v>
      </c>
      <c r="F138" s="1"/>
      <c r="G138" s="1"/>
      <c r="H138" s="1"/>
      <c r="I138" s="1"/>
      <c r="J138" s="1"/>
    </row>
    <row r="139" spans="1:10" x14ac:dyDescent="0.3">
      <c r="A139" s="5">
        <f>SALES_EDA!A126</f>
        <v>41762.083333333336</v>
      </c>
      <c r="B139" s="15">
        <f>SALES_EDA!M126</f>
        <v>35.552283594114414</v>
      </c>
      <c r="C139" s="15">
        <f>SALES_EDA!T126</f>
        <v>34.20509009374549</v>
      </c>
      <c r="D139" s="6">
        <f>SALES_EDA!D126</f>
        <v>3697</v>
      </c>
      <c r="E139" s="14">
        <f>SALES_EDA!B126</f>
        <v>131436.792447441</v>
      </c>
      <c r="F139" s="1"/>
      <c r="G139" s="1"/>
      <c r="H139" s="1"/>
      <c r="I139" s="1"/>
      <c r="J139" s="1"/>
    </row>
    <row r="140" spans="1:10" x14ac:dyDescent="0.3">
      <c r="A140" s="5">
        <f>SALES_EDA!A127</f>
        <v>41763.083333333336</v>
      </c>
      <c r="B140" s="15">
        <f>SALES_EDA!M127</f>
        <v>35.23165933266192</v>
      </c>
      <c r="C140" s="15">
        <f>SALES_EDA!T127</f>
        <v>34.236622269936966</v>
      </c>
      <c r="D140" s="6">
        <f>SALES_EDA!D127</f>
        <v>2642</v>
      </c>
      <c r="E140" s="14">
        <f>SALES_EDA!B127</f>
        <v>93082.043956892798</v>
      </c>
      <c r="F140" s="1"/>
      <c r="G140" s="1"/>
      <c r="H140" s="1"/>
      <c r="I140" s="1"/>
      <c r="J140" s="1"/>
    </row>
    <row r="141" spans="1:10" x14ac:dyDescent="0.3">
      <c r="A141" s="5">
        <f>SALES_EDA!A128</f>
        <v>41764.083333333336</v>
      </c>
      <c r="B141" s="15">
        <f>SALES_EDA!M128</f>
        <v>35.157581895121119</v>
      </c>
      <c r="C141" s="15">
        <f>SALES_EDA!T128</f>
        <v>34.263444079262094</v>
      </c>
      <c r="D141" s="6">
        <f>SALES_EDA!D128</f>
        <v>3154</v>
      </c>
      <c r="E141" s="14">
        <f>SALES_EDA!B128</f>
        <v>110887.013297212</v>
      </c>
      <c r="F141" s="1"/>
      <c r="G141" s="1"/>
      <c r="H141" s="1"/>
      <c r="I141" s="1"/>
      <c r="J141" s="1"/>
    </row>
    <row r="142" spans="1:10" x14ac:dyDescent="0.3">
      <c r="A142" s="5">
        <f>SALES_EDA!A129</f>
        <v>41765.083333333336</v>
      </c>
      <c r="B142" s="15">
        <f>SALES_EDA!M129</f>
        <v>35.91623807700271</v>
      </c>
      <c r="C142" s="15">
        <f>SALES_EDA!T129</f>
        <v>34.308054587615956</v>
      </c>
      <c r="D142" s="6">
        <f>SALES_EDA!D129</f>
        <v>3324</v>
      </c>
      <c r="E142" s="14">
        <f>SALES_EDA!B129</f>
        <v>119385.575367957</v>
      </c>
      <c r="F142" s="1"/>
      <c r="G142" s="1"/>
      <c r="H142" s="1"/>
      <c r="I142" s="1"/>
      <c r="J142" s="1"/>
    </row>
    <row r="143" spans="1:10" x14ac:dyDescent="0.3">
      <c r="A143" s="5">
        <f>SALES_EDA!A130</f>
        <v>41766.083333333336</v>
      </c>
      <c r="B143" s="15">
        <f>SALES_EDA!M130</f>
        <v>34.262080455299774</v>
      </c>
      <c r="C143" s="15">
        <f>SALES_EDA!T130</f>
        <v>34.309229649224612</v>
      </c>
      <c r="D143" s="6">
        <f>SALES_EDA!D130</f>
        <v>2677</v>
      </c>
      <c r="E143" s="14">
        <f>SALES_EDA!B130</f>
        <v>91719.589378837496</v>
      </c>
      <c r="F143" s="1"/>
      <c r="G143" s="1"/>
      <c r="H143" s="1"/>
      <c r="I143" s="1"/>
      <c r="J143" s="1"/>
    </row>
    <row r="144" spans="1:10" x14ac:dyDescent="0.3">
      <c r="A144" s="5">
        <f>SALES_EDA!A131</f>
        <v>41767.083333333336</v>
      </c>
      <c r="B144" s="15">
        <f>SALES_EDA!M131</f>
        <v>35.9058699036107</v>
      </c>
      <c r="C144" s="15">
        <f>SALES_EDA!T131</f>
        <v>34.338135706743721</v>
      </c>
      <c r="D144" s="6">
        <f>SALES_EDA!D131</f>
        <v>2683</v>
      </c>
      <c r="E144" s="14">
        <f>SALES_EDA!B131</f>
        <v>96335.448951387501</v>
      </c>
      <c r="F144" s="1"/>
      <c r="G144" s="1"/>
      <c r="H144" s="1"/>
      <c r="I144" s="1"/>
      <c r="J144" s="1"/>
    </row>
    <row r="145" spans="1:10" x14ac:dyDescent="0.3">
      <c r="A145" s="5">
        <f>SALES_EDA!A132</f>
        <v>41768.083333333336</v>
      </c>
      <c r="B145" s="15">
        <f>SALES_EDA!M132</f>
        <v>32.507107456502354</v>
      </c>
      <c r="C145" s="15">
        <f>SALES_EDA!T132</f>
        <v>34.2538859268832</v>
      </c>
      <c r="D145" s="6">
        <f>SALES_EDA!D132</f>
        <v>9328</v>
      </c>
      <c r="E145" s="14">
        <f>SALES_EDA!B132</f>
        <v>303226.29835425399</v>
      </c>
      <c r="F145" s="1"/>
      <c r="G145" s="1"/>
      <c r="H145" s="1"/>
      <c r="I145" s="1"/>
      <c r="J145" s="1"/>
    </row>
    <row r="146" spans="1:10" x14ac:dyDescent="0.3">
      <c r="A146" s="5">
        <f>SALES_EDA!A133</f>
        <v>41769.083333333336</v>
      </c>
      <c r="B146" s="15">
        <f>SALES_EDA!M133</f>
        <v>32.443687747435746</v>
      </c>
      <c r="C146" s="15">
        <f>SALES_EDA!T133</f>
        <v>34.224273472441489</v>
      </c>
      <c r="D146" s="6">
        <f>SALES_EDA!D133</f>
        <v>13306</v>
      </c>
      <c r="E146" s="14">
        <f>SALES_EDA!B133</f>
        <v>431695.70916738</v>
      </c>
      <c r="F146" s="1"/>
      <c r="G146" s="1"/>
      <c r="H146" s="1"/>
      <c r="I146" s="1"/>
      <c r="J146" s="1"/>
    </row>
    <row r="147" spans="1:10" x14ac:dyDescent="0.3">
      <c r="A147" s="5">
        <f>SALES_EDA!A134</f>
        <v>41770.083333333336</v>
      </c>
      <c r="B147" s="15">
        <f>SALES_EDA!M134</f>
        <v>32.465134791437222</v>
      </c>
      <c r="C147" s="15">
        <f>SALES_EDA!T134</f>
        <v>34.195856460366805</v>
      </c>
      <c r="D147" s="6">
        <f>SALES_EDA!D134</f>
        <v>6173</v>
      </c>
      <c r="E147" s="14">
        <f>SALES_EDA!B134</f>
        <v>200407.27706754199</v>
      </c>
      <c r="F147" s="1"/>
      <c r="G147" s="1"/>
      <c r="H147" s="1"/>
      <c r="I147" s="1"/>
      <c r="J147" s="1"/>
    </row>
    <row r="148" spans="1:10" x14ac:dyDescent="0.3">
      <c r="A148" s="5">
        <f>SALES_EDA!A135</f>
        <v>41771.083333333336</v>
      </c>
      <c r="B148" s="15">
        <f>SALES_EDA!M135</f>
        <v>32.445375614317356</v>
      </c>
      <c r="C148" s="15">
        <f>SALES_EDA!T135</f>
        <v>34.166165693962007</v>
      </c>
      <c r="D148" s="6">
        <f>SALES_EDA!D135</f>
        <v>5653</v>
      </c>
      <c r="E148" s="14">
        <f>SALES_EDA!B135</f>
        <v>183413.70834773601</v>
      </c>
      <c r="F148" s="1"/>
      <c r="G148" s="1"/>
      <c r="H148" s="1"/>
      <c r="I148" s="1"/>
      <c r="J148" s="1"/>
    </row>
    <row r="149" spans="1:10" x14ac:dyDescent="0.3">
      <c r="A149" s="5">
        <f>SALES_EDA!A136</f>
        <v>41772.083333333336</v>
      </c>
      <c r="B149" s="15">
        <f>SALES_EDA!M136</f>
        <v>32.459827031930267</v>
      </c>
      <c r="C149" s="15">
        <f>SALES_EDA!T136</f>
        <v>34.136646630395262</v>
      </c>
      <c r="D149" s="6">
        <f>SALES_EDA!D136</f>
        <v>4503</v>
      </c>
      <c r="E149" s="14">
        <f>SALES_EDA!B136</f>
        <v>146166.601124782</v>
      </c>
      <c r="F149" s="1"/>
      <c r="G149" s="1"/>
      <c r="H149" s="1"/>
      <c r="I149" s="1"/>
      <c r="J149" s="1"/>
    </row>
    <row r="150" spans="1:10" x14ac:dyDescent="0.3">
      <c r="A150" s="5">
        <f>SALES_EDA!A137</f>
        <v>41773.083333333336</v>
      </c>
      <c r="B150" s="15">
        <f>SALES_EDA!M137</f>
        <v>32.163877761205022</v>
      </c>
      <c r="C150" s="15">
        <f>SALES_EDA!T137</f>
        <v>34.097747043618284</v>
      </c>
      <c r="D150" s="6">
        <f>SALES_EDA!D137</f>
        <v>6253</v>
      </c>
      <c r="E150" s="14">
        <f>SALES_EDA!B137</f>
        <v>201120.72764081499</v>
      </c>
      <c r="F150" s="1"/>
      <c r="G150" s="1"/>
      <c r="H150" s="1"/>
      <c r="I150" s="1"/>
      <c r="J150" s="1"/>
    </row>
    <row r="151" spans="1:10" x14ac:dyDescent="0.3">
      <c r="A151" s="5">
        <f>SALES_EDA!A138</f>
        <v>41774.083333333336</v>
      </c>
      <c r="B151" s="15">
        <f>SALES_EDA!M138</f>
        <v>32.126968461385353</v>
      </c>
      <c r="C151" s="15">
        <f>SALES_EDA!T138</f>
        <v>34.057954972752228</v>
      </c>
      <c r="D151" s="6">
        <f>SALES_EDA!D138</f>
        <v>8408</v>
      </c>
      <c r="E151" s="14">
        <f>SALES_EDA!B138</f>
        <v>270123.55082332803</v>
      </c>
      <c r="F151" s="1"/>
      <c r="G151" s="1"/>
      <c r="H151" s="1"/>
      <c r="I151" s="1"/>
      <c r="J151" s="1"/>
    </row>
    <row r="152" spans="1:10" x14ac:dyDescent="0.3">
      <c r="A152" s="5">
        <f>SALES_EDA!A139</f>
        <v>41775.083333333336</v>
      </c>
      <c r="B152" s="15">
        <f>SALES_EDA!M139</f>
        <v>32.073162711270911</v>
      </c>
      <c r="C152" s="15">
        <f>SALES_EDA!T139</f>
        <v>34.015986780892156</v>
      </c>
      <c r="D152" s="6">
        <f>SALES_EDA!D139</f>
        <v>12949</v>
      </c>
      <c r="E152" s="14">
        <f>SALES_EDA!B139</f>
        <v>415315.38394824701</v>
      </c>
      <c r="F152" s="1"/>
      <c r="G152" s="1"/>
      <c r="H152" s="1"/>
      <c r="I152" s="1"/>
      <c r="J152" s="1"/>
    </row>
    <row r="153" spans="1:10" x14ac:dyDescent="0.3">
      <c r="A153" s="5">
        <f>SALES_EDA!A140</f>
        <v>41776.083333333336</v>
      </c>
      <c r="B153" s="15">
        <f>SALES_EDA!M140</f>
        <v>32.158692130191774</v>
      </c>
      <c r="C153" s="15">
        <f>SALES_EDA!T140</f>
        <v>33.976766725474285</v>
      </c>
      <c r="D153" s="6">
        <f>SALES_EDA!D140</f>
        <v>15508</v>
      </c>
      <c r="E153" s="14">
        <f>SALES_EDA!B140</f>
        <v>498716.99755501398</v>
      </c>
      <c r="F153" s="1"/>
      <c r="G153" s="1"/>
      <c r="H153" s="1"/>
      <c r="I153" s="1"/>
      <c r="J153" s="1"/>
    </row>
    <row r="154" spans="1:10" x14ac:dyDescent="0.3">
      <c r="A154" s="5">
        <f>SALES_EDA!A141</f>
        <v>41777.083333333336</v>
      </c>
      <c r="B154" s="15">
        <f>SALES_EDA!M141</f>
        <v>32.373696193203656</v>
      </c>
      <c r="C154" s="15">
        <f>SALES_EDA!T141</f>
        <v>33.944422887752417</v>
      </c>
      <c r="D154" s="6">
        <f>SALES_EDA!D141</f>
        <v>5141</v>
      </c>
      <c r="E154" s="14">
        <f>SALES_EDA!B141</f>
        <v>166433.17212926</v>
      </c>
      <c r="F154" s="1"/>
      <c r="G154" s="1"/>
      <c r="H154" s="1"/>
      <c r="I154" s="1"/>
      <c r="J154" s="1"/>
    </row>
    <row r="155" spans="1:10" x14ac:dyDescent="0.3">
      <c r="A155" s="5">
        <f>SALES_EDA!A142</f>
        <v>41778.083333333336</v>
      </c>
      <c r="B155" s="15">
        <f>SALES_EDA!M142</f>
        <v>32.445250167005973</v>
      </c>
      <c r="C155" s="15">
        <f>SALES_EDA!T142</f>
        <v>33.914776117690344</v>
      </c>
      <c r="D155" s="6">
        <f>SALES_EDA!D142</f>
        <v>5194</v>
      </c>
      <c r="E155" s="14">
        <f>SALES_EDA!B142</f>
        <v>168520.62936742901</v>
      </c>
      <c r="F155" s="1"/>
      <c r="G155" s="1"/>
      <c r="H155" s="1"/>
      <c r="I155" s="1"/>
      <c r="J155" s="1"/>
    </row>
    <row r="156" spans="1:10" x14ac:dyDescent="0.3">
      <c r="A156" s="5">
        <f>SALES_EDA!A143</f>
        <v>41779.083333333336</v>
      </c>
      <c r="B156" s="15">
        <f>SALES_EDA!M143</f>
        <v>32.094330109826124</v>
      </c>
      <c r="C156" s="15">
        <f>SALES_EDA!T143</f>
        <v>33.873674539901131</v>
      </c>
      <c r="D156" s="6">
        <f>SALES_EDA!D143</f>
        <v>5550</v>
      </c>
      <c r="E156" s="14">
        <f>SALES_EDA!B143</f>
        <v>178123.53210953501</v>
      </c>
      <c r="F156" s="1"/>
      <c r="G156" s="1"/>
      <c r="H156" s="1"/>
      <c r="I156" s="1"/>
      <c r="J156" s="1"/>
    </row>
    <row r="157" spans="1:10" x14ac:dyDescent="0.3">
      <c r="A157" s="5">
        <f>SALES_EDA!A144</f>
        <v>41780.083333333336</v>
      </c>
      <c r="B157" s="15">
        <f>SALES_EDA!M144</f>
        <v>32.105239313777759</v>
      </c>
      <c r="C157" s="15">
        <f>SALES_EDA!T144</f>
        <v>33.832479576724133</v>
      </c>
      <c r="D157" s="6">
        <f>SALES_EDA!D144</f>
        <v>6070</v>
      </c>
      <c r="E157" s="14">
        <f>SALES_EDA!B144</f>
        <v>194878.80263463099</v>
      </c>
      <c r="F157" s="1"/>
      <c r="G157" s="1"/>
      <c r="H157" s="1"/>
      <c r="I157" s="1"/>
      <c r="J157" s="1"/>
    </row>
    <row r="158" spans="1:10" x14ac:dyDescent="0.3">
      <c r="A158" s="5">
        <f>SALES_EDA!A145</f>
        <v>41781.083333333336</v>
      </c>
      <c r="B158" s="15">
        <f>SALES_EDA!M145</f>
        <v>33.754778397035956</v>
      </c>
      <c r="C158" s="15">
        <f>SALES_EDA!T145</f>
        <v>33.846630354370809</v>
      </c>
      <c r="D158" s="6">
        <f>SALES_EDA!D145</f>
        <v>3421</v>
      </c>
      <c r="E158" s="14">
        <f>SALES_EDA!B145</f>
        <v>115475.09689626</v>
      </c>
      <c r="F158" s="1"/>
      <c r="G158" s="1"/>
      <c r="H158" s="1"/>
      <c r="I158" s="1"/>
      <c r="J158" s="1"/>
    </row>
    <row r="159" spans="1:10" x14ac:dyDescent="0.3">
      <c r="A159" s="5">
        <f>SALES_EDA!A146</f>
        <v>41782.083333333336</v>
      </c>
      <c r="B159" s="15">
        <f>SALES_EDA!M146</f>
        <v>32.166842837616187</v>
      </c>
      <c r="C159" s="15">
        <f>SALES_EDA!T146</f>
        <v>33.750873694829856</v>
      </c>
      <c r="D159" s="6">
        <f>SALES_EDA!D146</f>
        <v>13384</v>
      </c>
      <c r="E159" s="14">
        <f>SALES_EDA!B146</f>
        <v>430521.02453865501</v>
      </c>
      <c r="F159" s="1"/>
      <c r="G159" s="1"/>
      <c r="H159" s="1"/>
      <c r="I159" s="1"/>
      <c r="J159" s="1"/>
    </row>
    <row r="160" spans="1:10" x14ac:dyDescent="0.3">
      <c r="A160" s="5">
        <f>SALES_EDA!A147</f>
        <v>41783.083333333336</v>
      </c>
      <c r="B160" s="15">
        <f>SALES_EDA!M147</f>
        <v>32.177098804785572</v>
      </c>
      <c r="C160" s="15">
        <f>SALES_EDA!T147</f>
        <v>33.655410973023194</v>
      </c>
      <c r="D160" s="6">
        <f>SALES_EDA!D147</f>
        <v>18356</v>
      </c>
      <c r="E160" s="14">
        <f>SALES_EDA!B147</f>
        <v>590642.82566064398</v>
      </c>
      <c r="F160" s="1"/>
      <c r="G160" s="1"/>
      <c r="H160" s="1"/>
      <c r="I160" s="1"/>
      <c r="J160" s="1"/>
    </row>
    <row r="161" spans="1:10" x14ac:dyDescent="0.3">
      <c r="A161" s="5">
        <f>SALES_EDA!A148</f>
        <v>41784.083333333336</v>
      </c>
      <c r="B161" s="15">
        <f>SALES_EDA!M148</f>
        <v>32.425341223429385</v>
      </c>
      <c r="C161" s="15">
        <f>SALES_EDA!T148</f>
        <v>33.581512222730481</v>
      </c>
      <c r="D161" s="6">
        <f>SALES_EDA!D148</f>
        <v>6500</v>
      </c>
      <c r="E161" s="14">
        <f>SALES_EDA!B148</f>
        <v>210764.71795229099</v>
      </c>
      <c r="F161" s="1"/>
      <c r="G161" s="1"/>
      <c r="H161" s="1"/>
      <c r="I161" s="1"/>
      <c r="J161" s="1"/>
    </row>
    <row r="162" spans="1:10" x14ac:dyDescent="0.3">
      <c r="A162" s="5">
        <f>SALES_EDA!A149</f>
        <v>41785.083333333336</v>
      </c>
      <c r="B162" s="15">
        <f>SALES_EDA!M149</f>
        <v>32.314773181493926</v>
      </c>
      <c r="C162" s="15">
        <f>SALES_EDA!T149</f>
        <v>33.501185723821784</v>
      </c>
      <c r="D162" s="6">
        <f>SALES_EDA!D149</f>
        <v>6752</v>
      </c>
      <c r="E162" s="14">
        <f>SALES_EDA!B149</f>
        <v>218189.34852144701</v>
      </c>
      <c r="F162" s="1"/>
      <c r="G162" s="1"/>
      <c r="H162" s="1"/>
      <c r="I162" s="1"/>
      <c r="J162" s="1"/>
    </row>
    <row r="163" spans="1:10" x14ac:dyDescent="0.3">
      <c r="A163" s="5">
        <f>SALES_EDA!A150</f>
        <v>41786.083333333336</v>
      </c>
      <c r="B163" s="15">
        <f>SALES_EDA!M150</f>
        <v>32.198841510659548</v>
      </c>
      <c r="C163" s="15">
        <f>SALES_EDA!T150</f>
        <v>33.414821973248564</v>
      </c>
      <c r="D163" s="6">
        <f>SALES_EDA!D150</f>
        <v>7023</v>
      </c>
      <c r="E163" s="14">
        <f>SALES_EDA!B150</f>
        <v>226132.46392936201</v>
      </c>
      <c r="F163" s="1"/>
      <c r="G163" s="1"/>
      <c r="H163" s="1"/>
      <c r="I163" s="1"/>
      <c r="J163" s="1"/>
    </row>
    <row r="164" spans="1:10" x14ac:dyDescent="0.3">
      <c r="A164" s="5">
        <f>SALES_EDA!A151</f>
        <v>41787.083333333336</v>
      </c>
      <c r="B164" s="15">
        <f>SALES_EDA!M151</f>
        <v>32.157391218507321</v>
      </c>
      <c r="C164" s="15">
        <f>SALES_EDA!T151</f>
        <v>33.329242393133207</v>
      </c>
      <c r="D164" s="6">
        <f>SALES_EDA!D151</f>
        <v>7579</v>
      </c>
      <c r="E164" s="14">
        <f>SALES_EDA!B151</f>
        <v>243720.86804506701</v>
      </c>
      <c r="F164" s="1"/>
      <c r="G164" s="1"/>
      <c r="H164" s="1"/>
      <c r="I164" s="1"/>
      <c r="J164" s="1"/>
    </row>
    <row r="165" spans="1:10" x14ac:dyDescent="0.3">
      <c r="A165" s="5">
        <f>SALES_EDA!A152</f>
        <v>41788.083333333336</v>
      </c>
      <c r="B165" s="15">
        <f>SALES_EDA!M152</f>
        <v>32.169576465281637</v>
      </c>
      <c r="C165" s="15">
        <f>SALES_EDA!T152</f>
        <v>33.247174325285229</v>
      </c>
      <c r="D165" s="6">
        <f>SALES_EDA!D152</f>
        <v>6448</v>
      </c>
      <c r="E165" s="14">
        <f>SALES_EDA!B152</f>
        <v>207429.42904813599</v>
      </c>
      <c r="F165" s="1"/>
      <c r="G165" s="1"/>
      <c r="H165" s="1"/>
      <c r="I165" s="1"/>
      <c r="J165" s="1"/>
    </row>
    <row r="166" spans="1:10" x14ac:dyDescent="0.3">
      <c r="A166" s="5">
        <f>SALES_EDA!A153</f>
        <v>41789.083333333336</v>
      </c>
      <c r="B166" s="15">
        <f>SALES_EDA!M153</f>
        <v>32.176851783932214</v>
      </c>
      <c r="C166" s="15">
        <f>SALES_EDA!T153</f>
        <v>33.146096084327624</v>
      </c>
      <c r="D166" s="6">
        <f>SALES_EDA!D153</f>
        <v>15637</v>
      </c>
      <c r="E166" s="14">
        <f>SALES_EDA!B153</f>
        <v>503149.43134534801</v>
      </c>
      <c r="F166" s="1"/>
      <c r="G166" s="1"/>
      <c r="H166" s="1"/>
      <c r="I166" s="1"/>
      <c r="J166" s="1"/>
    </row>
    <row r="167" spans="1:10" x14ac:dyDescent="0.3">
      <c r="A167" s="5">
        <f>SALES_EDA!A154</f>
        <v>41790.083333333336</v>
      </c>
      <c r="B167" s="15">
        <f>SALES_EDA!M154</f>
        <v>32.157059362241071</v>
      </c>
      <c r="C167" s="15">
        <f>SALES_EDA!T154</f>
        <v>33.04512355923066</v>
      </c>
      <c r="D167" s="6">
        <f>SALES_EDA!D154</f>
        <v>18775</v>
      </c>
      <c r="E167" s="14">
        <f>SALES_EDA!B154</f>
        <v>603748.78952607606</v>
      </c>
      <c r="F167" s="1"/>
      <c r="G167" s="1"/>
      <c r="H167" s="1"/>
      <c r="I167" s="1"/>
      <c r="J167" s="1"/>
    </row>
    <row r="168" spans="1:10" x14ac:dyDescent="0.3">
      <c r="A168" s="5">
        <f>SALES_EDA!A155</f>
        <v>41791.083333333336</v>
      </c>
      <c r="B168" s="15">
        <f>SALES_EDA!M155</f>
        <v>32.141067316935157</v>
      </c>
      <c r="C168" s="15">
        <f>SALES_EDA!T155</f>
        <v>32.924256161640606</v>
      </c>
      <c r="D168" s="6">
        <f>SALES_EDA!D155</f>
        <v>14188</v>
      </c>
      <c r="E168" s="14">
        <f>SALES_EDA!B155</f>
        <v>456017.46309267601</v>
      </c>
      <c r="F168" s="1"/>
      <c r="G168" s="1"/>
      <c r="H168" s="1"/>
      <c r="I168" s="1"/>
      <c r="J168" s="1"/>
    </row>
    <row r="169" spans="1:10" x14ac:dyDescent="0.3">
      <c r="A169" s="5">
        <f>SALES_EDA!A156</f>
        <v>41792.083333333336</v>
      </c>
      <c r="B169" s="15">
        <f>SALES_EDA!M156</f>
        <v>32.124713038980161</v>
      </c>
      <c r="C169" s="15">
        <f>SALES_EDA!T156</f>
        <v>32.810003809802801</v>
      </c>
      <c r="D169" s="6">
        <f>SALES_EDA!D156</f>
        <v>13256</v>
      </c>
      <c r="E169" s="14">
        <f>SALES_EDA!B156</f>
        <v>425845.196044721</v>
      </c>
      <c r="F169" s="1"/>
      <c r="G169" s="1"/>
      <c r="H169" s="1"/>
      <c r="I169" s="1"/>
      <c r="J169" s="1"/>
    </row>
    <row r="170" spans="1:10" x14ac:dyDescent="0.3">
      <c r="A170" s="5">
        <f>SALES_EDA!A157</f>
        <v>41793.083333333336</v>
      </c>
      <c r="B170" s="15">
        <f>SALES_EDA!M157</f>
        <v>32.105817270140562</v>
      </c>
      <c r="C170" s="15">
        <f>SALES_EDA!T157</f>
        <v>32.705809074385421</v>
      </c>
      <c r="D170" s="6">
        <f>SALES_EDA!D157</f>
        <v>10223</v>
      </c>
      <c r="E170" s="14">
        <f>SALES_EDA!B157</f>
        <v>328217.76995264698</v>
      </c>
      <c r="F170" s="1"/>
      <c r="G170" s="1"/>
      <c r="H170" s="1"/>
      <c r="I170" s="1"/>
      <c r="J170" s="1"/>
    </row>
    <row r="171" spans="1:10" x14ac:dyDescent="0.3">
      <c r="A171" s="5">
        <f>SALES_EDA!A158</f>
        <v>41794.083333333336</v>
      </c>
      <c r="B171" s="15">
        <f>SALES_EDA!M158</f>
        <v>32.165992677729449</v>
      </c>
      <c r="C171" s="15">
        <f>SALES_EDA!T158</f>
        <v>32.6060894338057</v>
      </c>
      <c r="D171" s="6">
        <f>SALES_EDA!D158</f>
        <v>8904</v>
      </c>
      <c r="E171" s="14">
        <f>SALES_EDA!B158</f>
        <v>286405.99880250299</v>
      </c>
      <c r="F171" s="1"/>
      <c r="G171" s="1"/>
      <c r="H171" s="1"/>
      <c r="I171" s="1"/>
      <c r="J171" s="1"/>
    </row>
    <row r="172" spans="1:10" x14ac:dyDescent="0.3">
      <c r="A172" s="5">
        <f>SALES_EDA!A159</f>
        <v>41795.083333333336</v>
      </c>
      <c r="B172" s="15">
        <f>SALES_EDA!M159</f>
        <v>31.988567986663671</v>
      </c>
      <c r="C172" s="15">
        <f>SALES_EDA!T159</f>
        <v>32.475167097461068</v>
      </c>
      <c r="D172" s="6">
        <f>SALES_EDA!D159</f>
        <v>5783</v>
      </c>
      <c r="E172" s="14">
        <f>SALES_EDA!B159</f>
        <v>184989.88866687601</v>
      </c>
      <c r="F172" s="1"/>
      <c r="G172" s="1"/>
      <c r="H172" s="1"/>
      <c r="I172" s="1"/>
      <c r="J172" s="1"/>
    </row>
    <row r="173" spans="1:10" x14ac:dyDescent="0.3">
      <c r="A173" s="5">
        <f>SALES_EDA!A160</f>
        <v>41796.083333333336</v>
      </c>
      <c r="B173" s="15">
        <f>SALES_EDA!M160</f>
        <v>31.995369733198885</v>
      </c>
      <c r="C173" s="15">
        <f>SALES_EDA!T160</f>
        <v>32.399610073391038</v>
      </c>
      <c r="D173" s="6">
        <f>SALES_EDA!D160</f>
        <v>9005</v>
      </c>
      <c r="E173" s="14">
        <f>SALES_EDA!B160</f>
        <v>288118.30444745597</v>
      </c>
      <c r="F173" s="1"/>
      <c r="G173" s="1"/>
      <c r="H173" s="1"/>
      <c r="I173" s="1"/>
      <c r="J173" s="1"/>
    </row>
    <row r="174" spans="1:10" x14ac:dyDescent="0.3">
      <c r="A174" s="5">
        <f>SALES_EDA!A161</f>
        <v>41797.083333333336</v>
      </c>
      <c r="B174" s="15">
        <f>SALES_EDA!M161</f>
        <v>32.067654885424723</v>
      </c>
      <c r="C174" s="15">
        <f>SALES_EDA!T161</f>
        <v>32.271669572784837</v>
      </c>
      <c r="D174" s="6">
        <f>SALES_EDA!D161</f>
        <v>12222</v>
      </c>
      <c r="E174" s="14">
        <f>SALES_EDA!B161</f>
        <v>391930.87800966098</v>
      </c>
      <c r="F174" s="1"/>
      <c r="G174" s="1"/>
      <c r="H174" s="1"/>
      <c r="I174" s="1"/>
      <c r="J174" s="1"/>
    </row>
    <row r="175" spans="1:10" x14ac:dyDescent="0.3">
      <c r="A175" s="5">
        <f>SALES_EDA!A162</f>
        <v>41798.083333333336</v>
      </c>
      <c r="B175" s="15">
        <f>SALES_EDA!M162</f>
        <v>32.097495628424213</v>
      </c>
      <c r="C175" s="15">
        <f>SALES_EDA!T162</f>
        <v>32.258015845182236</v>
      </c>
      <c r="D175" s="6">
        <f>SALES_EDA!D162</f>
        <v>6037</v>
      </c>
      <c r="E175" s="14">
        <f>SALES_EDA!B162</f>
        <v>193772.58110879699</v>
      </c>
      <c r="F175" s="1"/>
      <c r="G175" s="1"/>
      <c r="H175" s="1"/>
      <c r="I175" s="1"/>
      <c r="J175" s="1"/>
    </row>
    <row r="176" spans="1:10" x14ac:dyDescent="0.3">
      <c r="A176" s="5">
        <f>SALES_EDA!A163</f>
        <v>41799.083333333336</v>
      </c>
      <c r="B176" s="15">
        <f>SALES_EDA!M163</f>
        <v>32.416828128139549</v>
      </c>
      <c r="C176" s="15">
        <f>SALES_EDA!T163</f>
        <v>32.257120524539019</v>
      </c>
      <c r="D176" s="6">
        <f>SALES_EDA!D163</f>
        <v>6607</v>
      </c>
      <c r="E176" s="14">
        <f>SALES_EDA!B163</f>
        <v>214177.98344261799</v>
      </c>
      <c r="F176" s="1"/>
      <c r="G176" s="1"/>
      <c r="H176" s="1"/>
      <c r="I176" s="1"/>
      <c r="J176" s="1"/>
    </row>
    <row r="177" spans="1:10" x14ac:dyDescent="0.3">
      <c r="A177" s="5">
        <f>SALES_EDA!A164</f>
        <v>41800.083333333336</v>
      </c>
      <c r="B177" s="15">
        <f>SALES_EDA!M164</f>
        <v>32.155458625692333</v>
      </c>
      <c r="C177" s="15">
        <f>SALES_EDA!T164</f>
        <v>32.246797985680857</v>
      </c>
      <c r="D177" s="6">
        <f>SALES_EDA!D164</f>
        <v>5857</v>
      </c>
      <c r="E177" s="14">
        <f>SALES_EDA!B164</f>
        <v>188334.52117068</v>
      </c>
      <c r="F177" s="1"/>
      <c r="G177" s="1"/>
      <c r="H177" s="1"/>
      <c r="I177" s="1"/>
      <c r="J177" s="1"/>
    </row>
    <row r="178" spans="1:10" x14ac:dyDescent="0.3">
      <c r="A178" s="5">
        <f>SALES_EDA!A165</f>
        <v>41801.083333333336</v>
      </c>
      <c r="B178" s="15">
        <f>SALES_EDA!M165</f>
        <v>32.109964047791493</v>
      </c>
      <c r="C178" s="15">
        <f>SALES_EDA!T165</f>
        <v>32.235617600129999</v>
      </c>
      <c r="D178" s="6">
        <f>SALES_EDA!D165</f>
        <v>5429</v>
      </c>
      <c r="E178" s="14">
        <f>SALES_EDA!B165</f>
        <v>174324.99481546</v>
      </c>
      <c r="F178" s="1"/>
      <c r="G178" s="1"/>
      <c r="H178" s="1"/>
      <c r="I178" s="1"/>
      <c r="J178" s="1"/>
    </row>
    <row r="179" spans="1:10" x14ac:dyDescent="0.3">
      <c r="A179" s="5">
        <f>SALES_EDA!A166</f>
        <v>41802.083333333336</v>
      </c>
      <c r="B179" s="15">
        <f>SALES_EDA!M166</f>
        <v>32.136001976293322</v>
      </c>
      <c r="C179" s="15">
        <f>SALES_EDA!T166</f>
        <v>32.224823431608769</v>
      </c>
      <c r="D179" s="6">
        <f>SALES_EDA!D166</f>
        <v>6232</v>
      </c>
      <c r="E179" s="14">
        <f>SALES_EDA!B166</f>
        <v>200271.56431625999</v>
      </c>
      <c r="F179" s="1"/>
      <c r="G179" s="1"/>
      <c r="H179" s="1"/>
      <c r="I179" s="1"/>
      <c r="J179" s="1"/>
    </row>
    <row r="180" spans="1:10" x14ac:dyDescent="0.3">
      <c r="A180" s="5">
        <f>SALES_EDA!A167</f>
        <v>41803.083333333336</v>
      </c>
      <c r="B180" s="15">
        <f>SALES_EDA!M167</f>
        <v>32.135867684190195</v>
      </c>
      <c r="C180" s="15">
        <f>SALES_EDA!T167</f>
        <v>32.223889762374931</v>
      </c>
      <c r="D180" s="6">
        <f>SALES_EDA!D167</f>
        <v>14585</v>
      </c>
      <c r="E180" s="14">
        <f>SALES_EDA!B167</f>
        <v>468701.63017391402</v>
      </c>
      <c r="F180" s="1"/>
      <c r="G180" s="1"/>
      <c r="H180" s="1"/>
      <c r="I180" s="1"/>
      <c r="J180" s="1"/>
    </row>
    <row r="181" spans="1:10" x14ac:dyDescent="0.3">
      <c r="A181" s="5">
        <f>SALES_EDA!A168</f>
        <v>41804.083333333336</v>
      </c>
      <c r="B181" s="15">
        <f>SALES_EDA!M168</f>
        <v>32.10754521240753</v>
      </c>
      <c r="C181" s="15">
        <f>SALES_EDA!T168</f>
        <v>32.223242320742344</v>
      </c>
      <c r="D181" s="6">
        <f>SALES_EDA!D168</f>
        <v>14745</v>
      </c>
      <c r="E181" s="14">
        <f>SALES_EDA!B168</f>
        <v>473425.754156949</v>
      </c>
      <c r="F181" s="1"/>
      <c r="G181" s="1"/>
      <c r="H181" s="1"/>
      <c r="I181" s="1"/>
      <c r="J181" s="1"/>
    </row>
    <row r="182" spans="1:10" x14ac:dyDescent="0.3">
      <c r="A182" s="5">
        <f>SALES_EDA!A169</f>
        <v>41805.083333333336</v>
      </c>
      <c r="B182" s="15">
        <f>SALES_EDA!M169</f>
        <v>32.074398709068092</v>
      </c>
      <c r="C182" s="15">
        <f>SALES_EDA!T169</f>
        <v>32.223283520668915</v>
      </c>
      <c r="D182" s="6">
        <f>SALES_EDA!D169</f>
        <v>6991</v>
      </c>
      <c r="E182" s="14">
        <f>SALES_EDA!B169</f>
        <v>224232.12137509501</v>
      </c>
      <c r="F182" s="1"/>
      <c r="G182" s="1"/>
      <c r="H182" s="1"/>
      <c r="I182" s="1"/>
      <c r="J182" s="1"/>
    </row>
    <row r="183" spans="1:10" x14ac:dyDescent="0.3">
      <c r="A183" s="5">
        <f>SALES_EDA!A170</f>
        <v>41806.083333333336</v>
      </c>
      <c r="B183" s="15">
        <f>SALES_EDA!M170</f>
        <v>32.067428302469764</v>
      </c>
      <c r="C183" s="15">
        <f>SALES_EDA!T170</f>
        <v>32.220241393078176</v>
      </c>
      <c r="D183" s="6">
        <f>SALES_EDA!D170</f>
        <v>5788</v>
      </c>
      <c r="E183" s="14">
        <f>SALES_EDA!B170</f>
        <v>185606.27501469501</v>
      </c>
      <c r="F183" s="1"/>
      <c r="G183" s="1"/>
      <c r="H183" s="1"/>
      <c r="I183" s="1"/>
      <c r="J183" s="1"/>
    </row>
    <row r="184" spans="1:10" x14ac:dyDescent="0.3">
      <c r="A184" s="5">
        <f>SALES_EDA!A171</f>
        <v>41807.083333333336</v>
      </c>
      <c r="B184" s="15">
        <f>SALES_EDA!M171</f>
        <v>32.069889839386612</v>
      </c>
      <c r="C184" s="15">
        <f>SALES_EDA!T171</f>
        <v>32.210114514617615</v>
      </c>
      <c r="D184" s="6">
        <f>SALES_EDA!D171</f>
        <v>6632</v>
      </c>
      <c r="E184" s="14">
        <f>SALES_EDA!B171</f>
        <v>212687.509414812</v>
      </c>
      <c r="F184" s="1"/>
      <c r="G184" s="1"/>
      <c r="H184" s="1"/>
      <c r="I184" s="1"/>
      <c r="J184" s="1"/>
    </row>
    <row r="185" spans="1:10" x14ac:dyDescent="0.3">
      <c r="A185" s="5">
        <f>SALES_EDA!A172</f>
        <v>41808.083333333336</v>
      </c>
      <c r="B185" s="15">
        <f>SALES_EDA!M172</f>
        <v>32.034021630997913</v>
      </c>
      <c r="C185" s="15">
        <f>SALES_EDA!T172</f>
        <v>32.19640689675068</v>
      </c>
      <c r="D185" s="6">
        <f>SALES_EDA!D172</f>
        <v>5752</v>
      </c>
      <c r="E185" s="14">
        <f>SALES_EDA!B172</f>
        <v>184259.69242149999</v>
      </c>
      <c r="F185" s="1"/>
      <c r="G185" s="1"/>
      <c r="H185" s="1"/>
      <c r="I185" s="1"/>
      <c r="J185" s="1"/>
    </row>
    <row r="186" spans="1:10" x14ac:dyDescent="0.3">
      <c r="A186" s="5">
        <f>SALES_EDA!A173</f>
        <v>41809.083333333336</v>
      </c>
      <c r="B186" s="15">
        <f>SALES_EDA!M173</f>
        <v>31.7875394515872</v>
      </c>
      <c r="C186" s="15">
        <f>SALES_EDA!T173</f>
        <v>32.186180541476048</v>
      </c>
      <c r="D186" s="6">
        <f>SALES_EDA!D173</f>
        <v>3578</v>
      </c>
      <c r="E186" s="14">
        <f>SALES_EDA!B173</f>
        <v>113735.816157779</v>
      </c>
      <c r="F186" s="1"/>
      <c r="G186" s="1"/>
      <c r="H186" s="1"/>
      <c r="I186" s="1"/>
      <c r="J186" s="1"/>
    </row>
    <row r="187" spans="1:10" x14ac:dyDescent="0.3">
      <c r="A187" s="5">
        <f>SALES_EDA!A174</f>
        <v>41810.083333333336</v>
      </c>
      <c r="B187" s="15">
        <f>SALES_EDA!M174</f>
        <v>33.202334200872691</v>
      </c>
      <c r="C187" s="15">
        <f>SALES_EDA!T174</f>
        <v>32.222750371045876</v>
      </c>
      <c r="D187" s="6">
        <f>SALES_EDA!D174</f>
        <v>6119</v>
      </c>
      <c r="E187" s="14">
        <f>SALES_EDA!B174</f>
        <v>203165.08297513999</v>
      </c>
      <c r="F187" s="1"/>
      <c r="G187" s="1"/>
      <c r="H187" s="1"/>
      <c r="I187" s="1"/>
      <c r="J187" s="1"/>
    </row>
    <row r="188" spans="1:10" x14ac:dyDescent="0.3">
      <c r="A188" s="5">
        <f>SALES_EDA!A175</f>
        <v>41811.083333333336</v>
      </c>
      <c r="B188" s="15">
        <f>SALES_EDA!M175</f>
        <v>33.005233657645675</v>
      </c>
      <c r="C188" s="15">
        <f>SALES_EDA!T175</f>
        <v>32.197765546399538</v>
      </c>
      <c r="D188" s="6">
        <f>SALES_EDA!D175</f>
        <v>6161</v>
      </c>
      <c r="E188" s="14">
        <f>SALES_EDA!B175</f>
        <v>203345.244564755</v>
      </c>
      <c r="F188" s="1"/>
      <c r="G188" s="1"/>
      <c r="H188" s="1"/>
      <c r="I188" s="1"/>
      <c r="J188" s="1"/>
    </row>
    <row r="189" spans="1:10" x14ac:dyDescent="0.3">
      <c r="A189" s="5">
        <f>SALES_EDA!A176</f>
        <v>41812.083333333336</v>
      </c>
      <c r="B189" s="15">
        <f>SALES_EDA!M176</f>
        <v>33.610084425144706</v>
      </c>
      <c r="C189" s="15">
        <f>SALES_EDA!T176</f>
        <v>32.24587359931715</v>
      </c>
      <c r="D189" s="6">
        <f>SALES_EDA!D176</f>
        <v>4015</v>
      </c>
      <c r="E189" s="14">
        <f>SALES_EDA!B176</f>
        <v>134944.48896695601</v>
      </c>
      <c r="F189" s="1"/>
      <c r="G189" s="1"/>
      <c r="H189" s="1"/>
      <c r="I189" s="1"/>
      <c r="J189" s="1"/>
    </row>
    <row r="190" spans="1:10" x14ac:dyDescent="0.3">
      <c r="A190" s="5">
        <f>SALES_EDA!A177</f>
        <v>41813.083333333336</v>
      </c>
      <c r="B190" s="15">
        <f>SALES_EDA!M177</f>
        <v>33.461942957891601</v>
      </c>
      <c r="C190" s="15">
        <f>SALES_EDA!T177</f>
        <v>32.288701737754018</v>
      </c>
      <c r="D190" s="6">
        <f>SALES_EDA!D177</f>
        <v>4133</v>
      </c>
      <c r="E190" s="14">
        <f>SALES_EDA!B177</f>
        <v>138298.210244966</v>
      </c>
      <c r="F190" s="1"/>
      <c r="G190" s="1"/>
      <c r="H190" s="1"/>
      <c r="I190" s="1"/>
      <c r="J190" s="1"/>
    </row>
    <row r="191" spans="1:10" x14ac:dyDescent="0.3">
      <c r="A191" s="5">
        <f>SALES_EDA!A178</f>
        <v>41814.083333333336</v>
      </c>
      <c r="B191" s="15">
        <f>SALES_EDA!M178</f>
        <v>35.045539505158068</v>
      </c>
      <c r="C191" s="15">
        <f>SALES_EDA!T178</f>
        <v>32.376041680478309</v>
      </c>
      <c r="D191" s="6">
        <f>SALES_EDA!D178</f>
        <v>1047</v>
      </c>
      <c r="E191" s="14">
        <f>SALES_EDA!B178</f>
        <v>36692.679861900499</v>
      </c>
      <c r="F191" s="1"/>
      <c r="G191" s="1"/>
      <c r="H191" s="1"/>
      <c r="I191" s="1"/>
      <c r="J191" s="1"/>
    </row>
    <row r="192" spans="1:10" x14ac:dyDescent="0.3">
      <c r="A192" s="5">
        <f>SALES_EDA!A179</f>
        <v>41815.083333333336</v>
      </c>
      <c r="B192" s="15">
        <f>SALES_EDA!M179</f>
        <v>35.026572574722486</v>
      </c>
      <c r="C192" s="15">
        <f>SALES_EDA!T179</f>
        <v>32.466434993585935</v>
      </c>
      <c r="D192" s="6">
        <f>SALES_EDA!D179</f>
        <v>1601</v>
      </c>
      <c r="E192" s="14">
        <f>SALES_EDA!B179</f>
        <v>56077.542692130701</v>
      </c>
      <c r="F192" s="1"/>
      <c r="G192" s="1"/>
      <c r="H192" s="1"/>
      <c r="I192" s="1"/>
      <c r="J192" s="1"/>
    </row>
    <row r="193" spans="1:10" x14ac:dyDescent="0.3">
      <c r="A193" s="5">
        <f>SALES_EDA!A180</f>
        <v>41816.083333333336</v>
      </c>
      <c r="B193" s="15">
        <f>SALES_EDA!M180</f>
        <v>35.038132821822046</v>
      </c>
      <c r="C193" s="15">
        <f>SALES_EDA!T180</f>
        <v>32.561078037291352</v>
      </c>
      <c r="D193" s="6">
        <f>SALES_EDA!D180</f>
        <v>1592</v>
      </c>
      <c r="E193" s="14">
        <f>SALES_EDA!B180</f>
        <v>55780.707452340699</v>
      </c>
      <c r="F193" s="1"/>
      <c r="G193" s="1"/>
      <c r="H193" s="1"/>
      <c r="I193" s="1"/>
      <c r="J193" s="1"/>
    </row>
    <row r="194" spans="1:10" x14ac:dyDescent="0.3">
      <c r="A194" s="5">
        <f>SALES_EDA!A181</f>
        <v>41817.083333333336</v>
      </c>
      <c r="B194" s="15">
        <f>SALES_EDA!M181</f>
        <v>35.04156379802847</v>
      </c>
      <c r="C194" s="15">
        <f>SALES_EDA!T181</f>
        <v>32.657217123275387</v>
      </c>
      <c r="D194" s="6">
        <f>SALES_EDA!D181</f>
        <v>3759</v>
      </c>
      <c r="E194" s="14">
        <f>SALES_EDA!B181</f>
        <v>131721.23831678901</v>
      </c>
      <c r="F194" s="1"/>
      <c r="G194" s="1"/>
      <c r="H194" s="1"/>
      <c r="I194" s="1"/>
      <c r="J194" s="1"/>
    </row>
    <row r="195" spans="1:10" x14ac:dyDescent="0.3">
      <c r="A195" s="5">
        <f>SALES_EDA!A182</f>
        <v>41818.083333333336</v>
      </c>
      <c r="B195" s="15">
        <f>SALES_EDA!M182</f>
        <v>35.03573263949017</v>
      </c>
      <c r="C195" s="15">
        <f>SALES_EDA!T182</f>
        <v>32.752755662415673</v>
      </c>
      <c r="D195" s="6">
        <f>SALES_EDA!D182</f>
        <v>4172</v>
      </c>
      <c r="E195" s="14">
        <f>SALES_EDA!B182</f>
        <v>146169.07657195299</v>
      </c>
      <c r="F195" s="1"/>
      <c r="G195" s="1"/>
      <c r="H195" s="1"/>
      <c r="I195" s="1"/>
      <c r="J195" s="1"/>
    </row>
    <row r="196" spans="1:10" x14ac:dyDescent="0.3">
      <c r="A196" s="5">
        <f>SALES_EDA!A183</f>
        <v>41819.083333333336</v>
      </c>
      <c r="B196" s="15">
        <f>SALES_EDA!M183</f>
        <v>35.030240075045711</v>
      </c>
      <c r="C196" s="15">
        <f>SALES_EDA!T183</f>
        <v>32.847868605452796</v>
      </c>
      <c r="D196" s="6">
        <f>SALES_EDA!D183</f>
        <v>1772</v>
      </c>
      <c r="E196" s="14">
        <f>SALES_EDA!B183</f>
        <v>62073.585412981003</v>
      </c>
      <c r="F196" s="1"/>
      <c r="G196" s="1"/>
      <c r="H196" s="1"/>
      <c r="I196" s="1"/>
      <c r="J196" s="1"/>
    </row>
    <row r="197" spans="1:10" x14ac:dyDescent="0.3">
      <c r="A197" s="5">
        <f>SALES_EDA!A184</f>
        <v>41820.083333333336</v>
      </c>
      <c r="B197" s="15">
        <f>SALES_EDA!M184</f>
        <v>35.03736788596396</v>
      </c>
      <c r="C197" s="15">
        <f>SALES_EDA!T184</f>
        <v>32.943878889576887</v>
      </c>
      <c r="D197" s="6">
        <f>SALES_EDA!D184</f>
        <v>2672</v>
      </c>
      <c r="E197" s="14">
        <f>SALES_EDA!B184</f>
        <v>93619.846991295693</v>
      </c>
      <c r="F197" s="1"/>
      <c r="G197" s="1"/>
      <c r="H197" s="1"/>
      <c r="I197" s="1"/>
      <c r="J197" s="1"/>
    </row>
    <row r="198" spans="1:10" x14ac:dyDescent="0.3">
      <c r="A198" s="5">
        <f>SALES_EDA!A185</f>
        <v>41821.083333333336</v>
      </c>
      <c r="B198" s="15">
        <f>SALES_EDA!M185</f>
        <v>35.034616246550847</v>
      </c>
      <c r="C198" s="15">
        <f>SALES_EDA!T185</f>
        <v>33.040330520564076</v>
      </c>
      <c r="D198" s="6">
        <f>SALES_EDA!D185</f>
        <v>5143</v>
      </c>
      <c r="E198" s="14">
        <f>SALES_EDA!B185</f>
        <v>180183.03135601099</v>
      </c>
      <c r="F198" s="1"/>
      <c r="G198" s="1"/>
      <c r="H198" s="1"/>
      <c r="I198" s="1"/>
      <c r="J198" s="1"/>
    </row>
    <row r="199" spans="1:10" x14ac:dyDescent="0.3">
      <c r="A199" s="5">
        <f>SALES_EDA!A186</f>
        <v>41822.083333333336</v>
      </c>
      <c r="B199" s="15">
        <f>SALES_EDA!M186</f>
        <v>35.037025496919732</v>
      </c>
      <c r="C199" s="15">
        <f>SALES_EDA!T186</f>
        <v>33.137407602495394</v>
      </c>
      <c r="D199" s="6">
        <f>SALES_EDA!D186</f>
        <v>2990</v>
      </c>
      <c r="E199" s="14">
        <f>SALES_EDA!B186</f>
        <v>104760.70623579</v>
      </c>
      <c r="F199" s="1"/>
      <c r="G199" s="1"/>
      <c r="H199" s="1"/>
      <c r="I199" s="1"/>
      <c r="J199" s="1"/>
    </row>
    <row r="200" spans="1:10" x14ac:dyDescent="0.3">
      <c r="A200" s="5">
        <f>SALES_EDA!A187</f>
        <v>41823.083333333336</v>
      </c>
      <c r="B200" s="15">
        <f>SALES_EDA!M187</f>
        <v>35.039570185568238</v>
      </c>
      <c r="C200" s="15">
        <f>SALES_EDA!T187</f>
        <v>33.235199366342975</v>
      </c>
      <c r="D200" s="6">
        <f>SALES_EDA!D187</f>
        <v>2667</v>
      </c>
      <c r="E200" s="14">
        <f>SALES_EDA!B187</f>
        <v>93450.533684910493</v>
      </c>
      <c r="F200" s="1"/>
      <c r="G200" s="1"/>
      <c r="H200" s="1"/>
      <c r="I200" s="1"/>
      <c r="J200" s="1"/>
    </row>
    <row r="201" spans="1:10" x14ac:dyDescent="0.3">
      <c r="A201" s="5">
        <f>SALES_EDA!A188</f>
        <v>41824.083333333336</v>
      </c>
      <c r="B201" s="15">
        <f>SALES_EDA!M188</f>
        <v>35.043785603408608</v>
      </c>
      <c r="C201" s="15">
        <f>SALES_EDA!T188</f>
        <v>33.331125797198951</v>
      </c>
      <c r="D201" s="6">
        <f>SALES_EDA!D188</f>
        <v>2799</v>
      </c>
      <c r="E201" s="14">
        <f>SALES_EDA!B188</f>
        <v>98087.555903940694</v>
      </c>
      <c r="F201" s="1"/>
      <c r="G201" s="1"/>
      <c r="H201" s="1"/>
      <c r="I201" s="1"/>
      <c r="J201" s="1"/>
    </row>
    <row r="202" spans="1:10" x14ac:dyDescent="0.3">
      <c r="A202" s="5">
        <f>SALES_EDA!A189</f>
        <v>41825.083333333336</v>
      </c>
      <c r="B202" s="15">
        <f>SALES_EDA!M189</f>
        <v>35.040912937510875</v>
      </c>
      <c r="C202" s="15">
        <f>SALES_EDA!T189</f>
        <v>33.432870628893859</v>
      </c>
      <c r="D202" s="6">
        <f>SALES_EDA!D189</f>
        <v>3355</v>
      </c>
      <c r="E202" s="14">
        <f>SALES_EDA!B189</f>
        <v>117562.26290534899</v>
      </c>
      <c r="F202" s="1"/>
      <c r="G202" s="1"/>
      <c r="H202" s="1"/>
      <c r="I202" s="1"/>
      <c r="J202" s="1"/>
    </row>
    <row r="203" spans="1:10" x14ac:dyDescent="0.3">
      <c r="A203" s="5">
        <f>SALES_EDA!A190</f>
        <v>41826.083333333336</v>
      </c>
      <c r="B203" s="15">
        <f>SALES_EDA!M190</f>
        <v>35.041498987088609</v>
      </c>
      <c r="C203" s="15">
        <f>SALES_EDA!T190</f>
        <v>33.534408270690186</v>
      </c>
      <c r="D203" s="6">
        <f>SALES_EDA!D190</f>
        <v>2002</v>
      </c>
      <c r="E203" s="14">
        <f>SALES_EDA!B190</f>
        <v>70153.080972151394</v>
      </c>
      <c r="F203" s="1"/>
      <c r="G203" s="1"/>
      <c r="H203" s="1"/>
      <c r="I203" s="1"/>
      <c r="J203" s="1"/>
    </row>
    <row r="204" spans="1:10" x14ac:dyDescent="0.3">
      <c r="A204" s="5">
        <f>SALES_EDA!A191</f>
        <v>41827.083333333336</v>
      </c>
      <c r="B204" s="15">
        <f>SALES_EDA!M191</f>
        <v>35.037323481185098</v>
      </c>
      <c r="C204" s="15">
        <f>SALES_EDA!T191</f>
        <v>33.633397223882199</v>
      </c>
      <c r="D204" s="6">
        <f>SALES_EDA!D191</f>
        <v>1967</v>
      </c>
      <c r="E204" s="14">
        <f>SALES_EDA!B191</f>
        <v>68918.415287491094</v>
      </c>
      <c r="F204" s="1"/>
      <c r="G204" s="1"/>
      <c r="H204" s="1"/>
      <c r="I204" s="1"/>
      <c r="J204" s="1"/>
    </row>
    <row r="205" spans="1:10" x14ac:dyDescent="0.3">
      <c r="A205" s="5">
        <f>SALES_EDA!A192</f>
        <v>41828.083333333336</v>
      </c>
      <c r="B205" s="15">
        <f>SALES_EDA!M192</f>
        <v>35.041177386347769</v>
      </c>
      <c r="C205" s="15">
        <f>SALES_EDA!T192</f>
        <v>33.731519949146318</v>
      </c>
      <c r="D205" s="6">
        <f>SALES_EDA!D192</f>
        <v>3094</v>
      </c>
      <c r="E205" s="14">
        <f>SALES_EDA!B192</f>
        <v>108417.40283336</v>
      </c>
      <c r="F205" s="1"/>
      <c r="G205" s="1"/>
      <c r="H205" s="1"/>
      <c r="I205" s="1"/>
      <c r="J205" s="1"/>
    </row>
    <row r="206" spans="1:10" x14ac:dyDescent="0.3">
      <c r="A206" s="5">
        <f>SALES_EDA!A193</f>
        <v>41829.083333333336</v>
      </c>
      <c r="B206" s="15">
        <f>SALES_EDA!M193</f>
        <v>35.03323692012895</v>
      </c>
      <c r="C206" s="15">
        <f>SALES_EDA!T193</f>
        <v>33.818733575545963</v>
      </c>
      <c r="D206" s="6">
        <f>SALES_EDA!D193</f>
        <v>2335</v>
      </c>
      <c r="E206" s="14">
        <f>SALES_EDA!B193</f>
        <v>81802.6082085011</v>
      </c>
      <c r="F206" s="1"/>
      <c r="G206" s="1"/>
      <c r="H206" s="1"/>
      <c r="I206" s="1"/>
      <c r="J206" s="1"/>
    </row>
    <row r="207" spans="1:10" x14ac:dyDescent="0.3">
      <c r="A207" s="5">
        <f>SALES_EDA!A194</f>
        <v>41830.083333333336</v>
      </c>
      <c r="B207" s="15">
        <f>SALES_EDA!M194</f>
        <v>35.039946001829513</v>
      </c>
      <c r="C207" s="15">
        <f>SALES_EDA!T194</f>
        <v>33.914883154750534</v>
      </c>
      <c r="D207" s="6">
        <f>SALES_EDA!D194</f>
        <v>2968</v>
      </c>
      <c r="E207" s="14">
        <f>SALES_EDA!B194</f>
        <v>103998.55973343</v>
      </c>
      <c r="F207" s="1"/>
      <c r="G207" s="1"/>
      <c r="H207" s="1"/>
      <c r="I207" s="1"/>
      <c r="J207" s="1"/>
    </row>
    <row r="208" spans="1:10" x14ac:dyDescent="0.3">
      <c r="A208" s="5">
        <f>SALES_EDA!A195</f>
        <v>41831.083333333336</v>
      </c>
      <c r="B208" s="15">
        <f>SALES_EDA!M195</f>
        <v>35.03740895777203</v>
      </c>
      <c r="C208" s="15">
        <f>SALES_EDA!T195</f>
        <v>34.01246465174988</v>
      </c>
      <c r="D208" s="6">
        <f>SALES_EDA!D195</f>
        <v>3825</v>
      </c>
      <c r="E208" s="14">
        <f>SALES_EDA!B195</f>
        <v>134018.089263478</v>
      </c>
      <c r="F208" s="1"/>
      <c r="G208" s="1"/>
      <c r="H208" s="1"/>
      <c r="I208" s="1"/>
      <c r="J208" s="1"/>
    </row>
    <row r="209" spans="1:10" x14ac:dyDescent="0.3">
      <c r="A209" s="5">
        <f>SALES_EDA!A196</f>
        <v>41832.083333333336</v>
      </c>
      <c r="B209" s="15">
        <f>SALES_EDA!M196</f>
        <v>35.043169609251848</v>
      </c>
      <c r="C209" s="15">
        <f>SALES_EDA!T196</f>
        <v>34.109370239515172</v>
      </c>
      <c r="D209" s="6">
        <f>SALES_EDA!D196</f>
        <v>2833</v>
      </c>
      <c r="E209" s="14">
        <f>SALES_EDA!B196</f>
        <v>99277.299503010494</v>
      </c>
      <c r="F209" s="1"/>
      <c r="G209" s="1"/>
      <c r="H209" s="1"/>
      <c r="I209" s="1"/>
      <c r="J209" s="1"/>
    </row>
    <row r="210" spans="1:10" x14ac:dyDescent="0.3">
      <c r="A210" s="5">
        <f>SALES_EDA!A197</f>
        <v>41833.083333333336</v>
      </c>
      <c r="B210" s="15">
        <f>SALES_EDA!M197</f>
        <v>35.028352360761595</v>
      </c>
      <c r="C210" s="15">
        <f>SALES_EDA!T197</f>
        <v>34.205786395400878</v>
      </c>
      <c r="D210" s="6">
        <f>SALES_EDA!D197</f>
        <v>1419</v>
      </c>
      <c r="E210" s="14">
        <f>SALES_EDA!B197</f>
        <v>49705.231999920703</v>
      </c>
      <c r="F210" s="1"/>
      <c r="G210" s="1"/>
      <c r="H210" s="1"/>
      <c r="I210" s="1"/>
      <c r="J210" s="1"/>
    </row>
    <row r="211" spans="1:10" x14ac:dyDescent="0.3">
      <c r="A211" s="5">
        <f>SALES_EDA!A198</f>
        <v>41834.083333333336</v>
      </c>
      <c r="B211" s="15">
        <f>SALES_EDA!M198</f>
        <v>35.046292213264202</v>
      </c>
      <c r="C211" s="15">
        <f>SALES_EDA!T198</f>
        <v>34.303744628762765</v>
      </c>
      <c r="D211" s="6">
        <f>SALES_EDA!D198</f>
        <v>2151</v>
      </c>
      <c r="E211" s="14">
        <f>SALES_EDA!B198</f>
        <v>75384.574550731297</v>
      </c>
      <c r="F211" s="1"/>
      <c r="G211" s="1"/>
      <c r="H211" s="1"/>
      <c r="I211" s="1"/>
      <c r="J211" s="1"/>
    </row>
    <row r="212" spans="1:10" x14ac:dyDescent="0.3">
      <c r="A212" s="5">
        <f>SALES_EDA!A199</f>
        <v>41835.083333333336</v>
      </c>
      <c r="B212" s="15">
        <f>SALES_EDA!M199</f>
        <v>35.034381885067027</v>
      </c>
      <c r="C212" s="15">
        <f>SALES_EDA!T199</f>
        <v>34.402410734629399</v>
      </c>
      <c r="D212" s="6">
        <f>SALES_EDA!D199</f>
        <v>3148</v>
      </c>
      <c r="E212" s="14">
        <f>SALES_EDA!B199</f>
        <v>110288.23417419101</v>
      </c>
      <c r="F212" s="1"/>
      <c r="G212" s="1"/>
      <c r="H212" s="1"/>
      <c r="I212" s="1"/>
      <c r="J212" s="1"/>
    </row>
    <row r="213" spans="1:10" x14ac:dyDescent="0.3">
      <c r="A213" s="5">
        <f>SALES_EDA!A200</f>
        <v>41836.083333333336</v>
      </c>
      <c r="B213" s="15">
        <f>SALES_EDA!M200</f>
        <v>32.442836519258236</v>
      </c>
      <c r="C213" s="15">
        <f>SALES_EDA!T200</f>
        <v>34.414924341855681</v>
      </c>
      <c r="D213" s="6">
        <f>SALES_EDA!D200</f>
        <v>4825</v>
      </c>
      <c r="E213" s="14">
        <f>SALES_EDA!B200</f>
        <v>156536.68620542099</v>
      </c>
      <c r="F213" s="1"/>
      <c r="G213" s="1"/>
      <c r="H213" s="1"/>
      <c r="I213" s="1"/>
      <c r="J213" s="1"/>
    </row>
    <row r="214" spans="1:10" x14ac:dyDescent="0.3">
      <c r="A214" s="5">
        <f>SALES_EDA!A201</f>
        <v>41837.083333333336</v>
      </c>
      <c r="B214" s="15">
        <f>SALES_EDA!M201</f>
        <v>35.033835803173474</v>
      </c>
      <c r="C214" s="15">
        <f>SALES_EDA!T201</f>
        <v>34.513722540648573</v>
      </c>
      <c r="D214" s="6">
        <f>SALES_EDA!D201</f>
        <v>2307</v>
      </c>
      <c r="E214" s="14">
        <f>SALES_EDA!B201</f>
        <v>80823.059197921204</v>
      </c>
      <c r="F214" s="1"/>
      <c r="G214" s="1"/>
      <c r="H214" s="1"/>
      <c r="I214" s="1"/>
      <c r="J214" s="1"/>
    </row>
    <row r="215" spans="1:10" x14ac:dyDescent="0.3">
      <c r="A215" s="5">
        <f>SALES_EDA!A202</f>
        <v>41838.083333333336</v>
      </c>
      <c r="B215" s="15">
        <f>SALES_EDA!M202</f>
        <v>35.033929043691032</v>
      </c>
      <c r="C215" s="15">
        <f>SALES_EDA!T202</f>
        <v>34.613719454405015</v>
      </c>
      <c r="D215" s="6">
        <f>SALES_EDA!D202</f>
        <v>3557</v>
      </c>
      <c r="E215" s="14">
        <f>SALES_EDA!B202</f>
        <v>124615.685608409</v>
      </c>
      <c r="F215" s="1"/>
      <c r="G215" s="1"/>
      <c r="H215" s="1"/>
      <c r="I215" s="1"/>
      <c r="J215" s="1"/>
    </row>
    <row r="216" spans="1:10" x14ac:dyDescent="0.3">
      <c r="A216" s="5">
        <f>SALES_EDA!A203</f>
        <v>41839.083333333336</v>
      </c>
      <c r="B216" s="15">
        <f>SALES_EDA!M203</f>
        <v>32.432725521493118</v>
      </c>
      <c r="C216" s="15">
        <f>SALES_EDA!T203</f>
        <v>34.635225656735216</v>
      </c>
      <c r="D216" s="6">
        <f>SALES_EDA!D203</f>
        <v>7485</v>
      </c>
      <c r="E216" s="14">
        <f>SALES_EDA!B203</f>
        <v>242758.95052837601</v>
      </c>
      <c r="F216" s="1"/>
      <c r="G216" s="1"/>
      <c r="H216" s="1"/>
      <c r="I216" s="1"/>
      <c r="J216" s="1"/>
    </row>
    <row r="217" spans="1:10" x14ac:dyDescent="0.3">
      <c r="A217" s="5">
        <f>SALES_EDA!A204</f>
        <v>41840.083333333336</v>
      </c>
      <c r="B217" s="15">
        <f>SALES_EDA!M204</f>
        <v>35.040462804545349</v>
      </c>
      <c r="C217" s="15">
        <f>SALES_EDA!T204</f>
        <v>34.69649661019097</v>
      </c>
      <c r="D217" s="6">
        <f>SALES_EDA!D204</f>
        <v>2428</v>
      </c>
      <c r="E217" s="14">
        <f>SALES_EDA!B204</f>
        <v>85078.243689436102</v>
      </c>
      <c r="F217" s="1"/>
      <c r="G217" s="1"/>
      <c r="H217" s="1"/>
      <c r="I217" s="1"/>
      <c r="J217" s="1"/>
    </row>
    <row r="218" spans="1:10" x14ac:dyDescent="0.3">
      <c r="A218" s="5">
        <f>SALES_EDA!A205</f>
        <v>41841.083333333336</v>
      </c>
      <c r="B218" s="15">
        <f>SALES_EDA!M205</f>
        <v>35.045683808994305</v>
      </c>
      <c r="C218" s="15">
        <f>SALES_EDA!T205</f>
        <v>34.764511615235925</v>
      </c>
      <c r="D218" s="6">
        <f>SALES_EDA!D205</f>
        <v>2475</v>
      </c>
      <c r="E218" s="14">
        <f>SALES_EDA!B205</f>
        <v>86738.067427260903</v>
      </c>
      <c r="F218" s="1"/>
      <c r="G218" s="1"/>
      <c r="H218" s="1"/>
      <c r="I218" s="1"/>
      <c r="J218" s="1"/>
    </row>
    <row r="219" spans="1:10" x14ac:dyDescent="0.3">
      <c r="A219" s="5">
        <f>SALES_EDA!A206</f>
        <v>41842.083333333336</v>
      </c>
      <c r="B219" s="15">
        <f>SALES_EDA!M206</f>
        <v>35.026956620284857</v>
      </c>
      <c r="C219" s="15">
        <f>SALES_EDA!T206</f>
        <v>34.811740688407262</v>
      </c>
      <c r="D219" s="6">
        <f>SALES_EDA!D206</f>
        <v>1618</v>
      </c>
      <c r="E219" s="14">
        <f>SALES_EDA!B206</f>
        <v>56673.615811620897</v>
      </c>
      <c r="F219" s="1"/>
      <c r="G219" s="1"/>
      <c r="H219" s="1"/>
      <c r="I219" s="1"/>
      <c r="J219" s="1"/>
    </row>
    <row r="220" spans="1:10" x14ac:dyDescent="0.3">
      <c r="A220" s="5">
        <f>SALES_EDA!A207</f>
        <v>41843.083333333336</v>
      </c>
      <c r="B220" s="15">
        <f>SALES_EDA!M207</f>
        <v>32.460276236630236</v>
      </c>
      <c r="C220" s="15">
        <f>SALES_EDA!T207</f>
        <v>34.778351797698548</v>
      </c>
      <c r="D220" s="6">
        <f>SALES_EDA!D207</f>
        <v>5106</v>
      </c>
      <c r="E220" s="14">
        <f>SALES_EDA!B207</f>
        <v>165742.17046423399</v>
      </c>
      <c r="F220" s="1"/>
      <c r="G220" s="1"/>
      <c r="H220" s="1"/>
      <c r="I220" s="1"/>
      <c r="J220" s="1"/>
    </row>
    <row r="221" spans="1:10" x14ac:dyDescent="0.3">
      <c r="A221" s="5">
        <f>SALES_EDA!A208</f>
        <v>41844.083333333336</v>
      </c>
      <c r="B221" s="15">
        <f>SALES_EDA!M208</f>
        <v>35.037833933202968</v>
      </c>
      <c r="C221" s="15">
        <f>SALES_EDA!T208</f>
        <v>34.778094945300047</v>
      </c>
      <c r="D221" s="6">
        <f>SALES_EDA!D208</f>
        <v>2729</v>
      </c>
      <c r="E221" s="14">
        <f>SALES_EDA!B208</f>
        <v>95618.2488037109</v>
      </c>
      <c r="F221" s="1"/>
      <c r="G221" s="1"/>
      <c r="H221" s="1"/>
      <c r="I221" s="1"/>
      <c r="J221" s="1"/>
    </row>
    <row r="222" spans="1:10" x14ac:dyDescent="0.3">
      <c r="A222" s="5">
        <f>SALES_EDA!A209</f>
        <v>41845.083333333336</v>
      </c>
      <c r="B222" s="15">
        <f>SALES_EDA!M209</f>
        <v>32.440007282265526</v>
      </c>
      <c r="C222" s="15">
        <f>SALES_EDA!T209</f>
        <v>34.691876102218153</v>
      </c>
      <c r="D222" s="6">
        <f>SALES_EDA!D209</f>
        <v>15897</v>
      </c>
      <c r="E222" s="14">
        <f>SALES_EDA!B209</f>
        <v>515698.79576617503</v>
      </c>
      <c r="F222" s="1"/>
      <c r="G222" s="1"/>
      <c r="H222" s="1"/>
      <c r="I222" s="1"/>
      <c r="J222" s="1"/>
    </row>
    <row r="223" spans="1:10" x14ac:dyDescent="0.3">
      <c r="A223" s="5">
        <f>SALES_EDA!A210</f>
        <v>41846.083333333336</v>
      </c>
      <c r="B223" s="15">
        <f>SALES_EDA!M210</f>
        <v>32.439045525447789</v>
      </c>
      <c r="C223" s="15">
        <f>SALES_EDA!T210</f>
        <v>34.605239859005671</v>
      </c>
      <c r="D223" s="6">
        <f>SALES_EDA!D210</f>
        <v>17343</v>
      </c>
      <c r="E223" s="14">
        <f>SALES_EDA!B210</f>
        <v>562590.366547841</v>
      </c>
      <c r="F223" s="1"/>
      <c r="G223" s="1"/>
      <c r="H223" s="1"/>
      <c r="I223" s="1"/>
      <c r="J223" s="1"/>
    </row>
    <row r="224" spans="1:10" x14ac:dyDescent="0.3">
      <c r="A224" s="5">
        <f>SALES_EDA!A211</f>
        <v>41847.083333333336</v>
      </c>
      <c r="B224" s="15">
        <f>SALES_EDA!M211</f>
        <v>32.448632373580239</v>
      </c>
      <c r="C224" s="15">
        <f>SALES_EDA!T211</f>
        <v>34.51880881152406</v>
      </c>
      <c r="D224" s="6">
        <f>SALES_EDA!D211</f>
        <v>8207</v>
      </c>
      <c r="E224" s="14">
        <f>SALES_EDA!B211</f>
        <v>266305.925889973</v>
      </c>
      <c r="F224" s="1"/>
      <c r="G224" s="1"/>
      <c r="H224" s="1"/>
      <c r="I224" s="1"/>
      <c r="J224" s="1"/>
    </row>
    <row r="225" spans="1:10" x14ac:dyDescent="0.3">
      <c r="A225" s="5">
        <f>SALES_EDA!A212</f>
        <v>41848.083333333336</v>
      </c>
      <c r="B225" s="15">
        <f>SALES_EDA!M212</f>
        <v>32.450071600445668</v>
      </c>
      <c r="C225" s="15">
        <f>SALES_EDA!T212</f>
        <v>34.43262011022258</v>
      </c>
      <c r="D225" s="6">
        <f>SALES_EDA!D212</f>
        <v>9018</v>
      </c>
      <c r="E225" s="14">
        <f>SALES_EDA!B212</f>
        <v>292634.74569281901</v>
      </c>
      <c r="F225" s="1"/>
      <c r="G225" s="1"/>
      <c r="H225" s="1"/>
      <c r="I225" s="1"/>
      <c r="J225" s="1"/>
    </row>
    <row r="226" spans="1:10" x14ac:dyDescent="0.3">
      <c r="A226" s="5">
        <f>SALES_EDA!A213</f>
        <v>41849.083333333336</v>
      </c>
      <c r="B226" s="15">
        <f>SALES_EDA!M213</f>
        <v>32.431428386981061</v>
      </c>
      <c r="C226" s="15">
        <f>SALES_EDA!T213</f>
        <v>34.345993053953755</v>
      </c>
      <c r="D226" s="6">
        <f>SALES_EDA!D213</f>
        <v>6548</v>
      </c>
      <c r="E226" s="14">
        <f>SALES_EDA!B213</f>
        <v>212360.99307795201</v>
      </c>
      <c r="F226" s="1"/>
      <c r="G226" s="1"/>
      <c r="H226" s="1"/>
      <c r="I226" s="1"/>
      <c r="J226" s="1"/>
    </row>
    <row r="227" spans="1:10" x14ac:dyDescent="0.3">
      <c r="A227" s="5">
        <f>SALES_EDA!A214</f>
        <v>41850.083333333336</v>
      </c>
      <c r="B227" s="15">
        <f>SALES_EDA!M214</f>
        <v>32.451545737714845</v>
      </c>
      <c r="C227" s="15">
        <f>SALES_EDA!T214</f>
        <v>34.259798982345458</v>
      </c>
      <c r="D227" s="6">
        <f>SALES_EDA!D214</f>
        <v>6102</v>
      </c>
      <c r="E227" s="14">
        <f>SALES_EDA!B214</f>
        <v>198019.33209153599</v>
      </c>
      <c r="F227" s="1"/>
      <c r="G227" s="1"/>
      <c r="H227" s="1"/>
      <c r="I227" s="1"/>
      <c r="J227" s="1"/>
    </row>
    <row r="228" spans="1:10" x14ac:dyDescent="0.3">
      <c r="A228" s="5">
        <f>SALES_EDA!A215</f>
        <v>41851.083333333336</v>
      </c>
      <c r="B228" s="15">
        <f>SALES_EDA!M215</f>
        <v>32.444919553608479</v>
      </c>
      <c r="C228" s="15">
        <f>SALES_EDA!T215</f>
        <v>34.173475759247374</v>
      </c>
      <c r="D228" s="6">
        <f>SALES_EDA!D215</f>
        <v>9108</v>
      </c>
      <c r="E228" s="14">
        <f>SALES_EDA!B215</f>
        <v>295508.32729426603</v>
      </c>
      <c r="F228" s="1"/>
      <c r="G228" s="1"/>
      <c r="H228" s="1"/>
      <c r="I228" s="1"/>
      <c r="J228" s="1"/>
    </row>
    <row r="229" spans="1:10" x14ac:dyDescent="0.3">
      <c r="A229" s="5">
        <f>SALES_EDA!A216</f>
        <v>41852.083333333336</v>
      </c>
      <c r="B229" s="15">
        <f>SALES_EDA!M216</f>
        <v>32.432006846925852</v>
      </c>
      <c r="C229" s="15">
        <f>SALES_EDA!T216</f>
        <v>34.086641804247577</v>
      </c>
      <c r="D229" s="6">
        <f>SALES_EDA!D216</f>
        <v>18867</v>
      </c>
      <c r="E229" s="14">
        <f>SALES_EDA!B216</f>
        <v>611894.67318094999</v>
      </c>
      <c r="F229" s="1"/>
      <c r="G229" s="1"/>
      <c r="H229" s="1"/>
      <c r="I229" s="1"/>
      <c r="J229" s="1"/>
    </row>
    <row r="230" spans="1:10" x14ac:dyDescent="0.3">
      <c r="A230" s="5">
        <f>SALES_EDA!A217</f>
        <v>41853.083333333336</v>
      </c>
      <c r="B230" s="15">
        <f>SALES_EDA!M217</f>
        <v>32.433203612688608</v>
      </c>
      <c r="C230" s="15">
        <f>SALES_EDA!T217</f>
        <v>33.999762918484926</v>
      </c>
      <c r="D230" s="6">
        <f>SALES_EDA!D217</f>
        <v>19384</v>
      </c>
      <c r="E230" s="14">
        <f>SALES_EDA!B217</f>
        <v>628685.21882835601</v>
      </c>
      <c r="F230" s="1"/>
      <c r="G230" s="1"/>
      <c r="H230" s="1"/>
      <c r="I230" s="1"/>
      <c r="J230" s="1"/>
    </row>
    <row r="231" spans="1:10" x14ac:dyDescent="0.3">
      <c r="A231" s="5">
        <f>SALES_EDA!A218</f>
        <v>41854.083333333336</v>
      </c>
      <c r="B231" s="15">
        <f>SALES_EDA!M218</f>
        <v>32.43668148738066</v>
      </c>
      <c r="C231" s="15">
        <f>SALES_EDA!T218</f>
        <v>33.912859447950659</v>
      </c>
      <c r="D231" s="6">
        <f>SALES_EDA!D218</f>
        <v>9473</v>
      </c>
      <c r="E231" s="14">
        <f>SALES_EDA!B218</f>
        <v>307272.68372995697</v>
      </c>
      <c r="F231" s="1"/>
      <c r="G231" s="1"/>
      <c r="H231" s="1"/>
      <c r="I231" s="1"/>
      <c r="J231" s="1"/>
    </row>
    <row r="232" spans="1:10" x14ac:dyDescent="0.3">
      <c r="A232" s="5">
        <f>SALES_EDA!A219</f>
        <v>41855.083333333336</v>
      </c>
      <c r="B232" s="15">
        <f>SALES_EDA!M219</f>
        <v>32.417773736431599</v>
      </c>
      <c r="C232" s="15">
        <f>SALES_EDA!T219</f>
        <v>33.825421474581347</v>
      </c>
      <c r="D232" s="6">
        <f>SALES_EDA!D219</f>
        <v>11170</v>
      </c>
      <c r="E232" s="14">
        <f>SALES_EDA!B219</f>
        <v>362106.532635941</v>
      </c>
      <c r="F232" s="1"/>
      <c r="G232" s="1"/>
      <c r="H232" s="1"/>
      <c r="I232" s="1"/>
      <c r="J232" s="1"/>
    </row>
    <row r="233" spans="1:10" x14ac:dyDescent="0.3">
      <c r="A233" s="5">
        <f>SALES_EDA!A220</f>
        <v>41856.083333333336</v>
      </c>
      <c r="B233" s="15">
        <f>SALES_EDA!M220</f>
        <v>32.424866020605116</v>
      </c>
      <c r="C233" s="15">
        <f>SALES_EDA!T220</f>
        <v>33.738200375698568</v>
      </c>
      <c r="D233" s="6">
        <f>SALES_EDA!D220</f>
        <v>8091</v>
      </c>
      <c r="E233" s="14">
        <f>SALES_EDA!B220</f>
        <v>262349.59097271599</v>
      </c>
      <c r="F233" s="1"/>
      <c r="G233" s="1"/>
      <c r="H233" s="1"/>
      <c r="I233" s="1"/>
      <c r="J233" s="1"/>
    </row>
    <row r="234" spans="1:10" x14ac:dyDescent="0.3">
      <c r="A234" s="5">
        <f>SALES_EDA!A221</f>
        <v>41857.083333333336</v>
      </c>
      <c r="B234" s="15">
        <f>SALES_EDA!M221</f>
        <v>35.040340208767347</v>
      </c>
      <c r="C234" s="15">
        <f>SALES_EDA!T221</f>
        <v>33.738300933284648</v>
      </c>
      <c r="D234" s="6">
        <f>SALES_EDA!D221</f>
        <v>2303</v>
      </c>
      <c r="E234" s="14">
        <f>SALES_EDA!B221</f>
        <v>80697.903500791203</v>
      </c>
      <c r="F234" s="1"/>
      <c r="G234" s="1"/>
      <c r="H234" s="1"/>
      <c r="I234" s="1"/>
      <c r="J234" s="1"/>
    </row>
    <row r="235" spans="1:10" x14ac:dyDescent="0.3">
      <c r="A235" s="5">
        <f>SALES_EDA!A222</f>
        <v>41858.083333333336</v>
      </c>
      <c r="B235" s="15">
        <f>SALES_EDA!M222</f>
        <v>35.043305976705128</v>
      </c>
      <c r="C235" s="15">
        <f>SALES_EDA!T222</f>
        <v>33.738371886296562</v>
      </c>
      <c r="D235" s="6">
        <f>SALES_EDA!D222</f>
        <v>2947</v>
      </c>
      <c r="E235" s="14">
        <f>SALES_EDA!B222</f>
        <v>103272.62271335001</v>
      </c>
      <c r="F235" s="1"/>
      <c r="G235" s="1"/>
      <c r="H235" s="1"/>
      <c r="I235" s="1"/>
      <c r="J235" s="1"/>
    </row>
    <row r="236" spans="1:10" x14ac:dyDescent="0.3">
      <c r="A236" s="5">
        <f>SALES_EDA!A223</f>
        <v>41859.083333333336</v>
      </c>
      <c r="B236" s="15">
        <f>SALES_EDA!M223</f>
        <v>32.448783197982131</v>
      </c>
      <c r="C236" s="15">
        <f>SALES_EDA!T223</f>
        <v>33.652223428891666</v>
      </c>
      <c r="D236" s="6">
        <f>SALES_EDA!D223</f>
        <v>13542</v>
      </c>
      <c r="E236" s="14">
        <f>SALES_EDA!B223</f>
        <v>439421.42206707399</v>
      </c>
      <c r="F236" s="1"/>
      <c r="G236" s="1"/>
      <c r="H236" s="1"/>
      <c r="I236" s="1"/>
      <c r="J236" s="1"/>
    </row>
    <row r="237" spans="1:10" x14ac:dyDescent="0.3">
      <c r="A237" s="5">
        <f>SALES_EDA!A224</f>
        <v>41860.083333333336</v>
      </c>
      <c r="B237" s="15">
        <f>SALES_EDA!M224</f>
        <v>32.460784130275975</v>
      </c>
      <c r="C237" s="15">
        <f>SALES_EDA!T224</f>
        <v>33.566251366506549</v>
      </c>
      <c r="D237" s="6">
        <f>SALES_EDA!D224</f>
        <v>12588</v>
      </c>
      <c r="E237" s="14">
        <f>SALES_EDA!B224</f>
        <v>408616.35063191399</v>
      </c>
      <c r="F237" s="1"/>
      <c r="G237" s="1"/>
      <c r="H237" s="1"/>
      <c r="I237" s="1"/>
      <c r="J237" s="1"/>
    </row>
    <row r="238" spans="1:10" x14ac:dyDescent="0.3">
      <c r="A238" s="5">
        <f>SALES_EDA!A225</f>
        <v>41861.083333333336</v>
      </c>
      <c r="B238" s="15">
        <f>SALES_EDA!M225</f>
        <v>32.471281999244532</v>
      </c>
      <c r="C238" s="15">
        <f>SALES_EDA!T225</f>
        <v>33.480713801222301</v>
      </c>
      <c r="D238" s="6">
        <f>SALES_EDA!D225</f>
        <v>6032</v>
      </c>
      <c r="E238" s="14">
        <f>SALES_EDA!B225</f>
        <v>195866.773019443</v>
      </c>
      <c r="F238" s="1"/>
      <c r="G238" s="1"/>
      <c r="H238" s="1"/>
      <c r="I238" s="1"/>
      <c r="J238" s="1"/>
    </row>
    <row r="239" spans="1:10" x14ac:dyDescent="0.3">
      <c r="A239" s="5">
        <f>SALES_EDA!A226</f>
        <v>41862.083333333336</v>
      </c>
      <c r="B239" s="15">
        <f>SALES_EDA!M226</f>
        <v>32.459814636670856</v>
      </c>
      <c r="C239" s="15">
        <f>SALES_EDA!T226</f>
        <v>33.394601968802938</v>
      </c>
      <c r="D239" s="6">
        <f>SALES_EDA!D226</f>
        <v>7158</v>
      </c>
      <c r="E239" s="14">
        <f>SALES_EDA!B226</f>
        <v>232347.35316929</v>
      </c>
      <c r="F239" s="1"/>
      <c r="G239" s="1"/>
      <c r="H239" s="1"/>
      <c r="I239" s="1"/>
      <c r="J239" s="1"/>
    </row>
    <row r="240" spans="1:10" x14ac:dyDescent="0.3">
      <c r="A240" s="5">
        <f>SALES_EDA!A227</f>
        <v>41863.083333333336</v>
      </c>
      <c r="B240" s="15">
        <f>SALES_EDA!M227</f>
        <v>32.462081041000346</v>
      </c>
      <c r="C240" s="15">
        <f>SALES_EDA!T227</f>
        <v>33.309059591477563</v>
      </c>
      <c r="D240" s="6">
        <f>SALES_EDA!D227</f>
        <v>5863</v>
      </c>
      <c r="E240" s="14">
        <f>SALES_EDA!B227</f>
        <v>190325.18114338501</v>
      </c>
      <c r="F240" s="1"/>
      <c r="G240" s="1"/>
      <c r="H240" s="1"/>
      <c r="I240" s="1"/>
      <c r="J240" s="1"/>
    </row>
    <row r="241" spans="1:10" x14ac:dyDescent="0.3">
      <c r="A241" s="5">
        <f>SALES_EDA!A228</f>
        <v>41864.083333333336</v>
      </c>
      <c r="B241" s="15">
        <f>SALES_EDA!M228</f>
        <v>32.452087746362608</v>
      </c>
      <c r="C241" s="15">
        <f>SALES_EDA!T228</f>
        <v>33.222586109247509</v>
      </c>
      <c r="D241" s="6">
        <f>SALES_EDA!D228</f>
        <v>6092</v>
      </c>
      <c r="E241" s="14">
        <f>SALES_EDA!B228</f>
        <v>197698.118550841</v>
      </c>
      <c r="F241" s="1"/>
      <c r="G241" s="1"/>
      <c r="H241" s="1"/>
      <c r="I241" s="1"/>
      <c r="J241" s="1"/>
    </row>
    <row r="242" spans="1:10" x14ac:dyDescent="0.3">
      <c r="A242" s="5">
        <f>SALES_EDA!A229</f>
        <v>41865.083333333336</v>
      </c>
      <c r="B242" s="15">
        <f>SALES_EDA!M229</f>
        <v>32.435521532333453</v>
      </c>
      <c r="C242" s="15">
        <f>SALES_EDA!T229</f>
        <v>33.135957430823055</v>
      </c>
      <c r="D242" s="6">
        <f>SALES_EDA!D229</f>
        <v>5485</v>
      </c>
      <c r="E242" s="14">
        <f>SALES_EDA!B229</f>
        <v>177908.83560484901</v>
      </c>
      <c r="F242" s="1"/>
      <c r="G242" s="1"/>
      <c r="H242" s="1"/>
      <c r="I242" s="1"/>
      <c r="J242" s="1"/>
    </row>
    <row r="243" spans="1:10" x14ac:dyDescent="0.3">
      <c r="A243" s="5">
        <f>SALES_EDA!A230</f>
        <v>41866.083333333336</v>
      </c>
      <c r="B243" s="15">
        <f>SALES_EDA!M230</f>
        <v>32.448199249451839</v>
      </c>
      <c r="C243" s="15">
        <f>SALES_EDA!T230</f>
        <v>33.136136188496174</v>
      </c>
      <c r="D243" s="6">
        <f>SALES_EDA!D230</f>
        <v>14587</v>
      </c>
      <c r="E243" s="14">
        <f>SALES_EDA!B230</f>
        <v>473321.88245175401</v>
      </c>
      <c r="F243" s="1"/>
      <c r="G243" s="1"/>
      <c r="H243" s="1"/>
      <c r="I243" s="1"/>
      <c r="J243" s="1"/>
    </row>
    <row r="244" spans="1:10" x14ac:dyDescent="0.3">
      <c r="A244" s="5">
        <f>SALES_EDA!A231</f>
        <v>41867.083333333336</v>
      </c>
      <c r="B244" s="15">
        <f>SALES_EDA!M231</f>
        <v>32.458401783503</v>
      </c>
      <c r="C244" s="15">
        <f>SALES_EDA!T231</f>
        <v>33.050288387840489</v>
      </c>
      <c r="D244" s="6">
        <f>SALES_EDA!D231</f>
        <v>16686</v>
      </c>
      <c r="E244" s="14">
        <f>SALES_EDA!B231</f>
        <v>541600.89215953101</v>
      </c>
      <c r="F244" s="1"/>
      <c r="G244" s="1"/>
      <c r="H244" s="1"/>
      <c r="I244" s="1"/>
      <c r="J244" s="1"/>
    </row>
    <row r="245" spans="1:10" x14ac:dyDescent="0.3">
      <c r="A245" s="5">
        <f>SALES_EDA!A232</f>
        <v>41868.083333333336</v>
      </c>
      <c r="B245" s="15">
        <f>SALES_EDA!M232</f>
        <v>32.454468704967077</v>
      </c>
      <c r="C245" s="15">
        <f>SALES_EDA!T232</f>
        <v>32.964306376549693</v>
      </c>
      <c r="D245" s="6">
        <f>SALES_EDA!D232</f>
        <v>7380</v>
      </c>
      <c r="E245" s="14">
        <f>SALES_EDA!B232</f>
        <v>239513.97904265701</v>
      </c>
      <c r="F245" s="1"/>
      <c r="G245" s="1"/>
      <c r="H245" s="1"/>
      <c r="I245" s="1"/>
      <c r="J245" s="1"/>
    </row>
    <row r="246" spans="1:10" x14ac:dyDescent="0.3">
      <c r="A246" s="5">
        <f>SALES_EDA!A233</f>
        <v>41869.083333333336</v>
      </c>
      <c r="B246" s="15">
        <f>SALES_EDA!M233</f>
        <v>32.454758717237155</v>
      </c>
      <c r="C246" s="15">
        <f>SALES_EDA!T233</f>
        <v>32.965040816407829</v>
      </c>
      <c r="D246" s="6">
        <f>SALES_EDA!D233</f>
        <v>7864</v>
      </c>
      <c r="E246" s="14">
        <f>SALES_EDA!B233</f>
        <v>255224.22255235299</v>
      </c>
      <c r="F246" s="1"/>
      <c r="G246" s="1"/>
      <c r="H246" s="1"/>
      <c r="I246" s="1"/>
      <c r="J246" s="1"/>
    </row>
    <row r="247" spans="1:10" x14ac:dyDescent="0.3">
      <c r="A247" s="5">
        <f>SALES_EDA!A234</f>
        <v>41870.083333333336</v>
      </c>
      <c r="B247" s="15">
        <f>SALES_EDA!M234</f>
        <v>32.457405324636717</v>
      </c>
      <c r="C247" s="15">
        <f>SALES_EDA!T234</f>
        <v>32.878938900410873</v>
      </c>
      <c r="D247" s="6">
        <f>SALES_EDA!D234</f>
        <v>4941</v>
      </c>
      <c r="E247" s="14">
        <f>SALES_EDA!B234</f>
        <v>160372.03970903001</v>
      </c>
      <c r="F247" s="1"/>
      <c r="G247" s="1"/>
      <c r="H247" s="1"/>
      <c r="I247" s="1"/>
      <c r="J247" s="1"/>
    </row>
    <row r="248" spans="1:10" x14ac:dyDescent="0.3">
      <c r="A248" s="5">
        <f>SALES_EDA!A235</f>
        <v>41871.083333333336</v>
      </c>
      <c r="B248" s="15">
        <f>SALES_EDA!M235</f>
        <v>33.311460347998448</v>
      </c>
      <c r="C248" s="15">
        <f>SALES_EDA!T235</f>
        <v>32.821131451711011</v>
      </c>
      <c r="D248" s="6">
        <f>SALES_EDA!D235</f>
        <v>5151</v>
      </c>
      <c r="E248" s="14">
        <f>SALES_EDA!B235</f>
        <v>171587.33225254001</v>
      </c>
      <c r="F248" s="1"/>
      <c r="G248" s="1"/>
      <c r="H248" s="1"/>
      <c r="I248" s="1"/>
      <c r="J248" s="1"/>
    </row>
    <row r="249" spans="1:10" x14ac:dyDescent="0.3">
      <c r="A249" s="5">
        <f>SALES_EDA!A236</f>
        <v>41872.083333333336</v>
      </c>
      <c r="B249" s="15">
        <f>SALES_EDA!M236</f>
        <v>33.3214408710623</v>
      </c>
      <c r="C249" s="15">
        <f>SALES_EDA!T236</f>
        <v>32.76428092673693</v>
      </c>
      <c r="D249" s="6">
        <f>SALES_EDA!D236</f>
        <v>4928</v>
      </c>
      <c r="E249" s="14">
        <f>SALES_EDA!B236</f>
        <v>164208.060612595</v>
      </c>
      <c r="F249" s="1"/>
      <c r="G249" s="1"/>
      <c r="H249" s="1"/>
      <c r="I249" s="1"/>
      <c r="J249" s="1"/>
    </row>
    <row r="250" spans="1:10" x14ac:dyDescent="0.3">
      <c r="A250" s="5">
        <f>SALES_EDA!A237</f>
        <v>41873.083333333336</v>
      </c>
      <c r="B250" s="15">
        <f>SALES_EDA!M237</f>
        <v>33.316724352683529</v>
      </c>
      <c r="C250" s="15">
        <f>SALES_EDA!T237</f>
        <v>32.792829197272034</v>
      </c>
      <c r="D250" s="6">
        <f>SALES_EDA!D237</f>
        <v>11309</v>
      </c>
      <c r="E250" s="14">
        <f>SALES_EDA!B237</f>
        <v>376778.83570449799</v>
      </c>
      <c r="F250" s="1"/>
      <c r="G250" s="1"/>
      <c r="H250" s="1"/>
      <c r="I250" s="1"/>
      <c r="J250" s="1"/>
    </row>
    <row r="251" spans="1:10" x14ac:dyDescent="0.3">
      <c r="A251" s="5">
        <f>SALES_EDA!A238</f>
        <v>41874.083333333336</v>
      </c>
      <c r="B251" s="15">
        <f>SALES_EDA!M238</f>
        <v>33.32354910587835</v>
      </c>
      <c r="C251" s="15">
        <f>SALES_EDA!T238</f>
        <v>32.735686369694548</v>
      </c>
      <c r="D251" s="6">
        <f>SALES_EDA!D238</f>
        <v>13613</v>
      </c>
      <c r="E251" s="14">
        <f>SALES_EDA!B238</f>
        <v>453633.473978322</v>
      </c>
      <c r="F251" s="1"/>
      <c r="G251" s="1"/>
      <c r="H251" s="1"/>
      <c r="I251" s="1"/>
      <c r="J251" s="1"/>
    </row>
    <row r="252" spans="1:10" x14ac:dyDescent="0.3">
      <c r="A252" s="5">
        <f>SALES_EDA!A239</f>
        <v>41875.083333333336</v>
      </c>
      <c r="B252" s="15">
        <f>SALES_EDA!M239</f>
        <v>33.373661402981476</v>
      </c>
      <c r="C252" s="15">
        <f>SALES_EDA!T239</f>
        <v>32.766808173718417</v>
      </c>
      <c r="D252" s="6">
        <f>SALES_EDA!D239</f>
        <v>6424</v>
      </c>
      <c r="E252" s="14">
        <f>SALES_EDA!B239</f>
        <v>214392.40085275299</v>
      </c>
      <c r="F252" s="1"/>
      <c r="G252" s="1"/>
      <c r="H252" s="1"/>
      <c r="I252" s="1"/>
      <c r="J252" s="1"/>
    </row>
    <row r="253" spans="1:10" x14ac:dyDescent="0.3">
      <c r="A253" s="5">
        <f>SALES_EDA!A240</f>
        <v>41876.083333333336</v>
      </c>
      <c r="B253" s="15">
        <f>SALES_EDA!M240</f>
        <v>33.330249902289054</v>
      </c>
      <c r="C253" s="15">
        <f>SALES_EDA!T240</f>
        <v>32.796514986279789</v>
      </c>
      <c r="D253" s="6">
        <f>SALES_EDA!D240</f>
        <v>9493</v>
      </c>
      <c r="E253" s="14">
        <f>SALES_EDA!B240</f>
        <v>316404.06232243002</v>
      </c>
      <c r="F253" s="1"/>
      <c r="G253" s="1"/>
      <c r="H253" s="1"/>
      <c r="I253" s="1"/>
      <c r="J253" s="1"/>
    </row>
    <row r="254" spans="1:10" x14ac:dyDescent="0.3">
      <c r="A254" s="5">
        <f>SALES_EDA!A241</f>
        <v>41877.083333333336</v>
      </c>
      <c r="B254" s="15">
        <f>SALES_EDA!M241</f>
        <v>31.870914994153431</v>
      </c>
      <c r="C254" s="15">
        <f>SALES_EDA!T241</f>
        <v>32.777257740298893</v>
      </c>
      <c r="D254" s="6">
        <f>SALES_EDA!D241</f>
        <v>7619</v>
      </c>
      <c r="E254" s="14">
        <f>SALES_EDA!B241</f>
        <v>242824.501340455</v>
      </c>
      <c r="F254" s="1"/>
      <c r="G254" s="1"/>
      <c r="H254" s="1"/>
      <c r="I254" s="1"/>
      <c r="J254" s="1"/>
    </row>
    <row r="255" spans="1:10" x14ac:dyDescent="0.3">
      <c r="A255" s="5">
        <f>SALES_EDA!A242</f>
        <v>41878.083333333336</v>
      </c>
      <c r="B255" s="15">
        <f>SALES_EDA!M242</f>
        <v>30.835363484585251</v>
      </c>
      <c r="C255" s="15">
        <f>SALES_EDA!T242</f>
        <v>32.723434136436879</v>
      </c>
      <c r="D255" s="6">
        <f>SALES_EDA!D242</f>
        <v>8909</v>
      </c>
      <c r="E255" s="14">
        <f>SALES_EDA!B242</f>
        <v>274712.25328417</v>
      </c>
      <c r="F255" s="1"/>
      <c r="G255" s="1"/>
      <c r="H255" s="1"/>
      <c r="I255" s="1"/>
      <c r="J255" s="1"/>
    </row>
    <row r="256" spans="1:10" x14ac:dyDescent="0.3">
      <c r="A256" s="5">
        <f>SALES_EDA!A243</f>
        <v>41879.083333333336</v>
      </c>
      <c r="B256" s="15">
        <f>SALES_EDA!M243</f>
        <v>30.722163023212499</v>
      </c>
      <c r="C256" s="15">
        <f>SALES_EDA!T243</f>
        <v>32.666458624311261</v>
      </c>
      <c r="D256" s="6">
        <f>SALES_EDA!D243</f>
        <v>8400</v>
      </c>
      <c r="E256" s="14">
        <f>SALES_EDA!B243</f>
        <v>258066.16939498499</v>
      </c>
      <c r="F256" s="1"/>
      <c r="G256" s="1"/>
      <c r="H256" s="1"/>
      <c r="I256" s="1"/>
      <c r="J256" s="1"/>
    </row>
    <row r="257" spans="1:10" x14ac:dyDescent="0.3">
      <c r="A257" s="5">
        <f>SALES_EDA!A244</f>
        <v>41880.083333333336</v>
      </c>
      <c r="B257" s="15">
        <f>SALES_EDA!M244</f>
        <v>30.750489889926595</v>
      </c>
      <c r="C257" s="15">
        <f>SALES_EDA!T244</f>
        <v>32.60975676271832</v>
      </c>
      <c r="D257" s="6">
        <f>SALES_EDA!D244</f>
        <v>19317</v>
      </c>
      <c r="E257" s="14">
        <f>SALES_EDA!B244</f>
        <v>594007.21320371202</v>
      </c>
      <c r="F257" s="1"/>
      <c r="G257" s="1"/>
      <c r="H257" s="1"/>
      <c r="I257" s="1"/>
      <c r="J257" s="1"/>
    </row>
    <row r="258" spans="1:10" x14ac:dyDescent="0.3">
      <c r="A258" s="5">
        <f>SALES_EDA!A245</f>
        <v>41881.083333333336</v>
      </c>
      <c r="B258" s="15">
        <f>SALES_EDA!M245</f>
        <v>30.763479743387347</v>
      </c>
      <c r="C258" s="15">
        <f>SALES_EDA!T245</f>
        <v>32.553708769044285</v>
      </c>
      <c r="D258" s="6">
        <f>SALES_EDA!D245</f>
        <v>23310</v>
      </c>
      <c r="E258" s="14">
        <f>SALES_EDA!B245</f>
        <v>717096.71281835902</v>
      </c>
      <c r="F258" s="1"/>
      <c r="G258" s="1"/>
      <c r="H258" s="1"/>
      <c r="I258" s="1"/>
      <c r="J258" s="1"/>
    </row>
    <row r="259" spans="1:10" x14ac:dyDescent="0.3">
      <c r="A259" s="5">
        <f>SALES_EDA!A246</f>
        <v>41882.083333333336</v>
      </c>
      <c r="B259" s="15">
        <f>SALES_EDA!M246</f>
        <v>30.754851135910783</v>
      </c>
      <c r="C259" s="15">
        <f>SALES_EDA!T246</f>
        <v>32.497803578677114</v>
      </c>
      <c r="D259" s="6">
        <f>SALES_EDA!D246</f>
        <v>11646</v>
      </c>
      <c r="E259" s="14">
        <f>SALES_EDA!B246</f>
        <v>358170.99632881698</v>
      </c>
      <c r="F259" s="1"/>
      <c r="G259" s="1"/>
      <c r="H259" s="1"/>
      <c r="I259" s="1"/>
      <c r="J259" s="1"/>
    </row>
    <row r="260" spans="1:10" x14ac:dyDescent="0.3">
      <c r="A260" s="5">
        <f>SALES_EDA!A247</f>
        <v>41883.083333333336</v>
      </c>
      <c r="B260" s="15">
        <f>SALES_EDA!M247</f>
        <v>30.721555040092895</v>
      </c>
      <c r="C260" s="15">
        <f>SALES_EDA!T247</f>
        <v>32.44074862625726</v>
      </c>
      <c r="D260" s="6">
        <f>SALES_EDA!D247</f>
        <v>19366</v>
      </c>
      <c r="E260" s="14">
        <f>SALES_EDA!B247</f>
        <v>594953.63490643899</v>
      </c>
      <c r="F260" s="1"/>
      <c r="G260" s="1"/>
      <c r="H260" s="1"/>
      <c r="I260" s="1"/>
      <c r="J260" s="1"/>
    </row>
    <row r="261" spans="1:10" x14ac:dyDescent="0.3">
      <c r="A261" s="5">
        <f>SALES_EDA!A248</f>
        <v>41884.083333333336</v>
      </c>
      <c r="B261" s="15">
        <f>SALES_EDA!M248</f>
        <v>30.70237008862259</v>
      </c>
      <c r="C261" s="15">
        <f>SALES_EDA!T248</f>
        <v>32.382938246298657</v>
      </c>
      <c r="D261" s="6">
        <f>SALES_EDA!D248</f>
        <v>15291</v>
      </c>
      <c r="E261" s="14">
        <f>SALES_EDA!B248</f>
        <v>469469.94102512801</v>
      </c>
      <c r="F261" s="1"/>
      <c r="G261" s="1"/>
      <c r="H261" s="1"/>
      <c r="I261" s="1"/>
      <c r="J261" s="1"/>
    </row>
    <row r="262" spans="1:10" x14ac:dyDescent="0.3">
      <c r="A262" s="5">
        <f>SALES_EDA!A249</f>
        <v>41885.083333333336</v>
      </c>
      <c r="B262" s="15">
        <f>SALES_EDA!M249</f>
        <v>30.732966843722714</v>
      </c>
      <c r="C262" s="15">
        <f>SALES_EDA!T249</f>
        <v>32.326778016541695</v>
      </c>
      <c r="D262" s="6">
        <f>SALES_EDA!D249</f>
        <v>15100</v>
      </c>
      <c r="E262" s="14">
        <f>SALES_EDA!B249</f>
        <v>464067.79934021301</v>
      </c>
      <c r="F262" s="1"/>
      <c r="G262" s="1"/>
      <c r="H262" s="1"/>
      <c r="I262" s="1"/>
      <c r="J262" s="1"/>
    </row>
    <row r="263" spans="1:10" x14ac:dyDescent="0.3">
      <c r="A263" s="5">
        <f>SALES_EDA!A250</f>
        <v>41886.083333333336</v>
      </c>
      <c r="B263" s="15">
        <f>SALES_EDA!M250</f>
        <v>30.727268199644922</v>
      </c>
      <c r="C263" s="15">
        <f>SALES_EDA!T250</f>
        <v>32.270191422509683</v>
      </c>
      <c r="D263" s="6">
        <f>SALES_EDA!D250</f>
        <v>10164</v>
      </c>
      <c r="E263" s="14">
        <f>SALES_EDA!B250</f>
        <v>312311.95398119098</v>
      </c>
      <c r="F263" s="1"/>
      <c r="G263" s="1"/>
      <c r="H263" s="1"/>
      <c r="I263" s="1"/>
      <c r="J263" s="1"/>
    </row>
    <row r="264" spans="1:10" x14ac:dyDescent="0.3">
      <c r="A264" s="5">
        <f>SALES_EDA!A251</f>
        <v>41887.083333333336</v>
      </c>
      <c r="B264" s="15">
        <f>SALES_EDA!M251</f>
        <v>30.734457415357507</v>
      </c>
      <c r="C264" s="15">
        <f>SALES_EDA!T251</f>
        <v>32.12666199606268</v>
      </c>
      <c r="D264" s="6">
        <f>SALES_EDA!D251</f>
        <v>16310</v>
      </c>
      <c r="E264" s="14">
        <f>SALES_EDA!B251</f>
        <v>501279.00044448097</v>
      </c>
      <c r="F264" s="1"/>
      <c r="G264" s="1"/>
      <c r="H264" s="1"/>
      <c r="I264" s="1"/>
      <c r="J264" s="1"/>
    </row>
    <row r="265" spans="1:10" x14ac:dyDescent="0.3">
      <c r="A265" s="5">
        <f>SALES_EDA!A252</f>
        <v>41888.083333333336</v>
      </c>
      <c r="B265" s="15">
        <f>SALES_EDA!M252</f>
        <v>30.731381915938446</v>
      </c>
      <c r="C265" s="15">
        <f>SALES_EDA!T252</f>
        <v>31.982931194037128</v>
      </c>
      <c r="D265" s="6">
        <f>SALES_EDA!D252</f>
        <v>17985</v>
      </c>
      <c r="E265" s="14">
        <f>SALES_EDA!B252</f>
        <v>552703.90375815297</v>
      </c>
      <c r="F265" s="1"/>
      <c r="G265" s="1"/>
      <c r="H265" s="1"/>
      <c r="I265" s="1"/>
      <c r="J265" s="1"/>
    </row>
    <row r="266" spans="1:10" x14ac:dyDescent="0.3">
      <c r="A266" s="5">
        <f>SALES_EDA!A253</f>
        <v>41889.083333333336</v>
      </c>
      <c r="B266" s="15">
        <f>SALES_EDA!M253</f>
        <v>30.728840185133333</v>
      </c>
      <c r="C266" s="15">
        <f>SALES_EDA!T253</f>
        <v>31.9255997602755</v>
      </c>
      <c r="D266" s="6">
        <f>SALES_EDA!D253</f>
        <v>7620</v>
      </c>
      <c r="E266" s="14">
        <f>SALES_EDA!B253</f>
        <v>234153.762210716</v>
      </c>
      <c r="F266" s="1"/>
      <c r="G266" s="1"/>
      <c r="H266" s="1"/>
      <c r="I266" s="1"/>
      <c r="J266" s="1"/>
    </row>
    <row r="267" spans="1:10" x14ac:dyDescent="0.3">
      <c r="A267" s="5">
        <f>SALES_EDA!A254</f>
        <v>41890.083333333336</v>
      </c>
      <c r="B267" s="15">
        <f>SALES_EDA!M254</f>
        <v>30.721474959701684</v>
      </c>
      <c r="C267" s="15">
        <f>SALES_EDA!T254</f>
        <v>31.867622787923025</v>
      </c>
      <c r="D267" s="6">
        <f>SALES_EDA!D254</f>
        <v>7958</v>
      </c>
      <c r="E267" s="14">
        <f>SALES_EDA!B254</f>
        <v>244481.49772930599</v>
      </c>
      <c r="F267" s="1"/>
      <c r="G267" s="1"/>
      <c r="H267" s="1"/>
      <c r="I267" s="1"/>
      <c r="J267" s="1"/>
    </row>
    <row r="268" spans="1:10" x14ac:dyDescent="0.3">
      <c r="A268" s="5">
        <f>SALES_EDA!A255</f>
        <v>41891.083333333336</v>
      </c>
      <c r="B268" s="15">
        <f>SALES_EDA!M255</f>
        <v>35.041288974681414</v>
      </c>
      <c r="C268" s="15">
        <f>SALES_EDA!T255</f>
        <v>31.953289687104252</v>
      </c>
      <c r="D268" s="6">
        <f>SALES_EDA!D255</f>
        <v>3503</v>
      </c>
      <c r="E268" s="14">
        <f>SALES_EDA!B255</f>
        <v>122749.635278309</v>
      </c>
      <c r="F268" s="1"/>
      <c r="G268" s="1"/>
      <c r="H268" s="1"/>
      <c r="I268" s="1"/>
      <c r="J268" s="1"/>
    </row>
    <row r="269" spans="1:10" x14ac:dyDescent="0.3">
      <c r="A269" s="5">
        <f>SALES_EDA!A256</f>
        <v>41892.083333333336</v>
      </c>
      <c r="B269" s="15">
        <f>SALES_EDA!M256</f>
        <v>35.040677721282243</v>
      </c>
      <c r="C269" s="15">
        <f>SALES_EDA!T256</f>
        <v>32.039318456591296</v>
      </c>
      <c r="D269" s="6">
        <f>SALES_EDA!D256</f>
        <v>2247</v>
      </c>
      <c r="E269" s="14">
        <f>SALES_EDA!B256</f>
        <v>78736.402839721195</v>
      </c>
      <c r="F269" s="1"/>
      <c r="G269" s="1"/>
      <c r="H269" s="1"/>
      <c r="I269" s="1"/>
      <c r="J269" s="1"/>
    </row>
    <row r="270" spans="1:10" x14ac:dyDescent="0.3">
      <c r="A270" s="5">
        <f>SALES_EDA!A257</f>
        <v>41893.083333333336</v>
      </c>
      <c r="B270" s="15">
        <f>SALES_EDA!M257</f>
        <v>35.034656781384626</v>
      </c>
      <c r="C270" s="15">
        <f>SALES_EDA!T257</f>
        <v>32.125070981270781</v>
      </c>
      <c r="D270" s="6">
        <f>SALES_EDA!D257</f>
        <v>2023</v>
      </c>
      <c r="E270" s="14">
        <f>SALES_EDA!B257</f>
        <v>70875.110668741094</v>
      </c>
      <c r="F270" s="1"/>
      <c r="G270" s="1"/>
      <c r="H270" s="1"/>
      <c r="I270" s="1"/>
      <c r="J270" s="1"/>
    </row>
    <row r="271" spans="1:10" x14ac:dyDescent="0.3">
      <c r="A271" s="5">
        <f>SALES_EDA!A258</f>
        <v>41894.083333333336</v>
      </c>
      <c r="B271" s="15">
        <f>SALES_EDA!M258</f>
        <v>35.038753278376944</v>
      </c>
      <c r="C271" s="15">
        <f>SALES_EDA!T258</f>
        <v>32.21129316567125</v>
      </c>
      <c r="D271" s="6">
        <f>SALES_EDA!D258</f>
        <v>4242</v>
      </c>
      <c r="E271" s="14">
        <f>SALES_EDA!B258</f>
        <v>148634.39140687499</v>
      </c>
      <c r="F271" s="1"/>
      <c r="G271" s="1"/>
      <c r="H271" s="1"/>
      <c r="I271" s="1"/>
      <c r="J271" s="1"/>
    </row>
    <row r="272" spans="1:10" x14ac:dyDescent="0.3">
      <c r="A272" s="5">
        <f>SALES_EDA!A259</f>
        <v>41895.083333333336</v>
      </c>
      <c r="B272" s="15">
        <f>SALES_EDA!M259</f>
        <v>35.038732663116505</v>
      </c>
      <c r="C272" s="15">
        <f>SALES_EDA!T259</f>
        <v>32.298066870030688</v>
      </c>
      <c r="D272" s="6">
        <f>SALES_EDA!D259</f>
        <v>4901</v>
      </c>
      <c r="E272" s="14">
        <f>SALES_EDA!B259</f>
        <v>171724.82878193399</v>
      </c>
      <c r="F272" s="1"/>
      <c r="G272" s="1"/>
      <c r="H272" s="1"/>
      <c r="I272" s="1"/>
      <c r="J272" s="1"/>
    </row>
    <row r="273" spans="1:10" x14ac:dyDescent="0.3">
      <c r="A273" s="5">
        <f>SALES_EDA!A260</f>
        <v>41896.083333333336</v>
      </c>
      <c r="B273" s="15">
        <f>SALES_EDA!M260</f>
        <v>35.03676482973291</v>
      </c>
      <c r="C273" s="15">
        <f>SALES_EDA!T260</f>
        <v>32.384352389373383</v>
      </c>
      <c r="D273" s="6">
        <f>SALES_EDA!D260</f>
        <v>2467</v>
      </c>
      <c r="E273" s="14">
        <f>SALES_EDA!B260</f>
        <v>86435.698834951094</v>
      </c>
      <c r="F273" s="1"/>
      <c r="G273" s="1"/>
      <c r="H273" s="1"/>
      <c r="I273" s="1"/>
      <c r="J273" s="1"/>
    </row>
    <row r="274" spans="1:10" x14ac:dyDescent="0.3">
      <c r="A274" s="5">
        <f>SALES_EDA!A261</f>
        <v>41897.083333333336</v>
      </c>
      <c r="B274" s="15">
        <f>SALES_EDA!M261</f>
        <v>35.033852769047201</v>
      </c>
      <c r="C274" s="15">
        <f>SALES_EDA!T261</f>
        <v>32.470200755558189</v>
      </c>
      <c r="D274" s="6">
        <f>SALES_EDA!D261</f>
        <v>3432</v>
      </c>
      <c r="E274" s="14">
        <f>SALES_EDA!B261</f>
        <v>120236.18270337</v>
      </c>
      <c r="F274" s="1"/>
      <c r="G274" s="1"/>
      <c r="H274" s="1"/>
      <c r="I274" s="1"/>
      <c r="J274" s="1"/>
    </row>
    <row r="275" spans="1:10" x14ac:dyDescent="0.3">
      <c r="A275" s="5">
        <f>SALES_EDA!A262</f>
        <v>41898.083333333336</v>
      </c>
      <c r="B275" s="15">
        <f>SALES_EDA!M262</f>
        <v>35.033345976497301</v>
      </c>
      <c r="C275" s="15">
        <f>SALES_EDA!T262</f>
        <v>32.556163331275862</v>
      </c>
      <c r="D275" s="6">
        <f>SALES_EDA!D262</f>
        <v>2375</v>
      </c>
      <c r="E275" s="14">
        <f>SALES_EDA!B262</f>
        <v>83204.196694181097</v>
      </c>
      <c r="F275" s="1"/>
      <c r="G275" s="1"/>
      <c r="H275" s="1"/>
      <c r="I275" s="1"/>
      <c r="J275" s="1"/>
    </row>
    <row r="276" spans="1:10" x14ac:dyDescent="0.3">
      <c r="A276" s="5">
        <f>SALES_EDA!A263</f>
        <v>41899.083333333336</v>
      </c>
      <c r="B276" s="15">
        <f>SALES_EDA!M263</f>
        <v>35.044197023715441</v>
      </c>
      <c r="C276" s="15">
        <f>SALES_EDA!T263</f>
        <v>32.642477941491812</v>
      </c>
      <c r="D276" s="6">
        <f>SALES_EDA!D263</f>
        <v>2105</v>
      </c>
      <c r="E276" s="14">
        <f>SALES_EDA!B263</f>
        <v>73768.034734921006</v>
      </c>
      <c r="F276" s="1"/>
      <c r="G276" s="1"/>
      <c r="H276" s="1"/>
      <c r="I276" s="1"/>
      <c r="J276" s="1"/>
    </row>
    <row r="277" spans="1:10" x14ac:dyDescent="0.3">
      <c r="A277" s="5">
        <f>SALES_EDA!A264</f>
        <v>41900.083333333336</v>
      </c>
      <c r="B277" s="15">
        <f>SALES_EDA!M264</f>
        <v>35.027974326826943</v>
      </c>
      <c r="C277" s="15">
        <f>SALES_EDA!T264</f>
        <v>32.728163574898154</v>
      </c>
      <c r="D277" s="6">
        <f>SALES_EDA!D264</f>
        <v>1982</v>
      </c>
      <c r="E277" s="14">
        <f>SALES_EDA!B264</f>
        <v>69425.445115770999</v>
      </c>
      <c r="F277" s="1"/>
      <c r="G277" s="1"/>
      <c r="H277" s="1"/>
      <c r="I277" s="1"/>
      <c r="J277" s="1"/>
    </row>
    <row r="278" spans="1:10" x14ac:dyDescent="0.3">
      <c r="A278" s="5">
        <f>SALES_EDA!A265</f>
        <v>41901.083333333336</v>
      </c>
      <c r="B278" s="15">
        <f>SALES_EDA!M265</f>
        <v>35.033193892156071</v>
      </c>
      <c r="C278" s="15">
        <f>SALES_EDA!T265</f>
        <v>32.785554693036737</v>
      </c>
      <c r="D278" s="6">
        <f>SALES_EDA!D265</f>
        <v>3915</v>
      </c>
      <c r="E278" s="14">
        <f>SALES_EDA!B265</f>
        <v>137154.954087791</v>
      </c>
      <c r="F278" s="1"/>
      <c r="G278" s="1"/>
      <c r="H278" s="1"/>
      <c r="I278" s="1"/>
      <c r="J278" s="1"/>
    </row>
    <row r="279" spans="1:10" x14ac:dyDescent="0.3">
      <c r="A279" s="5">
        <f>SALES_EDA!A266</f>
        <v>41902.083333333336</v>
      </c>
      <c r="B279" s="15">
        <f>SALES_EDA!M266</f>
        <v>35.037431412322611</v>
      </c>
      <c r="C279" s="15">
        <f>SALES_EDA!T266</f>
        <v>32.842754377745422</v>
      </c>
      <c r="D279" s="6">
        <f>SALES_EDA!D266</f>
        <v>4383</v>
      </c>
      <c r="E279" s="14">
        <f>SALES_EDA!B266</f>
        <v>153569.06188021001</v>
      </c>
      <c r="F279" s="1"/>
      <c r="G279" s="1"/>
      <c r="H279" s="1"/>
      <c r="I279" s="1"/>
      <c r="J279" s="1"/>
    </row>
    <row r="280" spans="1:10" x14ac:dyDescent="0.3">
      <c r="A280" s="5">
        <f>SALES_EDA!A267</f>
        <v>41903.083333333336</v>
      </c>
      <c r="B280" s="15">
        <f>SALES_EDA!M267</f>
        <v>35.031644552425334</v>
      </c>
      <c r="C280" s="15">
        <f>SALES_EDA!T267</f>
        <v>32.899918384403477</v>
      </c>
      <c r="D280" s="6">
        <f>SALES_EDA!D267</f>
        <v>2159</v>
      </c>
      <c r="E280" s="14">
        <f>SALES_EDA!B267</f>
        <v>75633.3205886863</v>
      </c>
      <c r="F280" s="1"/>
      <c r="G280" s="1"/>
      <c r="H280" s="1"/>
      <c r="I280" s="1"/>
      <c r="J280" s="1"/>
    </row>
    <row r="281" spans="1:10" x14ac:dyDescent="0.3">
      <c r="A281" s="5">
        <f>SALES_EDA!A268</f>
        <v>41904.083333333336</v>
      </c>
      <c r="B281" s="15">
        <f>SALES_EDA!M268</f>
        <v>35.037009958599882</v>
      </c>
      <c r="C281" s="15">
        <f>SALES_EDA!T268</f>
        <v>32.95703374616086</v>
      </c>
      <c r="D281" s="6">
        <f>SALES_EDA!D268</f>
        <v>2592</v>
      </c>
      <c r="E281" s="14">
        <f>SALES_EDA!B268</f>
        <v>90815.929812690898</v>
      </c>
      <c r="F281" s="1"/>
      <c r="G281" s="1"/>
      <c r="H281" s="1"/>
      <c r="I281" s="1"/>
      <c r="J281" s="1"/>
    </row>
    <row r="282" spans="1:10" x14ac:dyDescent="0.3">
      <c r="A282" s="5">
        <f>SALES_EDA!A269</f>
        <v>41905.083333333336</v>
      </c>
      <c r="B282" s="15">
        <f>SALES_EDA!M269</f>
        <v>35.036002669891822</v>
      </c>
      <c r="C282" s="15">
        <f>SALES_EDA!T269</f>
        <v>33.012445121724546</v>
      </c>
      <c r="D282" s="6">
        <f>SALES_EDA!D269</f>
        <v>3143</v>
      </c>
      <c r="E282" s="14">
        <f>SALES_EDA!B269</f>
        <v>110118.15639146999</v>
      </c>
      <c r="F282" s="1"/>
      <c r="G282" s="1"/>
      <c r="H282" s="1"/>
      <c r="I282" s="1"/>
      <c r="J282" s="1"/>
    </row>
    <row r="283" spans="1:10" x14ac:dyDescent="0.3">
      <c r="A283" s="5">
        <f>SALES_EDA!A270</f>
        <v>41906.083333333336</v>
      </c>
      <c r="B283" s="15">
        <f>SALES_EDA!M270</f>
        <v>32.508654655666717</v>
      </c>
      <c r="C283" s="15">
        <f>SALES_EDA!T270</f>
        <v>32.985058613503803</v>
      </c>
      <c r="D283" s="6">
        <f>SALES_EDA!D270</f>
        <v>6457</v>
      </c>
      <c r="E283" s="14">
        <f>SALES_EDA!B270</f>
        <v>209908.38311164</v>
      </c>
      <c r="F283" s="1"/>
      <c r="G283" s="1"/>
      <c r="H283" s="1"/>
      <c r="I283" s="1"/>
      <c r="J283" s="1"/>
    </row>
    <row r="284" spans="1:10" x14ac:dyDescent="0.3">
      <c r="A284" s="5">
        <f>SALES_EDA!A271</f>
        <v>41907.083333333336</v>
      </c>
      <c r="B284" s="15">
        <f>SALES_EDA!M271</f>
        <v>32.463600232701602</v>
      </c>
      <c r="C284" s="15">
        <f>SALES_EDA!T271</f>
        <v>33.004814788122069</v>
      </c>
      <c r="D284" s="6">
        <f>SALES_EDA!D271</f>
        <v>11039</v>
      </c>
      <c r="E284" s="14">
        <f>SALES_EDA!B271</f>
        <v>358365.68296879297</v>
      </c>
      <c r="F284" s="1"/>
      <c r="G284" s="1"/>
      <c r="H284" s="1"/>
      <c r="I284" s="1"/>
      <c r="J284" s="1"/>
    </row>
    <row r="285" spans="1:10" x14ac:dyDescent="0.3">
      <c r="A285" s="5">
        <f>SALES_EDA!A272</f>
        <v>41908.083333333336</v>
      </c>
      <c r="B285" s="15">
        <f>SALES_EDA!M272</f>
        <v>32.460855844275898</v>
      </c>
      <c r="C285" s="15">
        <f>SALES_EDA!T272</f>
        <v>33.058997866778427</v>
      </c>
      <c r="D285" s="6">
        <f>SALES_EDA!D272</f>
        <v>18036</v>
      </c>
      <c r="E285" s="14">
        <f>SALES_EDA!B272</f>
        <v>585463.99600736005</v>
      </c>
      <c r="F285" s="1"/>
      <c r="G285" s="1"/>
      <c r="H285" s="1"/>
      <c r="I285" s="1"/>
      <c r="J285" s="1"/>
    </row>
    <row r="286" spans="1:10" x14ac:dyDescent="0.3">
      <c r="A286" s="5">
        <f>SALES_EDA!A273</f>
        <v>41909.083333333336</v>
      </c>
      <c r="B286" s="15">
        <f>SALES_EDA!M273</f>
        <v>32.445658701920436</v>
      </c>
      <c r="C286" s="15">
        <f>SALES_EDA!T273</f>
        <v>33.116447722735359</v>
      </c>
      <c r="D286" s="6">
        <f>SALES_EDA!D273</f>
        <v>19017</v>
      </c>
      <c r="E286" s="14">
        <f>SALES_EDA!B273</f>
        <v>617019.09153442096</v>
      </c>
      <c r="F286" s="1"/>
      <c r="G286" s="1"/>
      <c r="H286" s="1"/>
      <c r="I286" s="1"/>
      <c r="J286" s="1"/>
    </row>
    <row r="287" spans="1:10" x14ac:dyDescent="0.3">
      <c r="A287" s="5">
        <f>SALES_EDA!A274</f>
        <v>41910.083333333336</v>
      </c>
      <c r="B287" s="15">
        <f>SALES_EDA!M274</f>
        <v>32.45119436441054</v>
      </c>
      <c r="C287" s="15">
        <f>SALES_EDA!T274</f>
        <v>33.173137871884826</v>
      </c>
      <c r="D287" s="6">
        <f>SALES_EDA!D274</f>
        <v>8747</v>
      </c>
      <c r="E287" s="14">
        <f>SALES_EDA!B274</f>
        <v>283850.59710549901</v>
      </c>
      <c r="F287" s="1"/>
      <c r="G287" s="1"/>
      <c r="H287" s="1"/>
      <c r="I287" s="1"/>
      <c r="J287" s="1"/>
    </row>
    <row r="288" spans="1:10" x14ac:dyDescent="0.3">
      <c r="A288" s="5">
        <f>SALES_EDA!A275</f>
        <v>41911.083333333336</v>
      </c>
      <c r="B288" s="15">
        <f>SALES_EDA!M275</f>
        <v>32.443489673266967</v>
      </c>
      <c r="C288" s="15">
        <f>SALES_EDA!T275</f>
        <v>33.229138202880812</v>
      </c>
      <c r="D288" s="6">
        <f>SALES_EDA!D275</f>
        <v>8147</v>
      </c>
      <c r="E288" s="14">
        <f>SALES_EDA!B275</f>
        <v>264317.11036810599</v>
      </c>
      <c r="F288" s="1"/>
      <c r="G288" s="1"/>
      <c r="H288" s="1"/>
      <c r="I288" s="1"/>
      <c r="J288" s="1"/>
    </row>
    <row r="289" spans="1:10" x14ac:dyDescent="0.3">
      <c r="A289" s="5">
        <f>SALES_EDA!A276</f>
        <v>41912.083333333336</v>
      </c>
      <c r="B289" s="15">
        <f>SALES_EDA!M276</f>
        <v>32.44155322116945</v>
      </c>
      <c r="C289" s="15">
        <f>SALES_EDA!T276</f>
        <v>33.28536160572277</v>
      </c>
      <c r="D289" s="6">
        <f>SALES_EDA!D276</f>
        <v>11036</v>
      </c>
      <c r="E289" s="14">
        <f>SALES_EDA!B276</f>
        <v>358024.98134882603</v>
      </c>
      <c r="F289" s="1"/>
      <c r="G289" s="1"/>
      <c r="H289" s="1"/>
      <c r="I289" s="1"/>
      <c r="J289" s="1"/>
    </row>
    <row r="290" spans="1:10" x14ac:dyDescent="0.3">
      <c r="A290" s="5">
        <f>SALES_EDA!A277</f>
        <v>41913.083333333336</v>
      </c>
      <c r="B290" s="15">
        <f>SALES_EDA!M277</f>
        <v>32.429802552116747</v>
      </c>
      <c r="C290" s="15">
        <f>SALES_EDA!T277</f>
        <v>33.342303189456892</v>
      </c>
      <c r="D290" s="6">
        <f>SALES_EDA!D277</f>
        <v>18330</v>
      </c>
      <c r="E290" s="14">
        <f>SALES_EDA!B277</f>
        <v>594438.28078030003</v>
      </c>
      <c r="F290" s="1"/>
      <c r="G290" s="1"/>
      <c r="H290" s="1"/>
      <c r="I290" s="1"/>
      <c r="J290" s="1"/>
    </row>
    <row r="291" spans="1:10" x14ac:dyDescent="0.3">
      <c r="A291" s="5">
        <f>SALES_EDA!A278</f>
        <v>41914.083333333336</v>
      </c>
      <c r="B291" s="15">
        <f>SALES_EDA!M278</f>
        <v>32.44209219088733</v>
      </c>
      <c r="C291" s="15">
        <f>SALES_EDA!T278</f>
        <v>33.400293926199048</v>
      </c>
      <c r="D291" s="6">
        <f>SALES_EDA!D278</f>
        <v>14503</v>
      </c>
      <c r="E291" s="14">
        <f>SALES_EDA!B278</f>
        <v>470507.66304443899</v>
      </c>
      <c r="F291" s="1"/>
      <c r="G291" s="1"/>
      <c r="H291" s="1"/>
      <c r="I291" s="1"/>
      <c r="J291" s="1"/>
    </row>
    <row r="292" spans="1:10" x14ac:dyDescent="0.3">
      <c r="A292" s="5">
        <f>SALES_EDA!A279</f>
        <v>41915.083333333336</v>
      </c>
      <c r="B292" s="15">
        <f>SALES_EDA!M279</f>
        <v>32.446736435935946</v>
      </c>
      <c r="C292" s="15">
        <f>SALES_EDA!T279</f>
        <v>33.457419579272823</v>
      </c>
      <c r="D292" s="6">
        <f>SALES_EDA!D279</f>
        <v>15986</v>
      </c>
      <c r="E292" s="14">
        <f>SALES_EDA!B279</f>
        <v>518693.52866487199</v>
      </c>
      <c r="F292" s="1"/>
      <c r="G292" s="1"/>
      <c r="H292" s="1"/>
      <c r="I292" s="1"/>
      <c r="J292" s="1"/>
    </row>
    <row r="293" spans="1:10" x14ac:dyDescent="0.3">
      <c r="A293" s="5">
        <f>SALES_EDA!A280</f>
        <v>41916.083333333336</v>
      </c>
      <c r="B293" s="15">
        <f>SALES_EDA!M280</f>
        <v>32.450468695478712</v>
      </c>
      <c r="C293" s="15">
        <f>SALES_EDA!T280</f>
        <v>33.514859595800623</v>
      </c>
      <c r="D293" s="6">
        <f>SALES_EDA!D280</f>
        <v>20223</v>
      </c>
      <c r="E293" s="14">
        <f>SALES_EDA!B280</f>
        <v>656245.82842866599</v>
      </c>
      <c r="F293" s="1"/>
      <c r="G293" s="1"/>
      <c r="H293" s="1"/>
      <c r="I293" s="1"/>
      <c r="J293" s="1"/>
    </row>
    <row r="294" spans="1:10" x14ac:dyDescent="0.3">
      <c r="A294" s="5">
        <f>SALES_EDA!A281</f>
        <v>41917.083333333336</v>
      </c>
      <c r="B294" s="15">
        <f>SALES_EDA!M281</f>
        <v>32.447586341879621</v>
      </c>
      <c r="C294" s="15">
        <f>SALES_EDA!T281</f>
        <v>33.571963893351359</v>
      </c>
      <c r="D294" s="6">
        <f>SALES_EDA!D281</f>
        <v>8631</v>
      </c>
      <c r="E294" s="14">
        <f>SALES_EDA!B281</f>
        <v>280055.11771676299</v>
      </c>
      <c r="F294" s="1"/>
      <c r="G294" s="1"/>
      <c r="H294" s="1"/>
      <c r="I294" s="1"/>
      <c r="J294" s="1"/>
    </row>
    <row r="295" spans="1:10" x14ac:dyDescent="0.3">
      <c r="A295" s="5">
        <f>SALES_EDA!A282</f>
        <v>41918.083333333336</v>
      </c>
      <c r="B295" s="15">
        <f>SALES_EDA!M282</f>
        <v>32.44218131582641</v>
      </c>
      <c r="C295" s="15">
        <f>SALES_EDA!T282</f>
        <v>33.628990540014293</v>
      </c>
      <c r="D295" s="6">
        <f>SALES_EDA!D282</f>
        <v>11579</v>
      </c>
      <c r="E295" s="14">
        <f>SALES_EDA!B282</f>
        <v>375648.01745595399</v>
      </c>
      <c r="F295" s="1"/>
      <c r="G295" s="1"/>
      <c r="H295" s="1"/>
      <c r="I295" s="1"/>
      <c r="J295" s="1"/>
    </row>
    <row r="296" spans="1:10" x14ac:dyDescent="0.3">
      <c r="A296" s="5">
        <f>SALES_EDA!A283</f>
        <v>41919.083333333336</v>
      </c>
      <c r="B296" s="15">
        <f>SALES_EDA!M283</f>
        <v>36.723891143921342</v>
      </c>
      <c r="C296" s="15">
        <f>SALES_EDA!T283</f>
        <v>33.828825571973887</v>
      </c>
      <c r="D296" s="6">
        <f>SALES_EDA!D283</f>
        <v>2127</v>
      </c>
      <c r="E296" s="14">
        <f>SALES_EDA!B283</f>
        <v>78111.716463120698</v>
      </c>
      <c r="F296" s="1"/>
      <c r="G296" s="1"/>
      <c r="H296" s="1"/>
      <c r="I296" s="1"/>
      <c r="J296" s="1"/>
    </row>
    <row r="297" spans="1:10" x14ac:dyDescent="0.3">
      <c r="A297" s="5">
        <f>SALES_EDA!A284</f>
        <v>41920.083333333336</v>
      </c>
      <c r="B297" s="15">
        <f>SALES_EDA!M284</f>
        <v>36.666215700229017</v>
      </c>
      <c r="C297" s="15">
        <f>SALES_EDA!T284</f>
        <v>34.026983596658134</v>
      </c>
      <c r="D297" s="6">
        <f>SALES_EDA!D284</f>
        <v>1923</v>
      </c>
      <c r="E297" s="14">
        <f>SALES_EDA!B284</f>
        <v>70509.132791540396</v>
      </c>
      <c r="F297" s="1"/>
      <c r="G297" s="1"/>
      <c r="H297" s="1"/>
      <c r="I297" s="1"/>
      <c r="J297" s="1"/>
    </row>
    <row r="298" spans="1:10" x14ac:dyDescent="0.3">
      <c r="A298" s="5">
        <f>SALES_EDA!A285</f>
        <v>41921.083333333336</v>
      </c>
      <c r="B298" s="15">
        <f>SALES_EDA!M285</f>
        <v>36.767999660936987</v>
      </c>
      <c r="C298" s="15">
        <f>SALES_EDA!T285</f>
        <v>34.084540619533321</v>
      </c>
      <c r="D298" s="6">
        <f>SALES_EDA!D285</f>
        <v>2809</v>
      </c>
      <c r="E298" s="14">
        <f>SALES_EDA!B285</f>
        <v>103281.311047572</v>
      </c>
      <c r="F298" s="1"/>
      <c r="G298" s="1"/>
      <c r="H298" s="1"/>
      <c r="I298" s="1"/>
      <c r="J298" s="1"/>
    </row>
    <row r="299" spans="1:10" x14ac:dyDescent="0.3">
      <c r="A299" s="5">
        <f>SALES_EDA!A286</f>
        <v>41922.083333333336</v>
      </c>
      <c r="B299" s="15">
        <f>SALES_EDA!M286</f>
        <v>36.769869511290942</v>
      </c>
      <c r="C299" s="15">
        <f>SALES_EDA!T286</f>
        <v>34.14218034586694</v>
      </c>
      <c r="D299" s="6">
        <f>SALES_EDA!D286</f>
        <v>4891</v>
      </c>
      <c r="E299" s="14">
        <f>SALES_EDA!B286</f>
        <v>179841.43177972399</v>
      </c>
      <c r="F299" s="1"/>
      <c r="G299" s="1"/>
      <c r="H299" s="1"/>
      <c r="I299" s="1"/>
      <c r="J299" s="1"/>
    </row>
    <row r="300" spans="1:10" x14ac:dyDescent="0.3">
      <c r="A300" s="5">
        <f>SALES_EDA!A287</f>
        <v>41923.083333333336</v>
      </c>
      <c r="B300" s="15">
        <f>SALES_EDA!M287</f>
        <v>36.731836017268492</v>
      </c>
      <c r="C300" s="15">
        <f>SALES_EDA!T287</f>
        <v>34.198752987063067</v>
      </c>
      <c r="D300" s="6">
        <f>SALES_EDA!D287</f>
        <v>3758</v>
      </c>
      <c r="E300" s="14">
        <f>SALES_EDA!B287</f>
        <v>138038.239752895</v>
      </c>
      <c r="F300" s="1"/>
      <c r="G300" s="1"/>
      <c r="H300" s="1"/>
      <c r="I300" s="1"/>
      <c r="J300" s="1"/>
    </row>
    <row r="301" spans="1:10" x14ac:dyDescent="0.3">
      <c r="A301" s="5">
        <f>SALES_EDA!A288</f>
        <v>41924.083333333336</v>
      </c>
      <c r="B301" s="15">
        <f>SALES_EDA!M288</f>
        <v>36.747478765785914</v>
      </c>
      <c r="C301" s="15">
        <f>SALES_EDA!T288</f>
        <v>34.255710503310041</v>
      </c>
      <c r="D301" s="6">
        <f>SALES_EDA!D288</f>
        <v>1661</v>
      </c>
      <c r="E301" s="14">
        <f>SALES_EDA!B288</f>
        <v>61037.562229970397</v>
      </c>
      <c r="F301" s="1"/>
      <c r="G301" s="1"/>
      <c r="H301" s="1"/>
      <c r="I301" s="1"/>
      <c r="J301" s="1"/>
    </row>
    <row r="302" spans="1:10" x14ac:dyDescent="0.3">
      <c r="A302" s="5">
        <f>SALES_EDA!A289</f>
        <v>41925.083333333336</v>
      </c>
      <c r="B302" s="15">
        <f>SALES_EDA!M289</f>
        <v>36.779559090695635</v>
      </c>
      <c r="C302" s="15">
        <f>SALES_EDA!T289</f>
        <v>34.313738050895999</v>
      </c>
      <c r="D302" s="6">
        <f>SALES_EDA!D289</f>
        <v>2360</v>
      </c>
      <c r="E302" s="14">
        <f>SALES_EDA!B289</f>
        <v>86799.759454041705</v>
      </c>
      <c r="F302" s="1"/>
      <c r="G302" s="1"/>
      <c r="H302" s="1"/>
      <c r="I302" s="1"/>
      <c r="J302" s="1"/>
    </row>
    <row r="303" spans="1:10" x14ac:dyDescent="0.3">
      <c r="A303" s="5">
        <f>SALES_EDA!A290</f>
        <v>41926.083333333336</v>
      </c>
      <c r="B303" s="15">
        <f>SALES_EDA!M290</f>
        <v>36.732049348838807</v>
      </c>
      <c r="C303" s="15">
        <f>SALES_EDA!T290</f>
        <v>34.370247534866202</v>
      </c>
      <c r="D303" s="6">
        <f>SALES_EDA!D290</f>
        <v>1894</v>
      </c>
      <c r="E303" s="14">
        <f>SALES_EDA!B290</f>
        <v>69570.501466700705</v>
      </c>
      <c r="F303" s="1"/>
      <c r="G303" s="1"/>
      <c r="H303" s="1"/>
      <c r="I303" s="1"/>
      <c r="J303" s="1"/>
    </row>
    <row r="304" spans="1:10" x14ac:dyDescent="0.3">
      <c r="A304" s="5">
        <f>SALES_EDA!A291</f>
        <v>41927.083333333336</v>
      </c>
      <c r="B304" s="15">
        <f>SALES_EDA!M291</f>
        <v>36.774621010496617</v>
      </c>
      <c r="C304" s="15">
        <f>SALES_EDA!T291</f>
        <v>34.428273142914513</v>
      </c>
      <c r="D304" s="6">
        <f>SALES_EDA!D291</f>
        <v>3548</v>
      </c>
      <c r="E304" s="14">
        <f>SALES_EDA!B291</f>
        <v>130476.355345242</v>
      </c>
      <c r="F304" s="1"/>
      <c r="G304" s="1"/>
      <c r="H304" s="1"/>
      <c r="I304" s="1"/>
      <c r="J304" s="1"/>
    </row>
    <row r="305" spans="1:10" x14ac:dyDescent="0.3">
      <c r="A305" s="5">
        <f>SALES_EDA!A292</f>
        <v>41928.083333333336</v>
      </c>
      <c r="B305" s="15">
        <f>SALES_EDA!M292</f>
        <v>36.75406155155585</v>
      </c>
      <c r="C305" s="15">
        <f>SALES_EDA!T292</f>
        <v>34.485630328749806</v>
      </c>
      <c r="D305" s="6">
        <f>SALES_EDA!D292</f>
        <v>2591</v>
      </c>
      <c r="E305" s="14">
        <f>SALES_EDA!B292</f>
        <v>95229.773480081203</v>
      </c>
      <c r="F305" s="1"/>
      <c r="G305" s="1"/>
      <c r="H305" s="1"/>
      <c r="I305" s="1"/>
      <c r="J305" s="1"/>
    </row>
    <row r="306" spans="1:10" x14ac:dyDescent="0.3">
      <c r="A306" s="5">
        <f>SALES_EDA!A293</f>
        <v>41929.083333333336</v>
      </c>
      <c r="B306" s="15">
        <f>SALES_EDA!M293</f>
        <v>36.762180772396903</v>
      </c>
      <c r="C306" s="15">
        <f>SALES_EDA!T293</f>
        <v>34.542896453705858</v>
      </c>
      <c r="D306" s="6">
        <f>SALES_EDA!D293</f>
        <v>3293</v>
      </c>
      <c r="E306" s="14">
        <f>SALES_EDA!B293</f>
        <v>121057.86128350301</v>
      </c>
      <c r="F306" s="1"/>
      <c r="G306" s="1"/>
      <c r="H306" s="1"/>
      <c r="I306" s="1"/>
      <c r="J306" s="1"/>
    </row>
    <row r="307" spans="1:10" x14ac:dyDescent="0.3">
      <c r="A307" s="5">
        <f>SALES_EDA!A294</f>
        <v>41930.083333333336</v>
      </c>
      <c r="B307" s="15">
        <f>SALES_EDA!M294</f>
        <v>36.759686919393836</v>
      </c>
      <c r="C307" s="15">
        <f>SALES_EDA!T294</f>
        <v>34.600620206791412</v>
      </c>
      <c r="D307" s="6">
        <f>SALES_EDA!D294</f>
        <v>4611</v>
      </c>
      <c r="E307" s="14">
        <f>SALES_EDA!B294</f>
        <v>169498.91638532499</v>
      </c>
      <c r="F307" s="1"/>
      <c r="G307" s="1"/>
      <c r="H307" s="1"/>
      <c r="I307" s="1"/>
      <c r="J307" s="1"/>
    </row>
    <row r="308" spans="1:10" x14ac:dyDescent="0.3">
      <c r="A308" s="5">
        <f>SALES_EDA!A295</f>
        <v>41931.083333333336</v>
      </c>
      <c r="B308" s="15">
        <f>SALES_EDA!M295</f>
        <v>36.747315994935981</v>
      </c>
      <c r="C308" s="15">
        <f>SALES_EDA!T295</f>
        <v>34.657757610217416</v>
      </c>
      <c r="D308" s="6">
        <f>SALES_EDA!D295</f>
        <v>2468</v>
      </c>
      <c r="E308" s="14">
        <f>SALES_EDA!B295</f>
        <v>90692.375875501995</v>
      </c>
      <c r="F308" s="1"/>
      <c r="G308" s="1"/>
      <c r="H308" s="1"/>
      <c r="I308" s="1"/>
      <c r="J308" s="1"/>
    </row>
    <row r="309" spans="1:10" x14ac:dyDescent="0.3">
      <c r="A309" s="5">
        <f>SALES_EDA!A296</f>
        <v>41932.083333333336</v>
      </c>
      <c r="B309" s="15">
        <f>SALES_EDA!M296</f>
        <v>36.68370537471764</v>
      </c>
      <c r="C309" s="15">
        <f>SALES_EDA!T296</f>
        <v>34.712633408963917</v>
      </c>
      <c r="D309" s="6">
        <f>SALES_EDA!D296</f>
        <v>2773</v>
      </c>
      <c r="E309" s="14">
        <f>SALES_EDA!B296</f>
        <v>101723.91500409201</v>
      </c>
      <c r="F309" s="1"/>
      <c r="G309" s="1"/>
      <c r="H309" s="1"/>
      <c r="I309" s="1"/>
      <c r="J309" s="1"/>
    </row>
    <row r="310" spans="1:10" x14ac:dyDescent="0.3">
      <c r="A310" s="5">
        <f>SALES_EDA!A297</f>
        <v>41933.083333333336</v>
      </c>
      <c r="B310" s="15">
        <f>SALES_EDA!M297</f>
        <v>36.73026332814991</v>
      </c>
      <c r="C310" s="15">
        <f>SALES_EDA!T297</f>
        <v>34.769254034821408</v>
      </c>
      <c r="D310" s="6">
        <f>SALES_EDA!D297</f>
        <v>2815</v>
      </c>
      <c r="E310" s="14">
        <f>SALES_EDA!B297</f>
        <v>103395.691268742</v>
      </c>
      <c r="F310" s="1"/>
      <c r="G310" s="1"/>
      <c r="H310" s="1"/>
      <c r="I310" s="1"/>
      <c r="J310" s="1"/>
    </row>
    <row r="311" spans="1:10" x14ac:dyDescent="0.3">
      <c r="A311" s="5">
        <f>SALES_EDA!A298</f>
        <v>41934.083333333336</v>
      </c>
      <c r="B311" s="15">
        <f>SALES_EDA!M298</f>
        <v>36.681080746398301</v>
      </c>
      <c r="C311" s="15">
        <f>SALES_EDA!T298</f>
        <v>34.824056394414683</v>
      </c>
      <c r="D311" s="6">
        <f>SALES_EDA!D298</f>
        <v>2701</v>
      </c>
      <c r="E311" s="14">
        <f>SALES_EDA!B298</f>
        <v>99075.599096021804</v>
      </c>
      <c r="F311" s="1"/>
      <c r="G311" s="1"/>
      <c r="H311" s="1"/>
      <c r="I311" s="1"/>
      <c r="J311" s="1"/>
    </row>
    <row r="312" spans="1:10" x14ac:dyDescent="0.3">
      <c r="A312" s="5">
        <f>SALES_EDA!A299</f>
        <v>41935.083333333336</v>
      </c>
      <c r="B312" s="15">
        <f>SALES_EDA!M299</f>
        <v>36.769575526055114</v>
      </c>
      <c r="C312" s="15">
        <f>SALES_EDA!T299</f>
        <v>34.881842156286794</v>
      </c>
      <c r="D312" s="6">
        <f>SALES_EDA!D299</f>
        <v>2651</v>
      </c>
      <c r="E312" s="14">
        <f>SALES_EDA!B299</f>
        <v>97476.144719572098</v>
      </c>
      <c r="F312" s="1"/>
      <c r="G312" s="1"/>
      <c r="H312" s="1"/>
      <c r="I312" s="1"/>
      <c r="J312" s="1"/>
    </row>
    <row r="313" spans="1:10" x14ac:dyDescent="0.3">
      <c r="A313" s="5">
        <f>SALES_EDA!A300</f>
        <v>41936.083333333336</v>
      </c>
      <c r="B313" s="15">
        <f>SALES_EDA!M300</f>
        <v>36.71650977478189</v>
      </c>
      <c r="C313" s="15">
        <f>SALES_EDA!T300</f>
        <v>35.022103993590626</v>
      </c>
      <c r="D313" s="6">
        <f>SALES_EDA!D300</f>
        <v>6781</v>
      </c>
      <c r="E313" s="14">
        <f>SALES_EDA!B300</f>
        <v>248974.65278279601</v>
      </c>
      <c r="F313" s="1"/>
      <c r="G313" s="1"/>
      <c r="H313" s="1"/>
      <c r="I313" s="1"/>
      <c r="J313" s="1"/>
    </row>
    <row r="314" spans="1:10" x14ac:dyDescent="0.3">
      <c r="A314" s="5">
        <f>SALES_EDA!A301</f>
        <v>41937.083333333336</v>
      </c>
      <c r="B314" s="15">
        <f>SALES_EDA!M301</f>
        <v>36.697985610425505</v>
      </c>
      <c r="C314" s="15">
        <f>SALES_EDA!T301</f>
        <v>35.163250172848095</v>
      </c>
      <c r="D314" s="6">
        <f>SALES_EDA!D301</f>
        <v>8249</v>
      </c>
      <c r="E314" s="14">
        <f>SALES_EDA!B301</f>
        <v>302721.68330039998</v>
      </c>
      <c r="F314" s="1"/>
      <c r="G314" s="1"/>
      <c r="H314" s="1"/>
      <c r="I314" s="1"/>
      <c r="J314" s="1"/>
    </row>
    <row r="315" spans="1:10" x14ac:dyDescent="0.3">
      <c r="A315" s="5">
        <f>SALES_EDA!A302</f>
        <v>41938.083333333336</v>
      </c>
      <c r="B315" s="15">
        <f>SALES_EDA!M302</f>
        <v>36.699236951443176</v>
      </c>
      <c r="C315" s="15">
        <f>SALES_EDA!T302</f>
        <v>35.304529543087007</v>
      </c>
      <c r="D315" s="6">
        <f>SALES_EDA!D302</f>
        <v>3502</v>
      </c>
      <c r="E315" s="14">
        <f>SALES_EDA!B302</f>
        <v>128520.727803954</v>
      </c>
      <c r="F315" s="1"/>
      <c r="G315" s="1"/>
      <c r="H315" s="1"/>
      <c r="I315" s="1"/>
      <c r="J315" s="1"/>
    </row>
    <row r="316" spans="1:10" x14ac:dyDescent="0.3">
      <c r="A316" s="5">
        <f>SALES_EDA!A303</f>
        <v>41939.083333333336</v>
      </c>
      <c r="B316" s="15">
        <f>SALES_EDA!M303</f>
        <v>36.765071748818684</v>
      </c>
      <c r="C316" s="15">
        <f>SALES_EDA!T303</f>
        <v>35.448509977983605</v>
      </c>
      <c r="D316" s="6">
        <f>SALES_EDA!D303</f>
        <v>3949</v>
      </c>
      <c r="E316" s="14">
        <f>SALES_EDA!B303</f>
        <v>145185.26833608499</v>
      </c>
      <c r="F316" s="1"/>
      <c r="G316" s="1"/>
      <c r="H316" s="1"/>
      <c r="I316" s="1"/>
      <c r="J316" s="1"/>
    </row>
    <row r="317" spans="1:10" x14ac:dyDescent="0.3">
      <c r="A317" s="5">
        <f>SALES_EDA!A304</f>
        <v>41940.083333333336</v>
      </c>
      <c r="B317" s="15">
        <f>SALES_EDA!M304</f>
        <v>36.76696370918345</v>
      </c>
      <c r="C317" s="15">
        <f>SALES_EDA!T304</f>
        <v>35.5923689561427</v>
      </c>
      <c r="D317" s="6">
        <f>SALES_EDA!D304</f>
        <v>2435</v>
      </c>
      <c r="E317" s="14">
        <f>SALES_EDA!B304</f>
        <v>89527.556631861706</v>
      </c>
      <c r="F317" s="1"/>
      <c r="G317" s="1"/>
      <c r="H317" s="1"/>
      <c r="I317" s="1"/>
      <c r="J317" s="1"/>
    </row>
    <row r="318" spans="1:10" x14ac:dyDescent="0.3">
      <c r="A318" s="5">
        <f>SALES_EDA!A305</f>
        <v>41941.083333333336</v>
      </c>
      <c r="B318" s="15">
        <f>SALES_EDA!M305</f>
        <v>36.734714534682396</v>
      </c>
      <c r="C318" s="15">
        <f>SALES_EDA!T305</f>
        <v>35.73540978485655</v>
      </c>
      <c r="D318" s="6">
        <f>SALES_EDA!D305</f>
        <v>2232</v>
      </c>
      <c r="E318" s="14">
        <f>SALES_EDA!B305</f>
        <v>81991.882841411105</v>
      </c>
      <c r="F318" s="1"/>
      <c r="G318" s="1"/>
      <c r="H318" s="1"/>
      <c r="I318" s="1"/>
      <c r="J318" s="1"/>
    </row>
    <row r="319" spans="1:10" x14ac:dyDescent="0.3">
      <c r="A319" s="5">
        <f>SALES_EDA!A306</f>
        <v>41942.083333333336</v>
      </c>
      <c r="B319" s="15">
        <f>SALES_EDA!M306</f>
        <v>36.725232409162544</v>
      </c>
      <c r="C319" s="15">
        <f>SALES_EDA!T306</f>
        <v>35.878199091122987</v>
      </c>
      <c r="D319" s="6">
        <f>SALES_EDA!D306</f>
        <v>1898</v>
      </c>
      <c r="E319" s="14">
        <f>SALES_EDA!B306</f>
        <v>69704.491112590506</v>
      </c>
      <c r="F319" s="1"/>
      <c r="G319" s="1"/>
      <c r="H319" s="1"/>
      <c r="I319" s="1"/>
      <c r="J319" s="1"/>
    </row>
    <row r="320" spans="1:10" x14ac:dyDescent="0.3">
      <c r="A320" s="5">
        <f>SALES_EDA!A307</f>
        <v>41943.083333333336</v>
      </c>
      <c r="B320" s="15">
        <f>SALES_EDA!M307</f>
        <v>36.731848097690985</v>
      </c>
      <c r="C320" s="15">
        <f>SALES_EDA!T307</f>
        <v>36.021600609308798</v>
      </c>
      <c r="D320" s="6">
        <f>SALES_EDA!D307</f>
        <v>4537</v>
      </c>
      <c r="E320" s="14">
        <f>SALES_EDA!B307</f>
        <v>166652.39481922399</v>
      </c>
      <c r="F320" s="1"/>
      <c r="G320" s="1"/>
      <c r="H320" s="1"/>
      <c r="I320" s="1"/>
      <c r="J320" s="1"/>
    </row>
    <row r="321" spans="1:10" x14ac:dyDescent="0.3">
      <c r="A321" s="5">
        <f>SALES_EDA!A308</f>
        <v>41944.083333333336</v>
      </c>
      <c r="B321" s="15">
        <f>SALES_EDA!M308</f>
        <v>36.768663029011591</v>
      </c>
      <c r="C321" s="15">
        <f>SALES_EDA!T308</f>
        <v>36.165819637246273</v>
      </c>
      <c r="D321" s="6">
        <f>SALES_EDA!D308</f>
        <v>6730</v>
      </c>
      <c r="E321" s="14">
        <f>SALES_EDA!B308</f>
        <v>247453.10218524799</v>
      </c>
      <c r="F321" s="1"/>
      <c r="G321" s="1"/>
      <c r="H321" s="1"/>
      <c r="I321" s="1"/>
      <c r="J321" s="1"/>
    </row>
    <row r="322" spans="1:10" x14ac:dyDescent="0.3">
      <c r="A322" s="5">
        <f>SALES_EDA!A309</f>
        <v>41945.083333333336</v>
      </c>
      <c r="B322" s="15">
        <f>SALES_EDA!M309</f>
        <v>36.769732840310802</v>
      </c>
      <c r="C322" s="15">
        <f>SALES_EDA!T309</f>
        <v>36.309919517392103</v>
      </c>
      <c r="D322" s="6">
        <f>SALES_EDA!D309</f>
        <v>4038</v>
      </c>
      <c r="E322" s="14">
        <f>SALES_EDA!B309</f>
        <v>148476.181209175</v>
      </c>
      <c r="F322" s="1"/>
      <c r="G322" s="1"/>
      <c r="H322" s="1"/>
      <c r="I322" s="1"/>
      <c r="J322" s="1"/>
    </row>
    <row r="323" spans="1:10" x14ac:dyDescent="0.3">
      <c r="A323" s="5">
        <f>SALES_EDA!A310</f>
        <v>41946.083333333336</v>
      </c>
      <c r="B323" s="15">
        <f>SALES_EDA!M310</f>
        <v>36.797871821250851</v>
      </c>
      <c r="C323" s="15">
        <f>SALES_EDA!T310</f>
        <v>36.45483295491784</v>
      </c>
      <c r="D323" s="6">
        <f>SALES_EDA!D310</f>
        <v>5581</v>
      </c>
      <c r="E323" s="14">
        <f>SALES_EDA!B310</f>
        <v>205368.92263440101</v>
      </c>
      <c r="F323" s="1"/>
      <c r="G323" s="1"/>
      <c r="H323" s="1"/>
      <c r="I323" s="1"/>
      <c r="J323" s="1"/>
    </row>
    <row r="324" spans="1:10" x14ac:dyDescent="0.3">
      <c r="A324" s="5">
        <f>SALES_EDA!A311</f>
        <v>41947.083333333336</v>
      </c>
      <c r="B324" s="15">
        <f>SALES_EDA!M311</f>
        <v>39.398444559765423</v>
      </c>
      <c r="C324" s="15">
        <f>SALES_EDA!T311</f>
        <v>36.686528228847365</v>
      </c>
      <c r="D324" s="6">
        <f>SALES_EDA!D311</f>
        <v>2519</v>
      </c>
      <c r="E324" s="14">
        <f>SALES_EDA!B311</f>
        <v>99244.681846049105</v>
      </c>
      <c r="F324" s="1"/>
      <c r="G324" s="1"/>
      <c r="H324" s="1"/>
      <c r="I324" s="1"/>
      <c r="J324" s="1"/>
    </row>
    <row r="325" spans="1:10" x14ac:dyDescent="0.3">
      <c r="A325" s="5">
        <f>SALES_EDA!A312</f>
        <v>41948.083333333336</v>
      </c>
      <c r="B325" s="15">
        <f>SALES_EDA!M312</f>
        <v>39.391912885798867</v>
      </c>
      <c r="C325" s="15">
        <f>SALES_EDA!T312</f>
        <v>36.918185947846446</v>
      </c>
      <c r="D325" s="6">
        <f>SALES_EDA!D312</f>
        <v>1847</v>
      </c>
      <c r="E325" s="14">
        <f>SALES_EDA!B312</f>
        <v>72756.863100070506</v>
      </c>
      <c r="F325" s="1"/>
      <c r="G325" s="1"/>
      <c r="H325" s="1"/>
      <c r="I325" s="1"/>
      <c r="J325" s="1"/>
    </row>
    <row r="326" spans="1:10" x14ac:dyDescent="0.3">
      <c r="A326" s="5">
        <f>SALES_EDA!A313</f>
        <v>41949.083333333336</v>
      </c>
      <c r="B326" s="15">
        <f>SALES_EDA!M313</f>
        <v>37.621246461929452</v>
      </c>
      <c r="C326" s="15">
        <f>SALES_EDA!T313</f>
        <v>36.948097791780043</v>
      </c>
      <c r="D326" s="6">
        <f>SALES_EDA!D313</f>
        <v>2309</v>
      </c>
      <c r="E326" s="14">
        <f>SALES_EDA!B313</f>
        <v>86867.458080595097</v>
      </c>
      <c r="F326" s="1"/>
      <c r="G326" s="1"/>
      <c r="H326" s="1"/>
      <c r="I326" s="1"/>
      <c r="J326" s="1"/>
    </row>
    <row r="327" spans="1:10" x14ac:dyDescent="0.3">
      <c r="A327" s="5">
        <f>SALES_EDA!A314</f>
        <v>41950.083333333336</v>
      </c>
      <c r="B327" s="15">
        <f>SALES_EDA!M314</f>
        <v>37.65927024777136</v>
      </c>
      <c r="C327" s="15">
        <f>SALES_EDA!T314</f>
        <v>36.98119961003146</v>
      </c>
      <c r="D327" s="6">
        <f>SALES_EDA!D314</f>
        <v>3722</v>
      </c>
      <c r="E327" s="14">
        <f>SALES_EDA!B314</f>
        <v>140167.80386220501</v>
      </c>
      <c r="F327" s="1"/>
      <c r="G327" s="1"/>
      <c r="H327" s="1"/>
      <c r="I327" s="1"/>
      <c r="J327" s="1"/>
    </row>
    <row r="328" spans="1:10" x14ac:dyDescent="0.3">
      <c r="A328" s="5">
        <f>SALES_EDA!A315</f>
        <v>41951.083333333336</v>
      </c>
      <c r="B328" s="15">
        <f>SALES_EDA!M315</f>
        <v>37.65869324812067</v>
      </c>
      <c r="C328" s="15">
        <f>SALES_EDA!T315</f>
        <v>37.010889396270926</v>
      </c>
      <c r="D328" s="6">
        <f>SALES_EDA!D315</f>
        <v>4268</v>
      </c>
      <c r="E328" s="14">
        <f>SALES_EDA!B315</f>
        <v>160727.30278297901</v>
      </c>
      <c r="F328" s="1"/>
      <c r="G328" s="1"/>
      <c r="H328" s="1"/>
      <c r="I328" s="1"/>
      <c r="J328" s="1"/>
    </row>
    <row r="329" spans="1:10" x14ac:dyDescent="0.3">
      <c r="A329" s="5">
        <f>SALES_EDA!A316</f>
        <v>41952.083333333336</v>
      </c>
      <c r="B329" s="15">
        <f>SALES_EDA!M316</f>
        <v>37.660380475836128</v>
      </c>
      <c r="C329" s="15">
        <f>SALES_EDA!T316</f>
        <v>37.040573095089101</v>
      </c>
      <c r="D329" s="6">
        <f>SALES_EDA!D316</f>
        <v>1968</v>
      </c>
      <c r="E329" s="14">
        <f>SALES_EDA!B316</f>
        <v>74115.628776445505</v>
      </c>
      <c r="F329" s="1"/>
      <c r="G329" s="1"/>
      <c r="H329" s="1"/>
      <c r="I329" s="1"/>
      <c r="J329" s="1"/>
    </row>
    <row r="330" spans="1:10" x14ac:dyDescent="0.3">
      <c r="A330" s="5">
        <f>SALES_EDA!A317</f>
        <v>41953.083333333336</v>
      </c>
      <c r="B330" s="15">
        <f>SALES_EDA!M317</f>
        <v>37.749648569710068</v>
      </c>
      <c r="C330" s="15">
        <f>SALES_EDA!T317</f>
        <v>37.074500180170475</v>
      </c>
      <c r="D330" s="6">
        <f>SALES_EDA!D317</f>
        <v>2016</v>
      </c>
      <c r="E330" s="14">
        <f>SALES_EDA!B317</f>
        <v>76103.291516535493</v>
      </c>
      <c r="F330" s="1"/>
      <c r="G330" s="1"/>
      <c r="H330" s="1"/>
      <c r="I330" s="1"/>
      <c r="J330" s="1"/>
    </row>
    <row r="331" spans="1:10" x14ac:dyDescent="0.3">
      <c r="A331" s="5">
        <f>SALES_EDA!A318</f>
        <v>41954.083333333336</v>
      </c>
      <c r="B331" s="15">
        <f>SALES_EDA!M318</f>
        <v>37.610799315016969</v>
      </c>
      <c r="C331" s="15">
        <f>SALES_EDA!T318</f>
        <v>37.103277531811514</v>
      </c>
      <c r="D331" s="6">
        <f>SALES_EDA!D318</f>
        <v>1497</v>
      </c>
      <c r="E331" s="14">
        <f>SALES_EDA!B318</f>
        <v>56303.366574580403</v>
      </c>
      <c r="F331" s="1"/>
      <c r="G331" s="1"/>
      <c r="H331" s="1"/>
      <c r="I331" s="1"/>
      <c r="J331" s="1"/>
    </row>
    <row r="332" spans="1:10" x14ac:dyDescent="0.3">
      <c r="A332" s="5">
        <f>SALES_EDA!A319</f>
        <v>41955.083333333336</v>
      </c>
      <c r="B332" s="15">
        <f>SALES_EDA!M319</f>
        <v>37.623147537686762</v>
      </c>
      <c r="C332" s="15">
        <f>SALES_EDA!T319</f>
        <v>37.131397146711222</v>
      </c>
      <c r="D332" s="6">
        <f>SALES_EDA!D319</f>
        <v>1314</v>
      </c>
      <c r="E332" s="14">
        <f>SALES_EDA!B319</f>
        <v>49436.815864520402</v>
      </c>
      <c r="F332" s="1"/>
      <c r="G332" s="1"/>
      <c r="H332" s="1"/>
      <c r="I332" s="1"/>
      <c r="J332" s="1"/>
    </row>
    <row r="333" spans="1:10" x14ac:dyDescent="0.3">
      <c r="A333" s="5">
        <f>SALES_EDA!A320</f>
        <v>41956.083333333336</v>
      </c>
      <c r="B333" s="15">
        <f>SALES_EDA!M320</f>
        <v>37.539646933138066</v>
      </c>
      <c r="C333" s="15">
        <f>SALES_EDA!T320</f>
        <v>37.15831706618787</v>
      </c>
      <c r="D333" s="6">
        <f>SALES_EDA!D320</f>
        <v>1466</v>
      </c>
      <c r="E333" s="14">
        <f>SALES_EDA!B320</f>
        <v>55033.1224039804</v>
      </c>
      <c r="F333" s="1"/>
      <c r="G333" s="1"/>
      <c r="H333" s="1"/>
      <c r="I333" s="1"/>
      <c r="J333" s="1"/>
    </row>
    <row r="334" spans="1:10" x14ac:dyDescent="0.3">
      <c r="A334" s="5">
        <f>SALES_EDA!A321</f>
        <v>41957.083333333336</v>
      </c>
      <c r="B334" s="15">
        <f>SALES_EDA!M321</f>
        <v>37.602451291346888</v>
      </c>
      <c r="C334" s="15">
        <f>SALES_EDA!T321</f>
        <v>37.185911408882866</v>
      </c>
      <c r="D334" s="6">
        <f>SALES_EDA!D321</f>
        <v>3984</v>
      </c>
      <c r="E334" s="14">
        <f>SALES_EDA!B321</f>
        <v>149808.165944726</v>
      </c>
      <c r="F334" s="1"/>
      <c r="G334" s="1"/>
      <c r="H334" s="1"/>
      <c r="I334" s="1"/>
      <c r="J334" s="1"/>
    </row>
    <row r="335" spans="1:10" x14ac:dyDescent="0.3">
      <c r="A335" s="5">
        <f>SALES_EDA!A322</f>
        <v>41958.083333333336</v>
      </c>
      <c r="B335" s="15">
        <f>SALES_EDA!M322</f>
        <v>37.627136761747188</v>
      </c>
      <c r="C335" s="15">
        <f>SALES_EDA!T322</f>
        <v>37.215013915889244</v>
      </c>
      <c r="D335" s="6">
        <f>SALES_EDA!D322</f>
        <v>4802</v>
      </c>
      <c r="E335" s="14">
        <f>SALES_EDA!B322</f>
        <v>180685.51072990999</v>
      </c>
      <c r="F335" s="1"/>
      <c r="G335" s="1"/>
      <c r="H335" s="1"/>
      <c r="I335" s="1"/>
      <c r="J335" s="1"/>
    </row>
    <row r="336" spans="1:10" x14ac:dyDescent="0.3">
      <c r="A336" s="5">
        <f>SALES_EDA!A323</f>
        <v>41959.083333333336</v>
      </c>
      <c r="B336" s="15">
        <f>SALES_EDA!M323</f>
        <v>37.615982531095931</v>
      </c>
      <c r="C336" s="15">
        <f>SALES_EDA!T323</f>
        <v>37.243473974512547</v>
      </c>
      <c r="D336" s="6">
        <f>SALES_EDA!D323</f>
        <v>2017</v>
      </c>
      <c r="E336" s="14">
        <f>SALES_EDA!B323</f>
        <v>75871.436765220496</v>
      </c>
      <c r="F336" s="1"/>
      <c r="G336" s="1"/>
      <c r="H336" s="1"/>
      <c r="I336" s="1"/>
      <c r="J336" s="1"/>
    </row>
    <row r="337" spans="1:10" x14ac:dyDescent="0.3">
      <c r="A337" s="5">
        <f>SALES_EDA!A324</f>
        <v>41960.083333333336</v>
      </c>
      <c r="B337" s="15">
        <f>SALES_EDA!M324</f>
        <v>37.576549448485025</v>
      </c>
      <c r="C337" s="15">
        <f>SALES_EDA!T324</f>
        <v>37.270702725482259</v>
      </c>
      <c r="D337" s="6">
        <f>SALES_EDA!D324</f>
        <v>2297</v>
      </c>
      <c r="E337" s="14">
        <f>SALES_EDA!B324</f>
        <v>86313.334083170106</v>
      </c>
      <c r="F337" s="1"/>
      <c r="G337" s="1"/>
      <c r="H337" s="1"/>
      <c r="I337" s="1"/>
      <c r="J337" s="1"/>
    </row>
    <row r="338" spans="1:10" x14ac:dyDescent="0.3">
      <c r="A338" s="5">
        <f>SALES_EDA!A325</f>
        <v>41961.083333333336</v>
      </c>
      <c r="B338" s="15">
        <f>SALES_EDA!M325</f>
        <v>37.616695947189427</v>
      </c>
      <c r="C338" s="15">
        <f>SALES_EDA!T325</f>
        <v>37.29968205722404</v>
      </c>
      <c r="D338" s="6">
        <f>SALES_EDA!D325</f>
        <v>1665</v>
      </c>
      <c r="E338" s="14">
        <f>SALES_EDA!B325</f>
        <v>62631.798752070397</v>
      </c>
      <c r="F338" s="1"/>
      <c r="G338" s="1"/>
      <c r="H338" s="1"/>
      <c r="I338" s="1"/>
      <c r="J338" s="1"/>
    </row>
    <row r="339" spans="1:10" x14ac:dyDescent="0.3">
      <c r="A339" s="5">
        <f>SALES_EDA!A326</f>
        <v>41962.083333333336</v>
      </c>
      <c r="B339" s="15">
        <f>SALES_EDA!M326</f>
        <v>37.590320186165918</v>
      </c>
      <c r="C339" s="15">
        <f>SALES_EDA!T326</f>
        <v>37.329902550938982</v>
      </c>
      <c r="D339" s="6">
        <f>SALES_EDA!D326</f>
        <v>1291</v>
      </c>
      <c r="E339" s="14">
        <f>SALES_EDA!B326</f>
        <v>48529.103360340203</v>
      </c>
      <c r="F339" s="1"/>
      <c r="G339" s="1"/>
      <c r="H339" s="1"/>
      <c r="I339" s="1"/>
      <c r="J339" s="1"/>
    </row>
    <row r="340" spans="1:10" x14ac:dyDescent="0.3">
      <c r="A340" s="5">
        <f>SALES_EDA!A327</f>
        <v>41963.083333333336</v>
      </c>
      <c r="B340" s="15">
        <f>SALES_EDA!M327</f>
        <v>37.502484473233139</v>
      </c>
      <c r="C340" s="15">
        <f>SALES_EDA!T327</f>
        <v>37.355643255775092</v>
      </c>
      <c r="D340" s="6">
        <f>SALES_EDA!D327</f>
        <v>1361</v>
      </c>
      <c r="E340" s="14">
        <f>SALES_EDA!B327</f>
        <v>51040.881368070302</v>
      </c>
      <c r="F340" s="1"/>
      <c r="G340" s="1"/>
      <c r="H340" s="1"/>
      <c r="I340" s="1"/>
      <c r="J340" s="1"/>
    </row>
    <row r="341" spans="1:10" x14ac:dyDescent="0.3">
      <c r="A341" s="5">
        <f>SALES_EDA!A328</f>
        <v>41964.083333333336</v>
      </c>
      <c r="B341" s="15">
        <f>SALES_EDA!M328</f>
        <v>42.134209398922721</v>
      </c>
      <c r="C341" s="15">
        <f>SALES_EDA!T328</f>
        <v>37.537414210859232</v>
      </c>
      <c r="D341" s="6">
        <f>SALES_EDA!D328</f>
        <v>1281</v>
      </c>
      <c r="E341" s="14">
        <f>SALES_EDA!B328</f>
        <v>53973.922240020001</v>
      </c>
      <c r="F341" s="1"/>
      <c r="G341" s="1"/>
      <c r="H341" s="1"/>
      <c r="I341" s="1"/>
      <c r="J341" s="1"/>
    </row>
    <row r="342" spans="1:10" x14ac:dyDescent="0.3">
      <c r="A342" s="5">
        <f>SALES_EDA!A329</f>
        <v>41965.083333333336</v>
      </c>
      <c r="B342" s="15">
        <f>SALES_EDA!M329</f>
        <v>42.333317766051607</v>
      </c>
      <c r="C342" s="15">
        <f>SALES_EDA!T329</f>
        <v>37.722872285525789</v>
      </c>
      <c r="D342" s="6">
        <f>SALES_EDA!D329</f>
        <v>1122</v>
      </c>
      <c r="E342" s="14">
        <f>SALES_EDA!B329</f>
        <v>47497.982533509901</v>
      </c>
      <c r="F342" s="1"/>
      <c r="G342" s="1"/>
      <c r="H342" s="1"/>
      <c r="I342" s="1"/>
      <c r="J342" s="1"/>
    </row>
    <row r="343" spans="1:10" x14ac:dyDescent="0.3">
      <c r="A343" s="5">
        <f>SALES_EDA!A330</f>
        <v>41966.083333333336</v>
      </c>
      <c r="B343" s="15">
        <f>SALES_EDA!M330</f>
        <v>42.360856891071776</v>
      </c>
      <c r="C343" s="15">
        <f>SALES_EDA!T330</f>
        <v>37.911017189402124</v>
      </c>
      <c r="D343" s="6">
        <f>SALES_EDA!D330</f>
        <v>737</v>
      </c>
      <c r="E343" s="14">
        <f>SALES_EDA!B330</f>
        <v>31219.951528719899</v>
      </c>
      <c r="F343" s="1"/>
      <c r="G343" s="1"/>
      <c r="H343" s="1"/>
      <c r="I343" s="1"/>
      <c r="J343" s="1"/>
    </row>
    <row r="344" spans="1:10" x14ac:dyDescent="0.3">
      <c r="A344" s="5">
        <f>SALES_EDA!A331</f>
        <v>41967.083333333336</v>
      </c>
      <c r="B344" s="15">
        <f>SALES_EDA!M331</f>
        <v>41.919382017893916</v>
      </c>
      <c r="C344" s="15">
        <f>SALES_EDA!T331</f>
        <v>38.085063736317728</v>
      </c>
      <c r="D344" s="6">
        <f>SALES_EDA!D331</f>
        <v>641</v>
      </c>
      <c r="E344" s="14">
        <f>SALES_EDA!B331</f>
        <v>26870.323873469999</v>
      </c>
      <c r="F344" s="1"/>
      <c r="G344" s="1"/>
      <c r="H344" s="1"/>
      <c r="I344" s="1"/>
      <c r="J344" s="1"/>
    </row>
    <row r="345" spans="1:10" x14ac:dyDescent="0.3">
      <c r="A345" s="5">
        <f>SALES_EDA!A332</f>
        <v>41968.083333333336</v>
      </c>
      <c r="B345" s="15">
        <f>SALES_EDA!M332</f>
        <v>41.870498236239669</v>
      </c>
      <c r="C345" s="15">
        <f>SALES_EDA!T332</f>
        <v>38.25743911247762</v>
      </c>
      <c r="D345" s="6">
        <f>SALES_EDA!D332</f>
        <v>968</v>
      </c>
      <c r="E345" s="14">
        <f>SALES_EDA!B332</f>
        <v>40530.642292680001</v>
      </c>
      <c r="F345" s="1"/>
      <c r="G345" s="1"/>
      <c r="H345" s="1"/>
      <c r="I345" s="1"/>
      <c r="J345" s="1"/>
    </row>
    <row r="346" spans="1:10" x14ac:dyDescent="0.3">
      <c r="A346" s="5">
        <f>SALES_EDA!A333</f>
        <v>41969.083333333336</v>
      </c>
      <c r="B346" s="15">
        <f>SALES_EDA!M333</f>
        <v>42.836997651692386</v>
      </c>
      <c r="C346" s="15">
        <f>SALES_EDA!T333</f>
        <v>38.4598366425734</v>
      </c>
      <c r="D346" s="6">
        <f>SALES_EDA!D333</f>
        <v>709</v>
      </c>
      <c r="E346" s="14">
        <f>SALES_EDA!B333</f>
        <v>30371.4313350499</v>
      </c>
      <c r="F346" s="1"/>
      <c r="G346" s="1"/>
      <c r="H346" s="1"/>
      <c r="I346" s="1"/>
      <c r="J346" s="1"/>
    </row>
    <row r="347" spans="1:10" x14ac:dyDescent="0.3">
      <c r="A347" s="5">
        <f>SALES_EDA!A334</f>
        <v>41970.083333333336</v>
      </c>
      <c r="B347" s="15">
        <f>SALES_EDA!M334</f>
        <v>42.928021325852157</v>
      </c>
      <c r="C347" s="15">
        <f>SALES_EDA!T334</f>
        <v>38.665205229795696</v>
      </c>
      <c r="D347" s="6">
        <f>SALES_EDA!D334</f>
        <v>880</v>
      </c>
      <c r="E347" s="14">
        <f>SALES_EDA!B334</f>
        <v>37776.658766749897</v>
      </c>
      <c r="F347" s="1"/>
      <c r="G347" s="1"/>
      <c r="H347" s="1"/>
      <c r="I347" s="1"/>
      <c r="J347" s="1"/>
    </row>
    <row r="348" spans="1:10" x14ac:dyDescent="0.3">
      <c r="A348" s="5">
        <f>SALES_EDA!A335</f>
        <v>41971.083333333336</v>
      </c>
      <c r="B348" s="15">
        <f>SALES_EDA!M335</f>
        <v>42.717340622819343</v>
      </c>
      <c r="C348" s="15">
        <f>SALES_EDA!T335</f>
        <v>38.864626099400262</v>
      </c>
      <c r="D348" s="6">
        <f>SALES_EDA!D335</f>
        <v>1096</v>
      </c>
      <c r="E348" s="14">
        <f>SALES_EDA!B335</f>
        <v>46818.205322610003</v>
      </c>
      <c r="F348" s="1"/>
      <c r="G348" s="1"/>
      <c r="H348" s="1"/>
      <c r="I348" s="1"/>
      <c r="J348" s="1"/>
    </row>
    <row r="349" spans="1:10" x14ac:dyDescent="0.3">
      <c r="A349" s="5">
        <f>SALES_EDA!A336</f>
        <v>41972.083333333336</v>
      </c>
      <c r="B349" s="15">
        <f>SALES_EDA!M336</f>
        <v>42.708716416712143</v>
      </c>
      <c r="C349" s="15">
        <f>SALES_EDA!T336</f>
        <v>39.064075566318579</v>
      </c>
      <c r="D349" s="6">
        <f>SALES_EDA!D336</f>
        <v>2068</v>
      </c>
      <c r="E349" s="14">
        <f>SALES_EDA!B336</f>
        <v>88321.625549760705</v>
      </c>
      <c r="F349" s="1"/>
      <c r="G349" s="1"/>
      <c r="H349" s="1"/>
      <c r="I349" s="1"/>
      <c r="J349" s="1"/>
    </row>
    <row r="350" spans="1:10" x14ac:dyDescent="0.3">
      <c r="A350" s="5">
        <f>SALES_EDA!A337</f>
        <v>41973.083333333336</v>
      </c>
      <c r="B350" s="15">
        <f>SALES_EDA!M337</f>
        <v>42.542243296754528</v>
      </c>
      <c r="C350" s="15">
        <f>SALES_EDA!T337</f>
        <v>39.257755406287366</v>
      </c>
      <c r="D350" s="6">
        <f>SALES_EDA!D337</f>
        <v>2375</v>
      </c>
      <c r="E350" s="14">
        <f>SALES_EDA!B337</f>
        <v>101037.827829792</v>
      </c>
      <c r="F350" s="1"/>
      <c r="G350" s="1"/>
      <c r="H350" s="1"/>
      <c r="I350" s="1"/>
      <c r="J350" s="1"/>
    </row>
    <row r="351" spans="1:10" x14ac:dyDescent="0.3">
      <c r="A351" s="5">
        <f>SALES_EDA!A338</f>
        <v>41974.083333333336</v>
      </c>
      <c r="B351" s="15">
        <f>SALES_EDA!M338</f>
        <v>42.175227788327042</v>
      </c>
      <c r="C351" s="15">
        <f>SALES_EDA!T338</f>
        <v>39.437974231597877</v>
      </c>
      <c r="D351" s="6">
        <f>SALES_EDA!D338</f>
        <v>2492</v>
      </c>
      <c r="E351" s="14">
        <f>SALES_EDA!B338</f>
        <v>105100.66764851099</v>
      </c>
      <c r="F351" s="1"/>
      <c r="G351" s="1"/>
      <c r="H351" s="1"/>
      <c r="I351" s="1"/>
      <c r="J351" s="1"/>
    </row>
    <row r="352" spans="1:10" x14ac:dyDescent="0.3">
      <c r="A352" s="5">
        <f>SALES_EDA!A339</f>
        <v>41975.083333333336</v>
      </c>
      <c r="B352" s="15">
        <f>SALES_EDA!M339</f>
        <v>40.654159211119769</v>
      </c>
      <c r="C352" s="15">
        <f>SALES_EDA!T339</f>
        <v>39.567455110624834</v>
      </c>
      <c r="D352" s="6">
        <f>SALES_EDA!D339</f>
        <v>2170</v>
      </c>
      <c r="E352" s="14">
        <f>SALES_EDA!B339</f>
        <v>88219.525488129904</v>
      </c>
      <c r="F352" s="1"/>
      <c r="G352" s="1"/>
      <c r="H352" s="1"/>
      <c r="I352" s="1"/>
      <c r="J352" s="1"/>
    </row>
    <row r="353" spans="1:10" x14ac:dyDescent="0.3">
      <c r="A353" s="5">
        <f>SALES_EDA!A340</f>
        <v>41976.083333333336</v>
      </c>
      <c r="B353" s="15">
        <f>SALES_EDA!M340</f>
        <v>40.129130767500222</v>
      </c>
      <c r="C353" s="15">
        <f>SALES_EDA!T340</f>
        <v>39.678497075499827</v>
      </c>
      <c r="D353" s="6">
        <f>SALES_EDA!D340</f>
        <v>1784</v>
      </c>
      <c r="E353" s="14">
        <f>SALES_EDA!B340</f>
        <v>71590.369289220398</v>
      </c>
      <c r="F353" s="1"/>
      <c r="G353" s="1"/>
      <c r="H353" s="1"/>
      <c r="I353" s="1"/>
      <c r="J353" s="1"/>
    </row>
    <row r="354" spans="1:10" x14ac:dyDescent="0.3">
      <c r="A354" s="5">
        <f>SALES_EDA!A341</f>
        <v>41977.083333333336</v>
      </c>
      <c r="B354" s="15">
        <f>SALES_EDA!M341</f>
        <v>40.20220883963465</v>
      </c>
      <c r="C354" s="15">
        <f>SALES_EDA!T341</f>
        <v>39.705289218162129</v>
      </c>
      <c r="D354" s="6">
        <f>SALES_EDA!D341</f>
        <v>1368</v>
      </c>
      <c r="E354" s="14">
        <f>SALES_EDA!B341</f>
        <v>54996.621692620203</v>
      </c>
      <c r="F354" s="1"/>
      <c r="G354" s="1"/>
      <c r="H354" s="1"/>
      <c r="I354" s="1"/>
      <c r="J354" s="1"/>
    </row>
    <row r="355" spans="1:10" x14ac:dyDescent="0.3">
      <c r="A355" s="5">
        <f>SALES_EDA!A342</f>
        <v>41978.083333333336</v>
      </c>
      <c r="B355" s="15">
        <f>SALES_EDA!M342</f>
        <v>40.691839921538921</v>
      </c>
      <c r="C355" s="15">
        <f>SALES_EDA!T342</f>
        <v>39.748620119353475</v>
      </c>
      <c r="D355" s="6">
        <f>SALES_EDA!D342</f>
        <v>1914</v>
      </c>
      <c r="E355" s="14">
        <f>SALES_EDA!B342</f>
        <v>77884.181609825493</v>
      </c>
      <c r="F355" s="1"/>
      <c r="G355" s="1"/>
      <c r="H355" s="1"/>
      <c r="I355" s="1"/>
      <c r="J355" s="1"/>
    </row>
    <row r="356" spans="1:10" x14ac:dyDescent="0.3">
      <c r="A356" s="5">
        <f>SALES_EDA!A343</f>
        <v>41979.083333333336</v>
      </c>
      <c r="B356" s="15">
        <f>SALES_EDA!M343</f>
        <v>39.938942024880745</v>
      </c>
      <c r="C356" s="15">
        <f>SALES_EDA!T343</f>
        <v>39.825876638118515</v>
      </c>
      <c r="D356" s="6">
        <f>SALES_EDA!D343</f>
        <v>3765</v>
      </c>
      <c r="E356" s="14">
        <f>SALES_EDA!B343</f>
        <v>150370.11672367601</v>
      </c>
      <c r="F356" s="1"/>
      <c r="G356" s="1"/>
      <c r="H356" s="1"/>
      <c r="I356" s="1"/>
      <c r="J356" s="1"/>
    </row>
    <row r="357" spans="1:10" x14ac:dyDescent="0.3">
      <c r="A357" s="5">
        <f>SALES_EDA!A344</f>
        <v>41980.083333333336</v>
      </c>
      <c r="B357" s="15">
        <f>SALES_EDA!M344</f>
        <v>38.597115086780605</v>
      </c>
      <c r="C357" s="15">
        <f>SALES_EDA!T344</f>
        <v>39.857138132752162</v>
      </c>
      <c r="D357" s="6">
        <f>SALES_EDA!D344</f>
        <v>2712</v>
      </c>
      <c r="E357" s="14">
        <f>SALES_EDA!B344</f>
        <v>104675.376115349</v>
      </c>
      <c r="F357" s="1"/>
      <c r="G357" s="1"/>
      <c r="H357" s="1"/>
      <c r="I357" s="1"/>
      <c r="J357" s="1"/>
    </row>
    <row r="358" spans="1:10" x14ac:dyDescent="0.3">
      <c r="A358" s="5">
        <f>SALES_EDA!A345</f>
        <v>41981.083333333336</v>
      </c>
      <c r="B358" s="15">
        <f>SALES_EDA!M345</f>
        <v>40.558744588237985</v>
      </c>
      <c r="C358" s="15">
        <f>SALES_EDA!T345</f>
        <v>39.95380651075606</v>
      </c>
      <c r="D358" s="6">
        <f>SALES_EDA!D345</f>
        <v>2222</v>
      </c>
      <c r="E358" s="14">
        <f>SALES_EDA!B345</f>
        <v>90121.530475064807</v>
      </c>
      <c r="F358" s="1"/>
      <c r="G358" s="1"/>
      <c r="H358" s="1"/>
      <c r="I358" s="1"/>
      <c r="J358" s="1"/>
    </row>
    <row r="359" spans="1:10" x14ac:dyDescent="0.3">
      <c r="A359" s="5">
        <f>SALES_EDA!A346</f>
        <v>41982.083333333336</v>
      </c>
      <c r="B359" s="15">
        <f>SALES_EDA!M346</f>
        <v>40.529523749753089</v>
      </c>
      <c r="C359" s="15">
        <f>SALES_EDA!T346</f>
        <v>40.049444619886621</v>
      </c>
      <c r="D359" s="6">
        <f>SALES_EDA!D346</f>
        <v>1861</v>
      </c>
      <c r="E359" s="14">
        <f>SALES_EDA!B346</f>
        <v>75425.443698290503</v>
      </c>
      <c r="F359" s="1"/>
      <c r="G359" s="1"/>
      <c r="H359" s="1"/>
      <c r="I359" s="1"/>
      <c r="J359" s="1"/>
    </row>
    <row r="360" spans="1:10" x14ac:dyDescent="0.3">
      <c r="A360" s="5">
        <f>SALES_EDA!A347</f>
        <v>41983.083333333336</v>
      </c>
      <c r="B360" s="15">
        <f>SALES_EDA!M347</f>
        <v>39.522541986733572</v>
      </c>
      <c r="C360" s="15">
        <f>SALES_EDA!T347</f>
        <v>40.10854106712074</v>
      </c>
      <c r="D360" s="6">
        <f>SALES_EDA!D347</f>
        <v>4095</v>
      </c>
      <c r="E360" s="14">
        <f>SALES_EDA!B347</f>
        <v>161844.80943567399</v>
      </c>
      <c r="F360" s="1"/>
      <c r="G360" s="1"/>
      <c r="H360" s="1"/>
      <c r="I360" s="1"/>
      <c r="J360" s="1"/>
    </row>
    <row r="361" spans="1:10" x14ac:dyDescent="0.3">
      <c r="A361" s="5">
        <f>SALES_EDA!A348</f>
        <v>41984.083333333336</v>
      </c>
      <c r="B361" s="15">
        <f>SALES_EDA!M348</f>
        <v>38.153321377917727</v>
      </c>
      <c r="C361" s="15">
        <f>SALES_EDA!T348</f>
        <v>40.12662513588409</v>
      </c>
      <c r="D361" s="6">
        <f>SALES_EDA!D348</f>
        <v>4157</v>
      </c>
      <c r="E361" s="14">
        <f>SALES_EDA!B348</f>
        <v>158603.35696800399</v>
      </c>
      <c r="F361" s="1"/>
      <c r="G361" s="1"/>
      <c r="H361" s="1"/>
      <c r="I361" s="1"/>
      <c r="J361" s="1"/>
    </row>
    <row r="362" spans="1:10" x14ac:dyDescent="0.3">
      <c r="A362" s="5">
        <f>SALES_EDA!A349</f>
        <v>41985.083333333336</v>
      </c>
      <c r="B362" s="15">
        <f>SALES_EDA!M349</f>
        <v>38.447733290597874</v>
      </c>
      <c r="C362" s="15">
        <f>SALES_EDA!T349</f>
        <v>40.154111327647797</v>
      </c>
      <c r="D362" s="6">
        <f>SALES_EDA!D349</f>
        <v>7259</v>
      </c>
      <c r="E362" s="14">
        <f>SALES_EDA!B349</f>
        <v>279092.09595644998</v>
      </c>
      <c r="F362" s="1"/>
      <c r="G362" s="1"/>
      <c r="H362" s="1"/>
      <c r="I362" s="1"/>
      <c r="J362" s="1"/>
    </row>
    <row r="363" spans="1:10" x14ac:dyDescent="0.3">
      <c r="A363" s="5">
        <f>SALES_EDA!A350</f>
        <v>41986.083333333336</v>
      </c>
      <c r="B363" s="15">
        <f>SALES_EDA!M350</f>
        <v>38.258855342956082</v>
      </c>
      <c r="C363" s="15">
        <f>SALES_EDA!T350</f>
        <v>40.178084941308406</v>
      </c>
      <c r="D363" s="6">
        <f>SALES_EDA!D350</f>
        <v>9654</v>
      </c>
      <c r="E363" s="14">
        <f>SALES_EDA!B350</f>
        <v>369350.98948089802</v>
      </c>
      <c r="F363" s="1"/>
      <c r="G363" s="1"/>
      <c r="H363" s="1"/>
      <c r="I363" s="1"/>
      <c r="J363" s="1"/>
    </row>
    <row r="364" spans="1:10" x14ac:dyDescent="0.3">
      <c r="A364" s="5">
        <f>SALES_EDA!A351</f>
        <v>41987.083333333336</v>
      </c>
      <c r="B364" s="15">
        <f>SALES_EDA!M351</f>
        <v>38.32040322228174</v>
      </c>
      <c r="C364" s="15">
        <f>SALES_EDA!T351</f>
        <v>40.202016672339575</v>
      </c>
      <c r="D364" s="6">
        <f>SALES_EDA!D351</f>
        <v>4632</v>
      </c>
      <c r="E364" s="14">
        <f>SALES_EDA!B351</f>
        <v>177500.10772560901</v>
      </c>
      <c r="F364" s="1"/>
      <c r="G364" s="1"/>
      <c r="H364" s="1"/>
      <c r="I364" s="1"/>
      <c r="J364" s="1"/>
    </row>
    <row r="365" spans="1:10" x14ac:dyDescent="0.3">
      <c r="A365" s="5">
        <f>SALES_EDA!A352</f>
        <v>41988.083333333336</v>
      </c>
      <c r="B365" s="15">
        <f>SALES_EDA!M352</f>
        <v>38.447981021425967</v>
      </c>
      <c r="C365" s="15">
        <f>SALES_EDA!T352</f>
        <v>40.229378147662189</v>
      </c>
      <c r="D365" s="6">
        <f>SALES_EDA!D352</f>
        <v>7341</v>
      </c>
      <c r="E365" s="14">
        <f>SALES_EDA!B352</f>
        <v>282246.62867828802</v>
      </c>
      <c r="F365" s="1"/>
      <c r="G365" s="1"/>
      <c r="H365" s="1"/>
      <c r="I365" s="1"/>
      <c r="J365" s="1"/>
    </row>
    <row r="366" spans="1:10" x14ac:dyDescent="0.3">
      <c r="A366" s="5">
        <f>SALES_EDA!A353</f>
        <v>41989.083333333336</v>
      </c>
      <c r="B366" s="15">
        <f>SALES_EDA!M353</f>
        <v>38.541765489673637</v>
      </c>
      <c r="C366" s="15">
        <f>SALES_EDA!T353</f>
        <v>40.260237579614788</v>
      </c>
      <c r="D366" s="6">
        <f>SALES_EDA!D353</f>
        <v>4308</v>
      </c>
      <c r="E366" s="14">
        <f>SALES_EDA!B353</f>
        <v>166037.92572951401</v>
      </c>
      <c r="F366" s="1"/>
      <c r="G366" s="1"/>
      <c r="H366" s="1"/>
      <c r="I366" s="1"/>
      <c r="J366" s="1"/>
    </row>
    <row r="367" spans="1:10" x14ac:dyDescent="0.3">
      <c r="A367" s="5">
        <f>SALES_EDA!A354</f>
        <v>41990.083333333336</v>
      </c>
      <c r="B367" s="15">
        <f>SALES_EDA!M354</f>
        <v>38.528072020739714</v>
      </c>
      <c r="C367" s="15">
        <f>SALES_EDA!T354</f>
        <v>40.291954998689938</v>
      </c>
      <c r="D367" s="6">
        <f>SALES_EDA!D354</f>
        <v>3865</v>
      </c>
      <c r="E367" s="14">
        <f>SALES_EDA!B354</f>
        <v>148910.99836015899</v>
      </c>
      <c r="F367" s="1"/>
      <c r="G367" s="1"/>
      <c r="H367" s="1"/>
      <c r="I367" s="1"/>
      <c r="J367" s="1"/>
    </row>
    <row r="368" spans="1:10" x14ac:dyDescent="0.3">
      <c r="A368" s="5">
        <f>SALES_EDA!A355</f>
        <v>41991.083333333336</v>
      </c>
      <c r="B368" s="15">
        <f>SALES_EDA!M355</f>
        <v>38.267614012834905</v>
      </c>
      <c r="C368" s="15">
        <f>SALES_EDA!T355</f>
        <v>40.313652267544782</v>
      </c>
      <c r="D368" s="6">
        <f>SALES_EDA!D355</f>
        <v>5288</v>
      </c>
      <c r="E368" s="14">
        <f>SALES_EDA!B355</f>
        <v>202359.14289987099</v>
      </c>
      <c r="F368" s="1"/>
      <c r="G368" s="1"/>
      <c r="H368" s="1"/>
      <c r="I368" s="1"/>
      <c r="J368" s="1"/>
    </row>
    <row r="369" spans="1:10" x14ac:dyDescent="0.3">
      <c r="A369" s="5">
        <f>SALES_EDA!A356</f>
        <v>41992.083333333336</v>
      </c>
      <c r="B369" s="15">
        <f>SALES_EDA!M356</f>
        <v>38.418100314414502</v>
      </c>
      <c r="C369" s="15">
        <f>SALES_EDA!T356</f>
        <v>40.341244938486405</v>
      </c>
      <c r="D369" s="6">
        <f>SALES_EDA!D356</f>
        <v>7141</v>
      </c>
      <c r="E369" s="14">
        <f>SALES_EDA!B356</f>
        <v>274343.65434523398</v>
      </c>
      <c r="F369" s="1"/>
      <c r="G369" s="1"/>
      <c r="H369" s="1"/>
      <c r="I369" s="1"/>
      <c r="J369" s="1"/>
    </row>
    <row r="370" spans="1:10" x14ac:dyDescent="0.3">
      <c r="A370" s="5">
        <f>SALES_EDA!A357</f>
        <v>41993.083333333336</v>
      </c>
      <c r="B370" s="15">
        <f>SALES_EDA!M357</f>
        <v>38.239849378153487</v>
      </c>
      <c r="C370" s="15">
        <f>SALES_EDA!T357</f>
        <v>40.365823768650415</v>
      </c>
      <c r="D370" s="6">
        <f>SALES_EDA!D357</f>
        <v>8268</v>
      </c>
      <c r="E370" s="14">
        <f>SALES_EDA!B357</f>
        <v>316167.07465857302</v>
      </c>
      <c r="F370" s="1"/>
      <c r="G370" s="1"/>
      <c r="H370" s="1"/>
      <c r="I370" s="1"/>
      <c r="J370" s="1"/>
    </row>
    <row r="371" spans="1:10" x14ac:dyDescent="0.3">
      <c r="A371" s="5">
        <f>SALES_EDA!A358</f>
        <v>41994.083333333336</v>
      </c>
      <c r="B371" s="15">
        <f>SALES_EDA!M358</f>
        <v>38.280863274259858</v>
      </c>
      <c r="C371" s="15">
        <f>SALES_EDA!T358</f>
        <v>40.237378897828314</v>
      </c>
      <c r="D371" s="6">
        <f>SALES_EDA!D358</f>
        <v>4541</v>
      </c>
      <c r="E371" s="14">
        <f>SALES_EDA!B358</f>
        <v>173833.40012841401</v>
      </c>
      <c r="F371" s="1"/>
      <c r="G371" s="1"/>
      <c r="H371" s="1"/>
      <c r="I371" s="1"/>
      <c r="J371" s="1"/>
    </row>
    <row r="372" spans="1:10" x14ac:dyDescent="0.3">
      <c r="A372" s="5">
        <f>SALES_EDA!A359</f>
        <v>41995.083333333336</v>
      </c>
      <c r="B372" s="15">
        <f>SALES_EDA!M359</f>
        <v>40.798779783688076</v>
      </c>
      <c r="C372" s="15">
        <f>SALES_EDA!T359</f>
        <v>40.186227631749531</v>
      </c>
      <c r="D372" s="6">
        <f>SALES_EDA!D359</f>
        <v>5014</v>
      </c>
      <c r="E372" s="14">
        <f>SALES_EDA!B359</f>
        <v>204565.08183541201</v>
      </c>
      <c r="F372" s="1"/>
      <c r="G372" s="1"/>
      <c r="H372" s="1"/>
      <c r="I372" s="1"/>
      <c r="J372" s="1"/>
    </row>
    <row r="373" spans="1:10" x14ac:dyDescent="0.3">
      <c r="A373" s="5">
        <f>SALES_EDA!A360</f>
        <v>41996.083333333336</v>
      </c>
      <c r="B373" s="15">
        <f>SALES_EDA!M360</f>
        <v>40.678160305645285</v>
      </c>
      <c r="C373" s="15">
        <f>SALES_EDA!T360</f>
        <v>40.130137745568646</v>
      </c>
      <c r="D373" s="6">
        <f>SALES_EDA!D360</f>
        <v>7778</v>
      </c>
      <c r="E373" s="14">
        <f>SALES_EDA!B360</f>
        <v>316394.73085730901</v>
      </c>
      <c r="F373" s="1"/>
      <c r="G373" s="1"/>
      <c r="H373" s="1"/>
      <c r="I373" s="1"/>
      <c r="J373" s="1"/>
    </row>
    <row r="374" spans="1:10" x14ac:dyDescent="0.3">
      <c r="A374" s="5">
        <f>SALES_EDA!A361</f>
        <v>41997.083333333336</v>
      </c>
      <c r="B374" s="15">
        <f>SALES_EDA!M361</f>
        <v>41.174555016820058</v>
      </c>
      <c r="C374" s="15">
        <f>SALES_EDA!T361</f>
        <v>40.105310178866183</v>
      </c>
      <c r="D374" s="6">
        <f>SALES_EDA!D361</f>
        <v>11809</v>
      </c>
      <c r="E374" s="14">
        <f>SALES_EDA!B361</f>
        <v>486230.32019362802</v>
      </c>
      <c r="F374" s="1"/>
      <c r="G374" s="1"/>
      <c r="H374" s="1"/>
      <c r="I374" s="1"/>
      <c r="J374" s="1"/>
    </row>
    <row r="375" spans="1:10" x14ac:dyDescent="0.3">
      <c r="A375" s="5">
        <f>SALES_EDA!A362</f>
        <v>41998.083333333336</v>
      </c>
      <c r="B375" s="15">
        <f>SALES_EDA!M362</f>
        <v>41.174202183195575</v>
      </c>
      <c r="C375" s="15">
        <f>SALES_EDA!T362</f>
        <v>40.082100310431386</v>
      </c>
      <c r="D375" s="6">
        <f>SALES_EDA!D362</f>
        <v>3344</v>
      </c>
      <c r="E375" s="14">
        <f>SALES_EDA!B362</f>
        <v>137686.53210060601</v>
      </c>
      <c r="F375" s="1"/>
      <c r="G375" s="1"/>
      <c r="H375" s="1"/>
      <c r="I375" s="1"/>
      <c r="J375" s="1"/>
    </row>
    <row r="376" spans="1:10" x14ac:dyDescent="0.3">
      <c r="A376" s="5">
        <f>SALES_EDA!A363</f>
        <v>41999.083333333336</v>
      </c>
      <c r="B376" s="15">
        <f>SALES_EDA!M363</f>
        <v>41.148813010291022</v>
      </c>
      <c r="C376" s="15">
        <f>SALES_EDA!T363</f>
        <v>40.025827489051338</v>
      </c>
      <c r="D376" s="6">
        <f>SALES_EDA!D363</f>
        <v>1169</v>
      </c>
      <c r="E376" s="14">
        <f>SALES_EDA!B363</f>
        <v>48102.962409030202</v>
      </c>
      <c r="F376" s="1"/>
      <c r="G376" s="1"/>
      <c r="H376" s="1"/>
      <c r="I376" s="1"/>
      <c r="J376" s="1"/>
    </row>
    <row r="377" spans="1:10" x14ac:dyDescent="0.3">
      <c r="A377" s="5">
        <f>SALES_EDA!A364</f>
        <v>42000.083333333336</v>
      </c>
      <c r="B377" s="15">
        <f>SALES_EDA!M364</f>
        <v>41.166715987499252</v>
      </c>
      <c r="C377" s="15">
        <f>SALES_EDA!T364</f>
        <v>39.967117311106229</v>
      </c>
      <c r="D377" s="6">
        <f>SALES_EDA!D364</f>
        <v>2676</v>
      </c>
      <c r="E377" s="14">
        <f>SALES_EDA!B364</f>
        <v>110162.131982548</v>
      </c>
      <c r="F377" s="1"/>
      <c r="G377" s="1"/>
      <c r="H377" s="1"/>
      <c r="I377" s="1"/>
      <c r="J377" s="1"/>
    </row>
    <row r="378" spans="1:10" x14ac:dyDescent="0.3">
      <c r="A378" s="5">
        <f>SALES_EDA!A365</f>
        <v>42001.083333333336</v>
      </c>
      <c r="B378" s="15">
        <f>SALES_EDA!M365</f>
        <v>41.175514068825521</v>
      </c>
      <c r="C378" s="15">
        <f>SALES_EDA!T365</f>
        <v>39.915723092639787</v>
      </c>
      <c r="D378" s="6">
        <f>SALES_EDA!D365</f>
        <v>1677</v>
      </c>
      <c r="E378" s="14">
        <f>SALES_EDA!B365</f>
        <v>69051.337093420399</v>
      </c>
      <c r="F378" s="1"/>
      <c r="G378" s="1"/>
      <c r="H378" s="1"/>
      <c r="I378" s="1"/>
      <c r="J378" s="1"/>
    </row>
    <row r="379" spans="1:10" x14ac:dyDescent="0.3">
      <c r="A379" s="5">
        <f>SALES_EDA!A366</f>
        <v>42002.083333333336</v>
      </c>
      <c r="B379" s="15">
        <f>SALES_EDA!M366</f>
        <v>41.18238151462095</v>
      </c>
      <c r="C379" s="15">
        <f>SALES_EDA!T366</f>
        <v>39.864845262570071</v>
      </c>
      <c r="D379" s="6">
        <f>SALES_EDA!D366</f>
        <v>3237</v>
      </c>
      <c r="E379" s="14">
        <f>SALES_EDA!B366</f>
        <v>133307.36896282801</v>
      </c>
      <c r="F379" s="1"/>
      <c r="G379" s="1"/>
      <c r="H379" s="1"/>
      <c r="I379" s="1"/>
      <c r="J379" s="1"/>
    </row>
    <row r="380" spans="1:10" x14ac:dyDescent="0.3">
      <c r="A380" s="5">
        <f>SALES_EDA!A367</f>
        <v>42003.083333333336</v>
      </c>
      <c r="B380" s="15">
        <f>SALES_EDA!M367</f>
        <v>38.592741977680575</v>
      </c>
      <c r="C380" s="15">
        <f>SALES_EDA!T367</f>
        <v>39.733195218600947</v>
      </c>
      <c r="D380" s="6">
        <f>SALES_EDA!D367</f>
        <v>5607</v>
      </c>
      <c r="E380" s="14">
        <f>SALES_EDA!B367</f>
        <v>216389.504268855</v>
      </c>
      <c r="F380" s="1"/>
      <c r="G380" s="1"/>
      <c r="H380" s="1"/>
      <c r="I380" s="1"/>
      <c r="J380" s="1"/>
    </row>
    <row r="381" spans="1:10" x14ac:dyDescent="0.3">
      <c r="A381" s="5">
        <f>SALES_EDA!A368</f>
        <v>42004.083333333336</v>
      </c>
      <c r="B381" s="15">
        <f>SALES_EDA!M368</f>
        <v>38.573046493313825</v>
      </c>
      <c r="C381" s="15">
        <f>SALES_EDA!T368</f>
        <v>39.613122508767177</v>
      </c>
      <c r="D381" s="6">
        <f>SALES_EDA!D368</f>
        <v>9464</v>
      </c>
      <c r="E381" s="14">
        <f>SALES_EDA!B368</f>
        <v>365055.31201272202</v>
      </c>
      <c r="F381" s="1"/>
      <c r="G381" s="1"/>
      <c r="H381" s="1"/>
      <c r="I381" s="1"/>
      <c r="J381" s="1"/>
    </row>
    <row r="382" spans="1:10" x14ac:dyDescent="0.3">
      <c r="A382" s="5">
        <f>SALES_EDA!A369</f>
        <v>42005.083333333336</v>
      </c>
      <c r="B382" s="15">
        <f>SALES_EDA!M369</f>
        <v>38.609783000603443</v>
      </c>
      <c r="C382" s="15">
        <f>SALES_EDA!T369</f>
        <v>39.544976635083295</v>
      </c>
      <c r="D382" s="6">
        <f>SALES_EDA!D369</f>
        <v>2905</v>
      </c>
      <c r="E382" s="14">
        <f>SALES_EDA!B369</f>
        <v>112161.419616753</v>
      </c>
      <c r="F382" s="1"/>
      <c r="G382" s="1"/>
      <c r="H382" s="1"/>
      <c r="I382" s="1"/>
      <c r="J382" s="1"/>
    </row>
    <row r="383" spans="1:10" x14ac:dyDescent="0.3">
      <c r="A383" s="5">
        <f>SALES_EDA!A370</f>
        <v>42006.083333333336</v>
      </c>
      <c r="B383" s="15">
        <f>SALES_EDA!M370</f>
        <v>38.601945275567843</v>
      </c>
      <c r="C383" s="15">
        <f>SALES_EDA!T370</f>
        <v>39.494070452018882</v>
      </c>
      <c r="D383" s="6">
        <f>SALES_EDA!D370</f>
        <v>7023</v>
      </c>
      <c r="E383" s="14">
        <f>SALES_EDA!B370</f>
        <v>271101.46167031297</v>
      </c>
      <c r="F383" s="1"/>
      <c r="G383" s="1"/>
      <c r="H383" s="1"/>
      <c r="I383" s="1"/>
      <c r="J383" s="1"/>
    </row>
    <row r="384" spans="1:10" x14ac:dyDescent="0.3">
      <c r="A384" s="5">
        <f>SALES_EDA!A371</f>
        <v>42007.083333333336</v>
      </c>
      <c r="B384" s="15">
        <f>SALES_EDA!M371</f>
        <v>38.583156225415792</v>
      </c>
      <c r="C384" s="15">
        <f>SALES_EDA!T371</f>
        <v>39.440102031544924</v>
      </c>
      <c r="D384" s="6">
        <f>SALES_EDA!D371</f>
        <v>6371</v>
      </c>
      <c r="E384" s="14">
        <f>SALES_EDA!B371</f>
        <v>245813.288312124</v>
      </c>
      <c r="F384" s="1"/>
      <c r="G384" s="1"/>
      <c r="H384" s="1"/>
      <c r="I384" s="1"/>
      <c r="J384" s="1"/>
    </row>
    <row r="385" spans="1:10" x14ac:dyDescent="0.3">
      <c r="A385" s="5">
        <f>SALES_EDA!A372</f>
        <v>42008.083333333336</v>
      </c>
      <c r="B385" s="15">
        <f>SALES_EDA!M372</f>
        <v>38.580192906044331</v>
      </c>
      <c r="C385" s="15">
        <f>SALES_EDA!T372</f>
        <v>39.369713797695113</v>
      </c>
      <c r="D385" s="6">
        <f>SALES_EDA!D372</f>
        <v>4624</v>
      </c>
      <c r="E385" s="14">
        <f>SALES_EDA!B372</f>
        <v>178394.811997549</v>
      </c>
      <c r="F385" s="1"/>
      <c r="G385" s="1"/>
      <c r="H385" s="1"/>
      <c r="I385" s="1"/>
      <c r="J385" s="1"/>
    </row>
    <row r="386" spans="1:10" x14ac:dyDescent="0.3">
      <c r="A386" s="5">
        <f>SALES_EDA!A373</f>
        <v>42009.083333333336</v>
      </c>
      <c r="B386" s="15">
        <f>SALES_EDA!M373</f>
        <v>38.559319832825786</v>
      </c>
      <c r="C386" s="15">
        <f>SALES_EDA!T373</f>
        <v>39.323726391293278</v>
      </c>
      <c r="D386" s="6">
        <f>SALES_EDA!D373</f>
        <v>5717</v>
      </c>
      <c r="E386" s="14">
        <f>SALES_EDA!B373</f>
        <v>220443.631484265</v>
      </c>
      <c r="F386" s="1"/>
      <c r="G386" s="1"/>
      <c r="H386" s="1"/>
      <c r="I386" s="1"/>
      <c r="J386" s="1"/>
    </row>
    <row r="387" spans="1:10" x14ac:dyDescent="0.3">
      <c r="A387" s="5">
        <f>SALES_EDA!A374</f>
        <v>42010.083333333336</v>
      </c>
      <c r="B387" s="15">
        <f>SALES_EDA!M374</f>
        <v>38.583249452216577</v>
      </c>
      <c r="C387" s="15">
        <f>SALES_EDA!T374</f>
        <v>39.323264203474466</v>
      </c>
      <c r="D387" s="6">
        <f>SALES_EDA!D374</f>
        <v>4705</v>
      </c>
      <c r="E387" s="14">
        <f>SALES_EDA!B374</f>
        <v>181534.18867267901</v>
      </c>
      <c r="F387" s="1"/>
      <c r="G387" s="1"/>
      <c r="H387" s="1"/>
      <c r="I387" s="1"/>
      <c r="J387" s="1"/>
    </row>
    <row r="388" spans="1:10" x14ac:dyDescent="0.3">
      <c r="A388" s="5">
        <f>SALES_EDA!A375</f>
        <v>42011.083333333336</v>
      </c>
      <c r="B388" s="15">
        <f>SALES_EDA!M375</f>
        <v>41.176475937326835</v>
      </c>
      <c r="C388" s="15">
        <f>SALES_EDA!T375</f>
        <v>39.3438552484441</v>
      </c>
      <c r="D388" s="6">
        <f>SALES_EDA!D375</f>
        <v>2020</v>
      </c>
      <c r="E388" s="14">
        <f>SALES_EDA!B375</f>
        <v>83176.481393400201</v>
      </c>
      <c r="F388" s="1"/>
      <c r="G388" s="1"/>
      <c r="H388" s="1"/>
      <c r="I388" s="1"/>
      <c r="J388" s="1"/>
    </row>
    <row r="389" spans="1:10" x14ac:dyDescent="0.3">
      <c r="A389" s="5">
        <f>SALES_EDA!A376</f>
        <v>42012.083333333336</v>
      </c>
      <c r="B389" s="15">
        <f>SALES_EDA!M376</f>
        <v>41.164228773396893</v>
      </c>
      <c r="C389" s="15">
        <f>SALES_EDA!T376</f>
        <v>39.365012082565549</v>
      </c>
      <c r="D389" s="6">
        <f>SALES_EDA!D376</f>
        <v>1868</v>
      </c>
      <c r="E389" s="14">
        <f>SALES_EDA!B376</f>
        <v>76894.7793487054</v>
      </c>
      <c r="F389" s="1"/>
      <c r="G389" s="1"/>
      <c r="H389" s="1"/>
      <c r="I389" s="1"/>
      <c r="J389" s="1"/>
    </row>
    <row r="390" spans="1:10" x14ac:dyDescent="0.3">
      <c r="A390" s="5">
        <f>SALES_EDA!A377</f>
        <v>42013.083333333336</v>
      </c>
      <c r="B390" s="15">
        <f>SALES_EDA!M377</f>
        <v>41.176658230298543</v>
      </c>
      <c r="C390" s="15">
        <f>SALES_EDA!T377</f>
        <v>39.420149290684392</v>
      </c>
      <c r="D390" s="6">
        <f>SALES_EDA!D377</f>
        <v>3008</v>
      </c>
      <c r="E390" s="14">
        <f>SALES_EDA!B377</f>
        <v>123859.38795673801</v>
      </c>
      <c r="F390" s="1"/>
      <c r="G390" s="1"/>
      <c r="H390" s="1"/>
      <c r="I390" s="1"/>
      <c r="J390" s="1"/>
    </row>
    <row r="391" spans="1:10" x14ac:dyDescent="0.3">
      <c r="A391" s="5">
        <f>SALES_EDA!A378</f>
        <v>42014.083333333336</v>
      </c>
      <c r="B391" s="15">
        <f>SALES_EDA!M378</f>
        <v>41.175042317084866</v>
      </c>
      <c r="C391" s="15">
        <f>SALES_EDA!T378</f>
        <v>39.52087332198996</v>
      </c>
      <c r="D391" s="6">
        <f>SALES_EDA!D378</f>
        <v>2934</v>
      </c>
      <c r="E391" s="14">
        <f>SALES_EDA!B378</f>
        <v>120807.574158327</v>
      </c>
      <c r="F391" s="1"/>
      <c r="G391" s="1"/>
      <c r="H391" s="1"/>
      <c r="I391" s="1"/>
      <c r="J391" s="1"/>
    </row>
    <row r="392" spans="1:10" x14ac:dyDescent="0.3">
      <c r="A392" s="5">
        <f>SALES_EDA!A379</f>
        <v>42015.083333333336</v>
      </c>
      <c r="B392" s="15">
        <f>SALES_EDA!M379</f>
        <v>41.181874171201414</v>
      </c>
      <c r="C392" s="15">
        <f>SALES_EDA!T379</f>
        <v>39.612011351343412</v>
      </c>
      <c r="D392" s="6">
        <f>SALES_EDA!D379</f>
        <v>1690</v>
      </c>
      <c r="E392" s="14">
        <f>SALES_EDA!B379</f>
        <v>69597.367349330394</v>
      </c>
      <c r="F392" s="1"/>
      <c r="G392" s="1"/>
      <c r="H392" s="1"/>
      <c r="I392" s="1"/>
      <c r="J392" s="1"/>
    </row>
    <row r="393" spans="1:10" x14ac:dyDescent="0.3">
      <c r="A393" s="5">
        <f>SALES_EDA!A380</f>
        <v>42016.083333333336</v>
      </c>
      <c r="B393" s="15">
        <f>SALES_EDA!M380</f>
        <v>41.175070170680321</v>
      </c>
      <c r="C393" s="15">
        <f>SALES_EDA!T380</f>
        <v>39.709218512267547</v>
      </c>
      <c r="D393" s="6">
        <f>SALES_EDA!D380</f>
        <v>2058</v>
      </c>
      <c r="E393" s="14">
        <f>SALES_EDA!B380</f>
        <v>84738.294411260096</v>
      </c>
      <c r="F393" s="1"/>
      <c r="G393" s="1"/>
      <c r="H393" s="1"/>
      <c r="I393" s="1"/>
      <c r="J393" s="1"/>
    </row>
    <row r="394" spans="1:10" x14ac:dyDescent="0.3">
      <c r="A394" s="5">
        <f>SALES_EDA!A381</f>
        <v>42017.083333333336</v>
      </c>
      <c r="B394" s="15">
        <f>SALES_EDA!M381</f>
        <v>41.180873973337839</v>
      </c>
      <c r="C394" s="15">
        <f>SALES_EDA!T381</f>
        <v>39.804567537302752</v>
      </c>
      <c r="D394" s="6">
        <f>SALES_EDA!D381</f>
        <v>1570</v>
      </c>
      <c r="E394" s="14">
        <f>SALES_EDA!B381</f>
        <v>64653.972138140402</v>
      </c>
      <c r="F394" s="1"/>
      <c r="G394" s="1"/>
      <c r="H394" s="1"/>
      <c r="I394" s="1"/>
      <c r="J394" s="1"/>
    </row>
    <row r="395" spans="1:10" x14ac:dyDescent="0.3">
      <c r="A395" s="5">
        <f>SALES_EDA!A382</f>
        <v>42018.083333333336</v>
      </c>
      <c r="B395" s="15">
        <f>SALES_EDA!M382</f>
        <v>41.184914267648892</v>
      </c>
      <c r="C395" s="15">
        <f>SALES_EDA!T382</f>
        <v>39.89579864551019</v>
      </c>
      <c r="D395" s="6">
        <f>SALES_EDA!D382</f>
        <v>1446</v>
      </c>
      <c r="E395" s="14">
        <f>SALES_EDA!B382</f>
        <v>59553.386031020302</v>
      </c>
      <c r="F395" s="1"/>
      <c r="G395" s="1"/>
      <c r="H395" s="1"/>
      <c r="I395" s="1"/>
      <c r="J395" s="1"/>
    </row>
    <row r="396" spans="1:10" x14ac:dyDescent="0.3">
      <c r="A396" s="5">
        <f>SALES_EDA!A383</f>
        <v>42019.083333333336</v>
      </c>
      <c r="B396" s="15">
        <f>SALES_EDA!M383</f>
        <v>41.166453387678501</v>
      </c>
      <c r="C396" s="15">
        <f>SALES_EDA!T383</f>
        <v>39.983288242110348</v>
      </c>
      <c r="D396" s="6">
        <f>SALES_EDA!D383</f>
        <v>1921</v>
      </c>
      <c r="E396" s="14">
        <f>SALES_EDA!B383</f>
        <v>79080.756957730395</v>
      </c>
      <c r="F396" s="1"/>
      <c r="G396" s="1"/>
      <c r="H396" s="1"/>
      <c r="I396" s="1"/>
      <c r="J396" s="1"/>
    </row>
    <row r="397" spans="1:10" x14ac:dyDescent="0.3">
      <c r="A397" s="5">
        <f>SALES_EDA!A384</f>
        <v>42020.083333333336</v>
      </c>
      <c r="B397" s="15">
        <f>SALES_EDA!M384</f>
        <v>41.180506141486362</v>
      </c>
      <c r="C397" s="15">
        <f>SALES_EDA!T384</f>
        <v>40.071702712801901</v>
      </c>
      <c r="D397" s="6">
        <f>SALES_EDA!D384</f>
        <v>3629</v>
      </c>
      <c r="E397" s="14">
        <f>SALES_EDA!B384</f>
        <v>149444.056787454</v>
      </c>
      <c r="F397" s="1"/>
      <c r="G397" s="1"/>
      <c r="H397" s="1"/>
      <c r="I397" s="1"/>
      <c r="J397" s="1"/>
    </row>
    <row r="398" spans="1:10" x14ac:dyDescent="0.3">
      <c r="A398" s="5">
        <f>SALES_EDA!A385</f>
        <v>42021.083333333336</v>
      </c>
      <c r="B398" s="15">
        <f>SALES_EDA!M385</f>
        <v>41.173764463294397</v>
      </c>
      <c r="C398" s="15">
        <f>SALES_EDA!T385</f>
        <v>40.168574394483898</v>
      </c>
      <c r="D398" s="6">
        <f>SALES_EDA!D385</f>
        <v>4144</v>
      </c>
      <c r="E398" s="14">
        <f>SALES_EDA!B385</f>
        <v>170624.07993589199</v>
      </c>
      <c r="F398" s="1"/>
      <c r="G398" s="1"/>
      <c r="H398" s="1"/>
      <c r="I398" s="1"/>
      <c r="J398" s="1"/>
    </row>
    <row r="399" spans="1:10" x14ac:dyDescent="0.3">
      <c r="A399" s="5">
        <f>SALES_EDA!A386</f>
        <v>42022.083333333336</v>
      </c>
      <c r="B399" s="15">
        <f>SALES_EDA!M386</f>
        <v>41.181423222733059</v>
      </c>
      <c r="C399" s="15">
        <f>SALES_EDA!T386</f>
        <v>40.260685158094503</v>
      </c>
      <c r="D399" s="6">
        <f>SALES_EDA!D386</f>
        <v>1815</v>
      </c>
      <c r="E399" s="14">
        <f>SALES_EDA!B386</f>
        <v>74744.283149260504</v>
      </c>
      <c r="F399" s="1"/>
      <c r="G399" s="1"/>
      <c r="H399" s="1"/>
      <c r="I399" s="1"/>
      <c r="J399" s="1"/>
    </row>
    <row r="400" spans="1:10" x14ac:dyDescent="0.3">
      <c r="A400" s="5">
        <f>SALES_EDA!A387</f>
        <v>42023.083333333336</v>
      </c>
      <c r="B400" s="15">
        <f>SALES_EDA!M387</f>
        <v>41.180521425988942</v>
      </c>
      <c r="C400" s="15">
        <f>SALES_EDA!T387</f>
        <v>40.358707559689016</v>
      </c>
      <c r="D400" s="6">
        <f>SALES_EDA!D387</f>
        <v>2189</v>
      </c>
      <c r="E400" s="14">
        <f>SALES_EDA!B387</f>
        <v>90144.161401489793</v>
      </c>
      <c r="F400" s="1"/>
      <c r="G400" s="1"/>
      <c r="H400" s="1"/>
      <c r="I400" s="1"/>
      <c r="J400" s="1"/>
    </row>
    <row r="401" spans="1:10" x14ac:dyDescent="0.3">
      <c r="A401" s="5">
        <f>SALES_EDA!A388</f>
        <v>42024.083333333336</v>
      </c>
      <c r="B401" s="15">
        <f>SALES_EDA!M388</f>
        <v>41.172899327011358</v>
      </c>
      <c r="C401" s="15">
        <f>SALES_EDA!T388</f>
        <v>40.455108761447406</v>
      </c>
      <c r="D401" s="6">
        <f>SALES_EDA!D388</f>
        <v>2376</v>
      </c>
      <c r="E401" s="14">
        <f>SALES_EDA!B388</f>
        <v>97826.808800978994</v>
      </c>
      <c r="F401" s="1"/>
      <c r="G401" s="1"/>
      <c r="H401" s="1"/>
      <c r="I401" s="1"/>
      <c r="J401" s="1"/>
    </row>
    <row r="402" spans="1:10" x14ac:dyDescent="0.3">
      <c r="A402" s="5">
        <f>SALES_EDA!A389</f>
        <v>42025.083333333336</v>
      </c>
      <c r="B402" s="15">
        <f>SALES_EDA!M389</f>
        <v>41.177691243226491</v>
      </c>
      <c r="C402" s="15">
        <f>SALES_EDA!T389</f>
        <v>40.46773914343202</v>
      </c>
      <c r="D402" s="6">
        <f>SALES_EDA!D389</f>
        <v>1525</v>
      </c>
      <c r="E402" s="14">
        <f>SALES_EDA!B389</f>
        <v>62795.979145920399</v>
      </c>
      <c r="F402" s="1"/>
      <c r="G402" s="1"/>
      <c r="H402" s="1"/>
      <c r="I402" s="1"/>
      <c r="J402" s="1"/>
    </row>
    <row r="403" spans="1:10" x14ac:dyDescent="0.3">
      <c r="A403" s="5">
        <f>SALES_EDA!A390</f>
        <v>42026.083333333336</v>
      </c>
      <c r="B403" s="15">
        <f>SALES_EDA!M390</f>
        <v>41.182543209826981</v>
      </c>
      <c r="C403" s="15">
        <f>SALES_EDA!T390</f>
        <v>40.484551906904741</v>
      </c>
      <c r="D403" s="6">
        <f>SALES_EDA!D390</f>
        <v>1616</v>
      </c>
      <c r="E403" s="14">
        <f>SALES_EDA!B390</f>
        <v>66550.989827080397</v>
      </c>
      <c r="F403" s="1"/>
      <c r="G403" s="1"/>
      <c r="H403" s="1"/>
      <c r="I403" s="1"/>
      <c r="J403" s="1"/>
    </row>
    <row r="404" spans="1:10" x14ac:dyDescent="0.3">
      <c r="A404" s="5">
        <f>SALES_EDA!A391</f>
        <v>42027.083333333336</v>
      </c>
      <c r="B404" s="15">
        <f>SALES_EDA!M391</f>
        <v>41.168722571401119</v>
      </c>
      <c r="C404" s="15">
        <f>SALES_EDA!T391</f>
        <v>40.484357492057448</v>
      </c>
      <c r="D404" s="6">
        <f>SALES_EDA!D391</f>
        <v>3757</v>
      </c>
      <c r="E404" s="14">
        <f>SALES_EDA!B391</f>
        <v>154670.89070075401</v>
      </c>
      <c r="F404" s="1"/>
      <c r="G404" s="1"/>
      <c r="H404" s="1"/>
      <c r="I404" s="1"/>
      <c r="J404" s="1"/>
    </row>
    <row r="405" spans="1:10" x14ac:dyDescent="0.3">
      <c r="A405" s="5">
        <f>SALES_EDA!A392</f>
        <v>42028.083333333336</v>
      </c>
      <c r="B405" s="15">
        <f>SALES_EDA!M392</f>
        <v>41.173049448862258</v>
      </c>
      <c r="C405" s="15">
        <f>SALES_EDA!T392</f>
        <v>40.484319067579669</v>
      </c>
      <c r="D405" s="6">
        <f>SALES_EDA!D392</f>
        <v>3855</v>
      </c>
      <c r="E405" s="14">
        <f>SALES_EDA!B392</f>
        <v>158722.105625364</v>
      </c>
      <c r="F405" s="1"/>
      <c r="G405" s="1"/>
      <c r="H405" s="1"/>
      <c r="I405" s="1"/>
      <c r="J405" s="1"/>
    </row>
    <row r="406" spans="1:10" x14ac:dyDescent="0.3">
      <c r="A406" s="5">
        <f>SALES_EDA!A393</f>
        <v>42029.083333333336</v>
      </c>
      <c r="B406" s="15">
        <f>SALES_EDA!M393</f>
        <v>41.166197639446764</v>
      </c>
      <c r="C406" s="15">
        <f>SALES_EDA!T393</f>
        <v>40.484898555218187</v>
      </c>
      <c r="D406" s="6">
        <f>SALES_EDA!D393</f>
        <v>1897</v>
      </c>
      <c r="E406" s="14">
        <f>SALES_EDA!B393</f>
        <v>78092.276922030505</v>
      </c>
      <c r="F406" s="1"/>
      <c r="G406" s="1"/>
      <c r="H406" s="1"/>
      <c r="I406" s="1"/>
      <c r="J406" s="1"/>
    </row>
    <row r="407" spans="1:10" x14ac:dyDescent="0.3">
      <c r="A407" s="5">
        <f>SALES_EDA!A394</f>
        <v>42030.083333333336</v>
      </c>
      <c r="B407" s="15">
        <f>SALES_EDA!M394</f>
        <v>41.179552485999956</v>
      </c>
      <c r="C407" s="15">
        <f>SALES_EDA!T394</f>
        <v>40.485326438501552</v>
      </c>
      <c r="D407" s="6">
        <f>SALES_EDA!D394</f>
        <v>2230</v>
      </c>
      <c r="E407" s="14">
        <f>SALES_EDA!B394</f>
        <v>91830.402043779904</v>
      </c>
      <c r="F407" s="1"/>
      <c r="G407" s="1"/>
      <c r="H407" s="1"/>
      <c r="I407" s="1"/>
      <c r="J407" s="1"/>
    </row>
    <row r="408" spans="1:10" x14ac:dyDescent="0.3">
      <c r="A408" s="5">
        <f>SALES_EDA!A395</f>
        <v>42031.083333333336</v>
      </c>
      <c r="B408" s="15">
        <f>SALES_EDA!M395</f>
        <v>41.172692878722188</v>
      </c>
      <c r="C408" s="15">
        <f>SALES_EDA!T395</f>
        <v>40.48523239883145</v>
      </c>
      <c r="D408" s="6">
        <f>SALES_EDA!D395</f>
        <v>1870</v>
      </c>
      <c r="E408" s="14">
        <f>SALES_EDA!B395</f>
        <v>76992.935683210497</v>
      </c>
      <c r="F408" s="1"/>
      <c r="G408" s="1"/>
      <c r="H408" s="1"/>
      <c r="I408" s="1"/>
      <c r="J408" s="1"/>
    </row>
    <row r="409" spans="1:10" x14ac:dyDescent="0.3">
      <c r="A409" s="5">
        <f>SALES_EDA!A396</f>
        <v>42032.083333333336</v>
      </c>
      <c r="B409" s="15">
        <f>SALES_EDA!M396</f>
        <v>41.166815037759726</v>
      </c>
      <c r="C409" s="15">
        <f>SALES_EDA!T396</f>
        <v>40.484713516269402</v>
      </c>
      <c r="D409" s="6">
        <f>SALES_EDA!D396</f>
        <v>1455</v>
      </c>
      <c r="E409" s="14">
        <f>SALES_EDA!B396</f>
        <v>59897.715879940399</v>
      </c>
      <c r="F409" s="1"/>
      <c r="G409" s="1"/>
      <c r="H409" s="1"/>
      <c r="I409" s="1"/>
      <c r="J409" s="1"/>
    </row>
    <row r="410" spans="1:10" x14ac:dyDescent="0.3">
      <c r="A410" s="5">
        <f>SALES_EDA!A397</f>
        <v>42033.083333333336</v>
      </c>
      <c r="B410" s="15">
        <f>SALES_EDA!M397</f>
        <v>41.17111640971293</v>
      </c>
      <c r="C410" s="15">
        <f>SALES_EDA!T397</f>
        <v>40.570659330670487</v>
      </c>
      <c r="D410" s="6">
        <f>SALES_EDA!D397</f>
        <v>1392</v>
      </c>
      <c r="E410" s="14">
        <f>SALES_EDA!B397</f>
        <v>57310.1940423204</v>
      </c>
      <c r="F410" s="1"/>
      <c r="G410" s="1"/>
      <c r="H410" s="1"/>
      <c r="I410" s="1"/>
      <c r="J410" s="1"/>
    </row>
    <row r="411" spans="1:10" x14ac:dyDescent="0.3">
      <c r="A411" s="5">
        <f>SALES_EDA!A398</f>
        <v>42034.083333333336</v>
      </c>
      <c r="B411" s="15">
        <f>SALES_EDA!M398</f>
        <v>41.168976274705635</v>
      </c>
      <c r="C411" s="15">
        <f>SALES_EDA!T398</f>
        <v>40.657190323383546</v>
      </c>
      <c r="D411" s="6">
        <f>SALES_EDA!D398</f>
        <v>3268</v>
      </c>
      <c r="E411" s="14">
        <f>SALES_EDA!B398</f>
        <v>134540.21446573801</v>
      </c>
      <c r="F411" s="1"/>
      <c r="G411" s="1"/>
      <c r="H411" s="1"/>
      <c r="I411" s="1"/>
      <c r="J411" s="1"/>
    </row>
    <row r="412" spans="1:10" x14ac:dyDescent="0.3">
      <c r="A412" s="5">
        <f>SALES_EDA!A399</f>
        <v>42035.083333333336</v>
      </c>
      <c r="B412" s="15">
        <f>SALES_EDA!M399</f>
        <v>41.175156725454542</v>
      </c>
      <c r="C412" s="15">
        <f>SALES_EDA!T399</f>
        <v>40.742702780878581</v>
      </c>
      <c r="D412" s="6">
        <f>SALES_EDA!D399</f>
        <v>4862</v>
      </c>
      <c r="E412" s="14">
        <f>SALES_EDA!B399</f>
        <v>200193.61199916</v>
      </c>
      <c r="F412" s="1"/>
      <c r="G412" s="1"/>
      <c r="H412" s="1"/>
      <c r="I412" s="1"/>
      <c r="J412" s="1"/>
    </row>
    <row r="413" spans="1:10" x14ac:dyDescent="0.3">
      <c r="A413" s="5">
        <f>SALES_EDA!A400</f>
        <v>42036.083333333336</v>
      </c>
      <c r="B413" s="15">
        <f>SALES_EDA!M400</f>
        <v>41.16925102753013</v>
      </c>
      <c r="C413" s="15">
        <f>SALES_EDA!T400</f>
        <v>40.828279639277312</v>
      </c>
      <c r="D413" s="6">
        <f>SALES_EDA!D400</f>
        <v>4165</v>
      </c>
      <c r="E413" s="14">
        <f>SALES_EDA!B400</f>
        <v>171469.93052966299</v>
      </c>
      <c r="F413" s="1"/>
      <c r="G413" s="1"/>
      <c r="H413" s="1"/>
      <c r="I413" s="1"/>
      <c r="J413" s="1"/>
    </row>
    <row r="414" spans="1:10" x14ac:dyDescent="0.3">
      <c r="A414" s="5">
        <f>SALES_EDA!A401</f>
        <v>42037.083333333336</v>
      </c>
      <c r="B414" s="15">
        <f>SALES_EDA!M401</f>
        <v>41.17699289890502</v>
      </c>
      <c r="C414" s="15">
        <f>SALES_EDA!T401</f>
        <v>40.914740861726955</v>
      </c>
      <c r="D414" s="6">
        <f>SALES_EDA!D401</f>
        <v>3685</v>
      </c>
      <c r="E414" s="14">
        <f>SALES_EDA!B401</f>
        <v>151737.21883246501</v>
      </c>
      <c r="F414" s="1"/>
      <c r="G414" s="1"/>
      <c r="H414" s="1"/>
      <c r="I414" s="1"/>
      <c r="J414" s="1"/>
    </row>
    <row r="415" spans="1:10" x14ac:dyDescent="0.3">
      <c r="A415" s="5">
        <f>SALES_EDA!A402</f>
        <v>42038.083333333336</v>
      </c>
      <c r="B415" s="15">
        <f>SALES_EDA!M402</f>
        <v>41.17484606921299</v>
      </c>
      <c r="C415" s="15">
        <f>SALES_EDA!T402</f>
        <v>41.00122930049924</v>
      </c>
      <c r="D415" s="6">
        <f>SALES_EDA!D402</f>
        <v>2479</v>
      </c>
      <c r="E415" s="14">
        <f>SALES_EDA!B402</f>
        <v>102072.443405579</v>
      </c>
      <c r="F415" s="1"/>
      <c r="G415" s="1"/>
      <c r="H415" s="1"/>
      <c r="I415" s="1"/>
      <c r="J415" s="1"/>
    </row>
    <row r="416" spans="1:10" x14ac:dyDescent="0.3">
      <c r="A416" s="5">
        <f>SALES_EDA!A403</f>
        <v>42039.083333333336</v>
      </c>
      <c r="B416" s="15">
        <f>SALES_EDA!M403</f>
        <v>41.154167142159807</v>
      </c>
      <c r="C416" s="15">
        <f>SALES_EDA!T403</f>
        <v>41.087724210810372</v>
      </c>
      <c r="D416" s="6">
        <f>SALES_EDA!D403</f>
        <v>2005</v>
      </c>
      <c r="E416" s="14">
        <f>SALES_EDA!B403</f>
        <v>82514.105120030406</v>
      </c>
      <c r="F416" s="1"/>
      <c r="G416" s="1"/>
      <c r="H416" s="1"/>
      <c r="I416" s="1"/>
      <c r="J416" s="1"/>
    </row>
    <row r="417" spans="1:10" x14ac:dyDescent="0.3">
      <c r="A417" s="5">
        <f>SALES_EDA!A404</f>
        <v>42040.083333333336</v>
      </c>
      <c r="B417" s="15">
        <f>SALES_EDA!M404</f>
        <v>41.186570818244391</v>
      </c>
      <c r="C417" s="15">
        <f>SALES_EDA!T404</f>
        <v>41.174501589677973</v>
      </c>
      <c r="D417" s="6">
        <f>SALES_EDA!D404</f>
        <v>1122</v>
      </c>
      <c r="E417" s="14">
        <f>SALES_EDA!B404</f>
        <v>46211.332458070203</v>
      </c>
      <c r="F417" s="1"/>
      <c r="G417" s="1"/>
      <c r="H417" s="1"/>
      <c r="I417" s="1"/>
      <c r="J417" s="1"/>
    </row>
    <row r="418" spans="1:10" x14ac:dyDescent="0.3">
      <c r="A418" s="5">
        <f>SALES_EDA!A405</f>
        <v>42041.083333333336</v>
      </c>
      <c r="B418" s="15">
        <f>SALES_EDA!M405</f>
        <v>41.176952358530308</v>
      </c>
      <c r="C418" s="15">
        <f>SALES_EDA!T405</f>
        <v>41.174517470384757</v>
      </c>
      <c r="D418" s="6">
        <f>SALES_EDA!D405</f>
        <v>2082</v>
      </c>
      <c r="E418" s="14">
        <f>SALES_EDA!B405</f>
        <v>85730.414810460104</v>
      </c>
      <c r="F418" s="1"/>
      <c r="G418" s="1"/>
      <c r="H418" s="1"/>
      <c r="I418" s="1"/>
      <c r="J418" s="1"/>
    </row>
    <row r="419" spans="1:10" x14ac:dyDescent="0.3">
      <c r="A419" s="5">
        <f>SALES_EDA!A406</f>
        <v>42042.083333333336</v>
      </c>
      <c r="B419" s="15">
        <f>SALES_EDA!M406</f>
        <v>41.165290824177227</v>
      </c>
      <c r="C419" s="15">
        <f>SALES_EDA!T406</f>
        <v>41.174552872077427</v>
      </c>
      <c r="D419" s="6">
        <f>SALES_EDA!D406</f>
        <v>2573</v>
      </c>
      <c r="E419" s="14">
        <f>SALES_EDA!B406</f>
        <v>105918.293290608</v>
      </c>
      <c r="F419" s="1"/>
      <c r="G419" s="1"/>
      <c r="H419" s="1"/>
      <c r="I419" s="1"/>
      <c r="J419" s="1"/>
    </row>
    <row r="420" spans="1:10" x14ac:dyDescent="0.3">
      <c r="A420" s="5">
        <f>SALES_EDA!A407</f>
        <v>42043.083333333336</v>
      </c>
      <c r="B420" s="15">
        <f>SALES_EDA!M407</f>
        <v>41.17342777408146</v>
      </c>
      <c r="C420" s="15">
        <f>SALES_EDA!T407</f>
        <v>41.174445190203521</v>
      </c>
      <c r="D420" s="6">
        <f>SALES_EDA!D407</f>
        <v>1774</v>
      </c>
      <c r="E420" s="14">
        <f>SALES_EDA!B407</f>
        <v>73041.660871220505</v>
      </c>
      <c r="F420" s="1"/>
      <c r="G420" s="1"/>
      <c r="H420" s="1"/>
      <c r="I420" s="1"/>
      <c r="J420" s="1"/>
    </row>
    <row r="421" spans="1:10" x14ac:dyDescent="0.3">
      <c r="A421" s="5">
        <f>SALES_EDA!A408</f>
        <v>42044.083333333336</v>
      </c>
      <c r="B421" s="15">
        <f>SALES_EDA!M408</f>
        <v>41.172643858746298</v>
      </c>
      <c r="C421" s="15">
        <f>SALES_EDA!T408</f>
        <v>41.174365241592241</v>
      </c>
      <c r="D421" s="6">
        <f>SALES_EDA!D408</f>
        <v>2378</v>
      </c>
      <c r="E421" s="14">
        <f>SALES_EDA!B408</f>
        <v>97908.5470960987</v>
      </c>
      <c r="F421" s="1"/>
      <c r="G421" s="1"/>
      <c r="H421" s="1"/>
      <c r="I421" s="1"/>
      <c r="J421" s="1"/>
    </row>
    <row r="422" spans="1:10" x14ac:dyDescent="0.3">
      <c r="A422" s="5">
        <f>SALES_EDA!A409</f>
        <v>42045.083333333336</v>
      </c>
      <c r="B422" s="15">
        <f>SALES_EDA!M409</f>
        <v>37.712106584480821</v>
      </c>
      <c r="C422" s="15">
        <f>SALES_EDA!T409</f>
        <v>41.058706322034894</v>
      </c>
      <c r="D422" s="6">
        <f>SALES_EDA!D409</f>
        <v>3677</v>
      </c>
      <c r="E422" s="14">
        <f>SALES_EDA!B409</f>
        <v>138667.41591113599</v>
      </c>
      <c r="F422" s="1"/>
      <c r="G422" s="1"/>
      <c r="H422" s="1"/>
      <c r="I422" s="1"/>
      <c r="J422" s="1"/>
    </row>
    <row r="423" spans="1:10" x14ac:dyDescent="0.3">
      <c r="A423" s="5">
        <f>SALES_EDA!A410</f>
        <v>42046.083333333336</v>
      </c>
      <c r="B423" s="15">
        <f>SALES_EDA!M410</f>
        <v>37.720889397144454</v>
      </c>
      <c r="C423" s="15">
        <f>SALES_EDA!T410</f>
        <v>40.943566962917039</v>
      </c>
      <c r="D423" s="6">
        <f>SALES_EDA!D410</f>
        <v>4299</v>
      </c>
      <c r="E423" s="14">
        <f>SALES_EDA!B410</f>
        <v>162162.103518324</v>
      </c>
      <c r="F423" s="1"/>
      <c r="G423" s="1"/>
      <c r="H423" s="1"/>
      <c r="I423" s="1"/>
      <c r="J423" s="1"/>
    </row>
    <row r="424" spans="1:10" x14ac:dyDescent="0.3">
      <c r="A424" s="5">
        <f>SALES_EDA!A411</f>
        <v>42047.083333333336</v>
      </c>
      <c r="B424" s="15">
        <f>SALES_EDA!M411</f>
        <v>37.702810779511701</v>
      </c>
      <c r="C424" s="15">
        <f>SALES_EDA!T411</f>
        <v>40.827631523122832</v>
      </c>
      <c r="D424" s="6">
        <f>SALES_EDA!D411</f>
        <v>3674</v>
      </c>
      <c r="E424" s="14">
        <f>SALES_EDA!B411</f>
        <v>138520.12680392599</v>
      </c>
      <c r="F424" s="1"/>
      <c r="G424" s="1"/>
      <c r="H424" s="1"/>
      <c r="I424" s="1"/>
      <c r="J424" s="1"/>
    </row>
    <row r="425" spans="1:10" x14ac:dyDescent="0.3">
      <c r="A425" s="5">
        <f>SALES_EDA!A412</f>
        <v>42048.083333333336</v>
      </c>
      <c r="B425" s="15">
        <f>SALES_EDA!M412</f>
        <v>37.727241295019255</v>
      </c>
      <c r="C425" s="15">
        <f>SALES_EDA!T412</f>
        <v>40.712375757368513</v>
      </c>
      <c r="D425" s="6">
        <f>SALES_EDA!D412</f>
        <v>9505</v>
      </c>
      <c r="E425" s="14">
        <f>SALES_EDA!B412</f>
        <v>358597.42850915802</v>
      </c>
      <c r="F425" s="1"/>
      <c r="G425" s="1"/>
      <c r="H425" s="1"/>
      <c r="I425" s="1"/>
      <c r="J425" s="1"/>
    </row>
    <row r="426" spans="1:10" x14ac:dyDescent="0.3">
      <c r="A426" s="5">
        <f>SALES_EDA!A413</f>
        <v>42049.083333333336</v>
      </c>
      <c r="B426" s="15">
        <f>SALES_EDA!M413</f>
        <v>37.733370340576755</v>
      </c>
      <c r="C426" s="15">
        <f>SALES_EDA!T413</f>
        <v>40.597939655798449</v>
      </c>
      <c r="D426" s="6">
        <f>SALES_EDA!D413</f>
        <v>11237</v>
      </c>
      <c r="E426" s="14">
        <f>SALES_EDA!B413</f>
        <v>424009.88251706102</v>
      </c>
      <c r="F426" s="1"/>
      <c r="G426" s="1"/>
      <c r="H426" s="1"/>
      <c r="I426" s="1"/>
      <c r="J426" s="1"/>
    </row>
    <row r="427" spans="1:10" x14ac:dyDescent="0.3">
      <c r="A427" s="5">
        <f>SALES_EDA!A414</f>
        <v>42050.083333333336</v>
      </c>
      <c r="B427" s="15">
        <f>SALES_EDA!M414</f>
        <v>37.710224265283948</v>
      </c>
      <c r="C427" s="15">
        <f>SALES_EDA!T414</f>
        <v>40.482263593258367</v>
      </c>
      <c r="D427" s="6">
        <f>SALES_EDA!D414</f>
        <v>5406</v>
      </c>
      <c r="E427" s="14">
        <f>SALES_EDA!B414</f>
        <v>203861.47237812501</v>
      </c>
      <c r="F427" s="1"/>
      <c r="G427" s="1"/>
      <c r="H427" s="1"/>
      <c r="I427" s="1"/>
      <c r="J427" s="1"/>
    </row>
    <row r="428" spans="1:10" x14ac:dyDescent="0.3">
      <c r="A428" s="5">
        <f>SALES_EDA!A415</f>
        <v>42051.083333333336</v>
      </c>
      <c r="B428" s="15">
        <f>SALES_EDA!M415</f>
        <v>37.719159995349813</v>
      </c>
      <c r="C428" s="15">
        <f>SALES_EDA!T415</f>
        <v>40.367110110993536</v>
      </c>
      <c r="D428" s="6">
        <f>SALES_EDA!D415</f>
        <v>5846</v>
      </c>
      <c r="E428" s="14">
        <f>SALES_EDA!B415</f>
        <v>220506.20933281499</v>
      </c>
      <c r="F428" s="1"/>
      <c r="G428" s="1"/>
      <c r="H428" s="1"/>
      <c r="I428" s="1"/>
      <c r="J428" s="1"/>
    </row>
    <row r="429" spans="1:10" x14ac:dyDescent="0.3">
      <c r="A429" s="5">
        <f>SALES_EDA!A416</f>
        <v>42052.083333333336</v>
      </c>
      <c r="B429" s="15">
        <f>SALES_EDA!M416</f>
        <v>37.688105837959867</v>
      </c>
      <c r="C429" s="15">
        <f>SALES_EDA!T416</f>
        <v>40.250666198167771</v>
      </c>
      <c r="D429" s="6">
        <f>SALES_EDA!D416</f>
        <v>3713</v>
      </c>
      <c r="E429" s="14">
        <f>SALES_EDA!B416</f>
        <v>139935.93697634499</v>
      </c>
      <c r="F429" s="1"/>
      <c r="G429" s="1"/>
      <c r="H429" s="1"/>
      <c r="I429" s="1"/>
      <c r="J429" s="1"/>
    </row>
    <row r="430" spans="1:10" x14ac:dyDescent="0.3">
      <c r="A430" s="5">
        <f>SALES_EDA!A417</f>
        <v>42053.083333333336</v>
      </c>
      <c r="B430" s="15">
        <f>SALES_EDA!M417</f>
        <v>37.720082516366276</v>
      </c>
      <c r="C430" s="15">
        <f>SALES_EDA!T417</f>
        <v>40.135318234513676</v>
      </c>
      <c r="D430" s="6">
        <f>SALES_EDA!D417</f>
        <v>4270</v>
      </c>
      <c r="E430" s="14">
        <f>SALES_EDA!B417</f>
        <v>161064.75234488401</v>
      </c>
      <c r="F430" s="1"/>
      <c r="G430" s="1"/>
      <c r="H430" s="1"/>
      <c r="I430" s="1"/>
      <c r="J430" s="1"/>
    </row>
    <row r="431" spans="1:10" x14ac:dyDescent="0.3">
      <c r="A431" s="5">
        <f>SALES_EDA!A418</f>
        <v>42054.083333333336</v>
      </c>
      <c r="B431" s="15">
        <f>SALES_EDA!M418</f>
        <v>37.713233652987974</v>
      </c>
      <c r="C431" s="15">
        <f>SALES_EDA!T418</f>
        <v>40.019996045379571</v>
      </c>
      <c r="D431" s="6">
        <f>SALES_EDA!D418</f>
        <v>3827</v>
      </c>
      <c r="E431" s="14">
        <f>SALES_EDA!B418</f>
        <v>144328.54518998499</v>
      </c>
      <c r="F431" s="1"/>
      <c r="G431" s="1"/>
      <c r="H431" s="1"/>
      <c r="I431" s="1"/>
      <c r="J431" s="1"/>
    </row>
    <row r="432" spans="1:10" x14ac:dyDescent="0.3">
      <c r="A432" s="5">
        <f>SALES_EDA!A419</f>
        <v>42055.083333333336</v>
      </c>
      <c r="B432" s="15">
        <f>SALES_EDA!M419</f>
        <v>37.718373126950198</v>
      </c>
      <c r="C432" s="15">
        <f>SALES_EDA!T419</f>
        <v>39.904685441503695</v>
      </c>
      <c r="D432" s="6">
        <f>SALES_EDA!D419</f>
        <v>7770</v>
      </c>
      <c r="E432" s="14">
        <f>SALES_EDA!B419</f>
        <v>293071.75919640303</v>
      </c>
      <c r="F432" s="1"/>
      <c r="G432" s="1"/>
      <c r="H432" s="1"/>
      <c r="I432" s="1"/>
      <c r="J432" s="1"/>
    </row>
    <row r="433" spans="1:10" x14ac:dyDescent="0.3">
      <c r="A433" s="5">
        <f>SALES_EDA!A420</f>
        <v>42056.083333333336</v>
      </c>
      <c r="B433" s="15">
        <f>SALES_EDA!M420</f>
        <v>37.70517515656266</v>
      </c>
      <c r="C433" s="15">
        <f>SALES_EDA!T420</f>
        <v>39.788773173061557</v>
      </c>
      <c r="D433" s="6">
        <f>SALES_EDA!D420</f>
        <v>7102</v>
      </c>
      <c r="E433" s="14">
        <f>SALES_EDA!B420</f>
        <v>267782.15396190801</v>
      </c>
      <c r="F433" s="1"/>
      <c r="G433" s="1"/>
      <c r="H433" s="1"/>
      <c r="I433" s="1"/>
      <c r="J433" s="1"/>
    </row>
    <row r="434" spans="1:10" x14ac:dyDescent="0.3">
      <c r="A434" s="5">
        <f>SALES_EDA!A421</f>
        <v>42057.083333333336</v>
      </c>
      <c r="B434" s="15">
        <f>SALES_EDA!M421</f>
        <v>37.708616525394952</v>
      </c>
      <c r="C434" s="15">
        <f>SALES_EDA!T421</f>
        <v>39.673436304861347</v>
      </c>
      <c r="D434" s="6">
        <f>SALES_EDA!D421</f>
        <v>3608</v>
      </c>
      <c r="E434" s="14">
        <f>SALES_EDA!B421</f>
        <v>136052.68842362499</v>
      </c>
      <c r="F434" s="1"/>
      <c r="G434" s="1"/>
      <c r="H434" s="1"/>
      <c r="I434" s="1"/>
      <c r="J434" s="1"/>
    </row>
    <row r="435" spans="1:10" x14ac:dyDescent="0.3">
      <c r="A435" s="5">
        <f>SALES_EDA!A422</f>
        <v>42058.083333333336</v>
      </c>
      <c r="B435" s="15">
        <f>SALES_EDA!M422</f>
        <v>40.32712283273451</v>
      </c>
      <c r="C435" s="15">
        <f>SALES_EDA!T422</f>
        <v>39.645238750990409</v>
      </c>
      <c r="D435" s="6">
        <f>SALES_EDA!D422</f>
        <v>2150</v>
      </c>
      <c r="E435" s="14">
        <f>SALES_EDA!B422</f>
        <v>86703.314090379194</v>
      </c>
      <c r="F435" s="1"/>
      <c r="G435" s="1"/>
      <c r="H435" s="1"/>
      <c r="I435" s="1"/>
      <c r="J435" s="1"/>
    </row>
    <row r="436" spans="1:10" x14ac:dyDescent="0.3">
      <c r="A436" s="5">
        <f>SALES_EDA!A423</f>
        <v>42059.083333333336</v>
      </c>
      <c r="B436" s="15">
        <f>SALES_EDA!M423</f>
        <v>37.736900145889166</v>
      </c>
      <c r="C436" s="15">
        <f>SALES_EDA!T423</f>
        <v>39.530928834538493</v>
      </c>
      <c r="D436" s="6">
        <f>SALES_EDA!D423</f>
        <v>2530</v>
      </c>
      <c r="E436" s="14">
        <f>SALES_EDA!B423</f>
        <v>95474.357369099598</v>
      </c>
      <c r="F436" s="1"/>
      <c r="G436" s="1"/>
      <c r="H436" s="1"/>
      <c r="I436" s="1"/>
      <c r="J436" s="1"/>
    </row>
    <row r="437" spans="1:10" x14ac:dyDescent="0.3">
      <c r="A437" s="5">
        <f>SALES_EDA!A424</f>
        <v>42060.083333333336</v>
      </c>
      <c r="B437" s="15">
        <f>SALES_EDA!M424</f>
        <v>37.774914815720734</v>
      </c>
      <c r="C437" s="15">
        <f>SALES_EDA!T424</f>
        <v>39.41744091219585</v>
      </c>
      <c r="D437" s="6">
        <f>SALES_EDA!D424</f>
        <v>5253</v>
      </c>
      <c r="E437" s="14">
        <f>SALES_EDA!B424</f>
        <v>198431.627526981</v>
      </c>
      <c r="F437" s="1"/>
      <c r="G437" s="1"/>
      <c r="H437" s="1"/>
      <c r="I437" s="1"/>
      <c r="J437" s="1"/>
    </row>
    <row r="438" spans="1:10" x14ac:dyDescent="0.3">
      <c r="A438" s="5">
        <f>SALES_EDA!A425</f>
        <v>42061.083333333336</v>
      </c>
      <c r="B438" s="15">
        <f>SALES_EDA!M425</f>
        <v>37.710796930938628</v>
      </c>
      <c r="C438" s="15">
        <f>SALES_EDA!T425</f>
        <v>39.302044380603057</v>
      </c>
      <c r="D438" s="6">
        <f>SALES_EDA!D425</f>
        <v>4171</v>
      </c>
      <c r="E438" s="14">
        <f>SALES_EDA!B425</f>
        <v>157291.73399894501</v>
      </c>
      <c r="F438" s="1"/>
      <c r="G438" s="1"/>
      <c r="H438" s="1"/>
      <c r="I438" s="1"/>
      <c r="J438" s="1"/>
    </row>
    <row r="439" spans="1:10" x14ac:dyDescent="0.3">
      <c r="A439" s="5">
        <f>SALES_EDA!A426</f>
        <v>42062.083333333336</v>
      </c>
      <c r="B439" s="15">
        <f>SALES_EDA!M426</f>
        <v>37.707292196694084</v>
      </c>
      <c r="C439" s="15">
        <f>SALES_EDA!T426</f>
        <v>39.186726952567533</v>
      </c>
      <c r="D439" s="6">
        <f>SALES_EDA!D426</f>
        <v>8156</v>
      </c>
      <c r="E439" s="14">
        <f>SALES_EDA!B426</f>
        <v>307540.67515623698</v>
      </c>
      <c r="F439" s="1"/>
      <c r="G439" s="1"/>
      <c r="H439" s="1"/>
      <c r="I439" s="1"/>
      <c r="J439" s="1"/>
    </row>
    <row r="440" spans="1:10" x14ac:dyDescent="0.3">
      <c r="A440" s="5">
        <f>SALES_EDA!A427</f>
        <v>42063.083333333336</v>
      </c>
      <c r="B440" s="15">
        <f>SALES_EDA!M427</f>
        <v>37.747285231311317</v>
      </c>
      <c r="C440" s="15">
        <f>SALES_EDA!T427</f>
        <v>39.072599246620818</v>
      </c>
      <c r="D440" s="6">
        <f>SALES_EDA!D427</f>
        <v>9296</v>
      </c>
      <c r="E440" s="14">
        <f>SALES_EDA!B427</f>
        <v>350898.76351026999</v>
      </c>
      <c r="F440" s="1"/>
      <c r="G440" s="1"/>
      <c r="H440" s="1"/>
      <c r="I440" s="1"/>
      <c r="J440" s="1"/>
    </row>
    <row r="441" spans="1:10" x14ac:dyDescent="0.3">
      <c r="A441" s="5">
        <f>SALES_EDA!A428</f>
        <v>42064.083333333336</v>
      </c>
      <c r="B441" s="15">
        <f>SALES_EDA!M428</f>
        <v>37.733579705033222</v>
      </c>
      <c r="C441" s="15">
        <f>SALES_EDA!T428</f>
        <v>38.958086027631744</v>
      </c>
      <c r="D441" s="6">
        <f>SALES_EDA!D428</f>
        <v>6803</v>
      </c>
      <c r="E441" s="14">
        <f>SALES_EDA!B428</f>
        <v>256701.54273334099</v>
      </c>
      <c r="F441" s="1"/>
      <c r="G441" s="1"/>
      <c r="H441" s="1"/>
      <c r="I441" s="1"/>
      <c r="J441" s="1"/>
    </row>
    <row r="442" spans="1:10" x14ac:dyDescent="0.3">
      <c r="A442" s="5">
        <f>SALES_EDA!A429</f>
        <v>42065.083333333336</v>
      </c>
      <c r="B442" s="15">
        <f>SALES_EDA!M429</f>
        <v>37.727952544462788</v>
      </c>
      <c r="C442" s="15">
        <f>SALES_EDA!T429</f>
        <v>38.843179221598689</v>
      </c>
      <c r="D442" s="6">
        <f>SALES_EDA!D429</f>
        <v>6221</v>
      </c>
      <c r="E442" s="14">
        <f>SALES_EDA!B429</f>
        <v>234705.592779103</v>
      </c>
      <c r="F442" s="1"/>
      <c r="G442" s="1"/>
      <c r="H442" s="1"/>
      <c r="I442" s="1"/>
      <c r="J442" s="1"/>
    </row>
    <row r="443" spans="1:10" x14ac:dyDescent="0.3">
      <c r="A443" s="5">
        <f>SALES_EDA!A430</f>
        <v>42066.083333333336</v>
      </c>
      <c r="B443" s="15">
        <f>SALES_EDA!M430</f>
        <v>37.722064051970804</v>
      </c>
      <c r="C443" s="15">
        <f>SALES_EDA!T430</f>
        <v>38.728272989080047</v>
      </c>
      <c r="D443" s="6">
        <f>SALES_EDA!D430</f>
        <v>6611</v>
      </c>
      <c r="E443" s="14">
        <f>SALES_EDA!B430</f>
        <v>249380.56544757899</v>
      </c>
      <c r="F443" s="1"/>
      <c r="G443" s="1"/>
      <c r="H443" s="1"/>
      <c r="I443" s="1"/>
      <c r="J443" s="1"/>
    </row>
    <row r="444" spans="1:10" x14ac:dyDescent="0.3">
      <c r="A444" s="5">
        <f>SALES_EDA!A431</f>
        <v>42067.083333333336</v>
      </c>
      <c r="B444" s="15">
        <f>SALES_EDA!M431</f>
        <v>37.733661284187932</v>
      </c>
      <c r="C444" s="15">
        <f>SALES_EDA!T431</f>
        <v>38.613495268589482</v>
      </c>
      <c r="D444" s="6">
        <f>SALES_EDA!D431</f>
        <v>6843</v>
      </c>
      <c r="E444" s="14">
        <f>SALES_EDA!B431</f>
        <v>258211.44416769801</v>
      </c>
      <c r="F444" s="1"/>
      <c r="G444" s="1"/>
      <c r="H444" s="1"/>
      <c r="I444" s="1"/>
      <c r="J444" s="1"/>
    </row>
    <row r="445" spans="1:10" x14ac:dyDescent="0.3">
      <c r="A445" s="5">
        <f>SALES_EDA!A432</f>
        <v>42068.083333333336</v>
      </c>
      <c r="B445" s="15">
        <f>SALES_EDA!M432</f>
        <v>37.837178315921463</v>
      </c>
      <c r="C445" s="15">
        <f>SALES_EDA!T432</f>
        <v>38.50223967681309</v>
      </c>
      <c r="D445" s="6">
        <f>SALES_EDA!D432</f>
        <v>3858</v>
      </c>
      <c r="E445" s="14">
        <f>SALES_EDA!B432</f>
        <v>145975.833942825</v>
      </c>
      <c r="F445" s="1"/>
      <c r="G445" s="1"/>
      <c r="H445" s="1"/>
      <c r="I445" s="1"/>
      <c r="J445" s="1"/>
    </row>
    <row r="446" spans="1:10" x14ac:dyDescent="0.3">
      <c r="A446" s="5">
        <f>SALES_EDA!A433</f>
        <v>42069.083333333336</v>
      </c>
      <c r="B446" s="15">
        <f>SALES_EDA!M433</f>
        <v>37.772145424195848</v>
      </c>
      <c r="C446" s="15">
        <f>SALES_EDA!T433</f>
        <v>38.389505619547627</v>
      </c>
      <c r="D446" s="6">
        <f>SALES_EDA!D433</f>
        <v>7128</v>
      </c>
      <c r="E446" s="14">
        <f>SALES_EDA!B433</f>
        <v>269239.85258366802</v>
      </c>
      <c r="F446" s="1"/>
      <c r="G446" s="1"/>
      <c r="H446" s="1"/>
      <c r="I446" s="1"/>
      <c r="J446" s="1"/>
    </row>
    <row r="447" spans="1:10" x14ac:dyDescent="0.3">
      <c r="A447" s="5">
        <f>SALES_EDA!A434</f>
        <v>42070.083333333336</v>
      </c>
      <c r="B447" s="15">
        <f>SALES_EDA!M434</f>
        <v>37.765499151137199</v>
      </c>
      <c r="C447" s="15">
        <f>SALES_EDA!T434</f>
        <v>38.275469897310721</v>
      </c>
      <c r="D447" s="6">
        <f>SALES_EDA!D434</f>
        <v>8127</v>
      </c>
      <c r="E447" s="14">
        <f>SALES_EDA!B434</f>
        <v>306920.21160129202</v>
      </c>
      <c r="F447" s="1"/>
      <c r="G447" s="1"/>
      <c r="H447" s="1"/>
      <c r="I447" s="1"/>
      <c r="J447" s="1"/>
    </row>
    <row r="448" spans="1:10" x14ac:dyDescent="0.3">
      <c r="A448" s="5">
        <f>SALES_EDA!A435</f>
        <v>42071.083333333336</v>
      </c>
      <c r="B448" s="15">
        <f>SALES_EDA!M435</f>
        <v>41.168845455962909</v>
      </c>
      <c r="C448" s="15">
        <f>SALES_EDA!T435</f>
        <v>38.275199667225138</v>
      </c>
      <c r="D448" s="6">
        <f>SALES_EDA!D435</f>
        <v>2966</v>
      </c>
      <c r="E448" s="14">
        <f>SALES_EDA!B435</f>
        <v>122106.79562238599</v>
      </c>
      <c r="F448" s="1"/>
      <c r="G448" s="1"/>
      <c r="H448" s="1"/>
      <c r="I448" s="1"/>
      <c r="J448" s="1"/>
    </row>
    <row r="449" spans="1:10" x14ac:dyDescent="0.3">
      <c r="A449" s="5">
        <f>SALES_EDA!A436</f>
        <v>42072.083333333336</v>
      </c>
      <c r="B449" s="15">
        <f>SALES_EDA!M436</f>
        <v>41.169097548127013</v>
      </c>
      <c r="C449" s="15">
        <f>SALES_EDA!T436</f>
        <v>38.275326558023473</v>
      </c>
      <c r="D449" s="6">
        <f>SALES_EDA!D436</f>
        <v>2858</v>
      </c>
      <c r="E449" s="14">
        <f>SALES_EDA!B436</f>
        <v>117661.280792547</v>
      </c>
      <c r="F449" s="1"/>
      <c r="G449" s="1"/>
      <c r="H449" s="1"/>
      <c r="I449" s="1"/>
      <c r="J449" s="1"/>
    </row>
    <row r="450" spans="1:10" x14ac:dyDescent="0.3">
      <c r="A450" s="5">
        <f>SALES_EDA!A437</f>
        <v>42073.083333333336</v>
      </c>
      <c r="B450" s="15">
        <f>SALES_EDA!M437</f>
        <v>41.172463222371803</v>
      </c>
      <c r="C450" s="15">
        <f>SALES_EDA!T437</f>
        <v>38.275294406299821</v>
      </c>
      <c r="D450" s="6">
        <f>SALES_EDA!D437</f>
        <v>1518</v>
      </c>
      <c r="E450" s="14">
        <f>SALES_EDA!B437</f>
        <v>62499.7991715604</v>
      </c>
      <c r="F450" s="1"/>
      <c r="G450" s="1"/>
      <c r="H450" s="1"/>
      <c r="I450" s="1"/>
      <c r="J450" s="1"/>
    </row>
    <row r="451" spans="1:10" x14ac:dyDescent="0.3">
      <c r="A451" s="5">
        <f>SALES_EDA!A438</f>
        <v>42074.083333333336</v>
      </c>
      <c r="B451" s="15">
        <f>SALES_EDA!M438</f>
        <v>41.171705717366812</v>
      </c>
      <c r="C451" s="15">
        <f>SALES_EDA!T438</f>
        <v>38.2752631349205</v>
      </c>
      <c r="D451" s="6">
        <f>SALES_EDA!D438</f>
        <v>1386</v>
      </c>
      <c r="E451" s="14">
        <f>SALES_EDA!B438</f>
        <v>57063.984124270399</v>
      </c>
      <c r="F451" s="1"/>
      <c r="G451" s="1"/>
      <c r="H451" s="1"/>
      <c r="I451" s="1"/>
      <c r="J451" s="1"/>
    </row>
    <row r="452" spans="1:10" x14ac:dyDescent="0.3">
      <c r="A452" s="5">
        <f>SALES_EDA!A439</f>
        <v>42075.083333333336</v>
      </c>
      <c r="B452" s="15">
        <f>SALES_EDA!M439</f>
        <v>41.173655953396398</v>
      </c>
      <c r="C452" s="15">
        <f>SALES_EDA!T439</f>
        <v>38.39064811388436</v>
      </c>
      <c r="D452" s="6">
        <f>SALES_EDA!D439</f>
        <v>1166</v>
      </c>
      <c r="E452" s="14">
        <f>SALES_EDA!B439</f>
        <v>48008.482841660203</v>
      </c>
      <c r="F452" s="1"/>
      <c r="G452" s="1"/>
      <c r="H452" s="1"/>
      <c r="I452" s="1"/>
      <c r="J452" s="1"/>
    </row>
    <row r="453" spans="1:10" x14ac:dyDescent="0.3">
      <c r="A453" s="5">
        <f>SALES_EDA!A440</f>
        <v>42076.083333333336</v>
      </c>
      <c r="B453" s="15">
        <f>SALES_EDA!M440</f>
        <v>41.166084512200491</v>
      </c>
      <c r="C453" s="15">
        <f>SALES_EDA!T440</f>
        <v>38.505487951052899</v>
      </c>
      <c r="D453" s="6">
        <f>SALES_EDA!D440</f>
        <v>2853</v>
      </c>
      <c r="E453" s="14">
        <f>SALES_EDA!B440</f>
        <v>117446.839113308</v>
      </c>
      <c r="F453" s="1"/>
      <c r="G453" s="1"/>
      <c r="H453" s="1"/>
      <c r="I453" s="1"/>
      <c r="J453" s="1"/>
    </row>
    <row r="454" spans="1:10" x14ac:dyDescent="0.3">
      <c r="A454" s="5">
        <f>SALES_EDA!A441</f>
        <v>42077.083333333336</v>
      </c>
      <c r="B454" s="15">
        <f>SALES_EDA!M441</f>
        <v>41.178984933233522</v>
      </c>
      <c r="C454" s="15">
        <f>SALES_EDA!T441</f>
        <v>38.621360422843622</v>
      </c>
      <c r="D454" s="6">
        <f>SALES_EDA!D441</f>
        <v>3657</v>
      </c>
      <c r="E454" s="14">
        <f>SALES_EDA!B441</f>
        <v>150591.54790083499</v>
      </c>
      <c r="F454" s="1"/>
      <c r="G454" s="1"/>
      <c r="H454" s="1"/>
      <c r="I454" s="1"/>
      <c r="J454" s="1"/>
    </row>
    <row r="455" spans="1:10" x14ac:dyDescent="0.3">
      <c r="A455" s="5">
        <f>SALES_EDA!A442</f>
        <v>42078.083333333336</v>
      </c>
      <c r="B455" s="15">
        <f>SALES_EDA!M442</f>
        <v>41.172578144476027</v>
      </c>
      <c r="C455" s="15">
        <f>SALES_EDA!T442</f>
        <v>38.736204984492183</v>
      </c>
      <c r="D455" s="6">
        <f>SALES_EDA!D442</f>
        <v>1631</v>
      </c>
      <c r="E455" s="14">
        <f>SALES_EDA!B442</f>
        <v>67152.474953640398</v>
      </c>
      <c r="F455" s="1"/>
      <c r="G455" s="1"/>
      <c r="H455" s="1"/>
      <c r="I455" s="1"/>
      <c r="J455" s="1"/>
    </row>
    <row r="456" spans="1:10" x14ac:dyDescent="0.3">
      <c r="A456" s="5">
        <f>SALES_EDA!A443</f>
        <v>42079.083333333336</v>
      </c>
      <c r="B456" s="15">
        <f>SALES_EDA!M443</f>
        <v>41.161454440321847</v>
      </c>
      <c r="C456" s="15">
        <f>SALES_EDA!T443</f>
        <v>38.850474454483688</v>
      </c>
      <c r="D456" s="6">
        <f>SALES_EDA!D443</f>
        <v>1959</v>
      </c>
      <c r="E456" s="14">
        <f>SALES_EDA!B443</f>
        <v>80635.289248590503</v>
      </c>
      <c r="F456" s="1"/>
      <c r="G456" s="1"/>
      <c r="H456" s="1"/>
      <c r="I456" s="1"/>
      <c r="J456" s="1"/>
    </row>
    <row r="457" spans="1:10" x14ac:dyDescent="0.3">
      <c r="A457" s="5">
        <f>SALES_EDA!A444</f>
        <v>42080.083333333336</v>
      </c>
      <c r="B457" s="15">
        <f>SALES_EDA!M444</f>
        <v>41.194826909219834</v>
      </c>
      <c r="C457" s="15">
        <f>SALES_EDA!T444</f>
        <v>38.966627875948213</v>
      </c>
      <c r="D457" s="6">
        <f>SALES_EDA!D444</f>
        <v>1230</v>
      </c>
      <c r="E457" s="14">
        <f>SALES_EDA!B444</f>
        <v>50669.637098340398</v>
      </c>
      <c r="F457" s="1"/>
      <c r="G457" s="1"/>
      <c r="H457" s="1"/>
      <c r="I457" s="1"/>
      <c r="J457" s="1"/>
    </row>
    <row r="458" spans="1:10" x14ac:dyDescent="0.3">
      <c r="A458" s="5">
        <f>SALES_EDA!A445</f>
        <v>42081.083333333336</v>
      </c>
      <c r="B458" s="15">
        <f>SALES_EDA!M445</f>
        <v>41.158200224145681</v>
      </c>
      <c r="C458" s="15">
        <f>SALES_EDA!T445</f>
        <v>39.081262550241405</v>
      </c>
      <c r="D458" s="6">
        <f>SALES_EDA!D445</f>
        <v>1182</v>
      </c>
      <c r="E458" s="14">
        <f>SALES_EDA!B445</f>
        <v>48648.992664940197</v>
      </c>
      <c r="F458" s="1"/>
      <c r="G458" s="1"/>
      <c r="H458" s="1"/>
      <c r="I458" s="1"/>
      <c r="J458" s="1"/>
    </row>
    <row r="459" spans="1:10" x14ac:dyDescent="0.3">
      <c r="A459" s="5">
        <f>SALES_EDA!A446</f>
        <v>42082.083333333336</v>
      </c>
      <c r="B459" s="15">
        <f>SALES_EDA!M446</f>
        <v>41.155407254904958</v>
      </c>
      <c r="C459" s="15">
        <f>SALES_EDA!T446</f>
        <v>39.19683926413957</v>
      </c>
      <c r="D459" s="6">
        <f>SALES_EDA!D446</f>
        <v>1050</v>
      </c>
      <c r="E459" s="14">
        <f>SALES_EDA!B446</f>
        <v>43213.177617650203</v>
      </c>
      <c r="F459" s="1"/>
      <c r="G459" s="1"/>
      <c r="H459" s="1"/>
      <c r="I459" s="1"/>
      <c r="J459" s="1"/>
    </row>
    <row r="460" spans="1:10" x14ac:dyDescent="0.3">
      <c r="A460" s="5">
        <f>SALES_EDA!A447</f>
        <v>42083.083333333336</v>
      </c>
      <c r="B460" s="15">
        <f>SALES_EDA!M447</f>
        <v>41.173403355116612</v>
      </c>
      <c r="C460" s="15">
        <f>SALES_EDA!T447</f>
        <v>39.311949958764572</v>
      </c>
      <c r="D460" s="6">
        <f>SALES_EDA!D447</f>
        <v>2353</v>
      </c>
      <c r="E460" s="14">
        <f>SALES_EDA!B447</f>
        <v>96881.018094589395</v>
      </c>
      <c r="F460" s="1"/>
      <c r="G460" s="1"/>
      <c r="H460" s="1"/>
      <c r="I460" s="1"/>
      <c r="J460" s="1"/>
    </row>
    <row r="461" spans="1:10" x14ac:dyDescent="0.3">
      <c r="A461" s="5">
        <f>SALES_EDA!A448</f>
        <v>42084.083333333336</v>
      </c>
      <c r="B461" s="15">
        <f>SALES_EDA!M448</f>
        <v>41.181162246771628</v>
      </c>
      <c r="C461" s="15">
        <f>SALES_EDA!T448</f>
        <v>39.427547578557359</v>
      </c>
      <c r="D461" s="6">
        <f>SALES_EDA!D448</f>
        <v>2947</v>
      </c>
      <c r="E461" s="14">
        <f>SALES_EDA!B448</f>
        <v>121360.88514123599</v>
      </c>
      <c r="F461" s="1"/>
      <c r="G461" s="1"/>
      <c r="H461" s="1"/>
      <c r="I461" s="1"/>
      <c r="J461" s="1"/>
    </row>
    <row r="462" spans="1:10" x14ac:dyDescent="0.3">
      <c r="A462" s="5">
        <f>SALES_EDA!A449</f>
        <v>42085.083333333336</v>
      </c>
      <c r="B462" s="15">
        <f>SALES_EDA!M449</f>
        <v>41.177347092232722</v>
      </c>
      <c r="C462" s="15">
        <f>SALES_EDA!T449</f>
        <v>39.542846710733457</v>
      </c>
      <c r="D462" s="6">
        <f>SALES_EDA!D449</f>
        <v>1626</v>
      </c>
      <c r="E462" s="14">
        <f>SALES_EDA!B449</f>
        <v>66954.366371970405</v>
      </c>
      <c r="F462" s="1"/>
      <c r="G462" s="1"/>
      <c r="H462" s="1"/>
      <c r="I462" s="1"/>
      <c r="J462" s="1"/>
    </row>
    <row r="463" spans="1:10" x14ac:dyDescent="0.3">
      <c r="A463" s="5">
        <f>SALES_EDA!A450</f>
        <v>42086.083333333336</v>
      </c>
      <c r="B463" s="15">
        <f>SALES_EDA!M450</f>
        <v>41.165056054620649</v>
      </c>
      <c r="C463" s="15">
        <f>SALES_EDA!T450</f>
        <v>39.658176074002057</v>
      </c>
      <c r="D463" s="6">
        <f>SALES_EDA!D450</f>
        <v>1976</v>
      </c>
      <c r="E463" s="14">
        <f>SALES_EDA!B450</f>
        <v>81342.150763930404</v>
      </c>
      <c r="F463" s="1"/>
      <c r="G463" s="1"/>
      <c r="H463" s="1"/>
      <c r="I463" s="1"/>
      <c r="J463" s="1"/>
    </row>
    <row r="464" spans="1:10" x14ac:dyDescent="0.3">
      <c r="A464" s="5">
        <f>SALES_EDA!A451</f>
        <v>42087.083333333336</v>
      </c>
      <c r="B464" s="15">
        <f>SALES_EDA!M451</f>
        <v>37.759875577214977</v>
      </c>
      <c r="C464" s="15">
        <f>SALES_EDA!T451</f>
        <v>39.659884709062716</v>
      </c>
      <c r="D464" s="6">
        <f>SALES_EDA!D451</f>
        <v>3312</v>
      </c>
      <c r="E464" s="14">
        <f>SALES_EDA!B451</f>
        <v>125060.707911736</v>
      </c>
      <c r="F464" s="1"/>
      <c r="G464" s="1"/>
      <c r="H464" s="1"/>
      <c r="I464" s="1"/>
      <c r="J464" s="1"/>
    </row>
    <row r="465" spans="1:10" x14ac:dyDescent="0.3">
      <c r="A465" s="5">
        <f>SALES_EDA!A452</f>
        <v>42088.083333333336</v>
      </c>
      <c r="B465" s="15">
        <f>SALES_EDA!M452</f>
        <v>37.771305376190931</v>
      </c>
      <c r="C465" s="15">
        <f>SALES_EDA!T452</f>
        <v>39.574690793844603</v>
      </c>
      <c r="D465" s="6">
        <f>SALES_EDA!D452</f>
        <v>6704</v>
      </c>
      <c r="E465" s="14">
        <f>SALES_EDA!B452</f>
        <v>253218.83124198401</v>
      </c>
      <c r="F465" s="1"/>
      <c r="G465" s="1"/>
      <c r="H465" s="1"/>
      <c r="I465" s="1"/>
      <c r="J465" s="1"/>
    </row>
    <row r="466" spans="1:10" x14ac:dyDescent="0.3">
      <c r="A466" s="5">
        <f>SALES_EDA!A453</f>
        <v>42089.083333333336</v>
      </c>
      <c r="B466" s="15">
        <f>SALES_EDA!M453</f>
        <v>37.713423050924305</v>
      </c>
      <c r="C466" s="15">
        <f>SALES_EDA!T453</f>
        <v>39.573908224012442</v>
      </c>
      <c r="D466" s="6">
        <f>SALES_EDA!D453</f>
        <v>6077</v>
      </c>
      <c r="E466" s="14">
        <f>SALES_EDA!B453</f>
        <v>229184.471880467</v>
      </c>
      <c r="F466" s="1"/>
      <c r="G466" s="1"/>
      <c r="H466" s="1"/>
      <c r="I466" s="1"/>
      <c r="J466" s="1"/>
    </row>
    <row r="467" spans="1:10" x14ac:dyDescent="0.3">
      <c r="A467" s="5">
        <f>SALES_EDA!A454</f>
        <v>42090.083333333336</v>
      </c>
      <c r="B467" s="15">
        <f>SALES_EDA!M454</f>
        <v>37.736133704514174</v>
      </c>
      <c r="C467" s="15">
        <f>SALES_EDA!T454</f>
        <v>39.572615520305554</v>
      </c>
      <c r="D467" s="6">
        <f>SALES_EDA!D454</f>
        <v>9386</v>
      </c>
      <c r="E467" s="14">
        <f>SALES_EDA!B454</f>
        <v>354191.35095057002</v>
      </c>
      <c r="F467" s="1"/>
      <c r="G467" s="1"/>
      <c r="H467" s="1"/>
      <c r="I467" s="1"/>
      <c r="J467" s="1"/>
    </row>
    <row r="468" spans="1:10" x14ac:dyDescent="0.3">
      <c r="A468" s="5">
        <f>SALES_EDA!A455</f>
        <v>42091.083333333336</v>
      </c>
      <c r="B468" s="15">
        <f>SALES_EDA!M455</f>
        <v>37.721424073186604</v>
      </c>
      <c r="C468" s="15">
        <f>SALES_EDA!T455</f>
        <v>39.572969758380488</v>
      </c>
      <c r="D468" s="6">
        <f>SALES_EDA!D455</f>
        <v>12181</v>
      </c>
      <c r="E468" s="14">
        <f>SALES_EDA!B455</f>
        <v>459484.66663548601</v>
      </c>
      <c r="F468" s="1"/>
      <c r="G468" s="1"/>
      <c r="H468" s="1"/>
      <c r="I468" s="1"/>
      <c r="J468" s="1"/>
    </row>
    <row r="469" spans="1:10" x14ac:dyDescent="0.3">
      <c r="A469" s="5">
        <f>SALES_EDA!A456</f>
        <v>42092.083333333336</v>
      </c>
      <c r="B469" s="15">
        <f>SALES_EDA!M456</f>
        <v>37.746823053867949</v>
      </c>
      <c r="C469" s="15">
        <f>SALES_EDA!T456</f>
        <v>39.574287453619625</v>
      </c>
      <c r="D469" s="6">
        <f>SALES_EDA!D456</f>
        <v>5937</v>
      </c>
      <c r="E469" s="14">
        <f>SALES_EDA!B456</f>
        <v>224102.88847081401</v>
      </c>
      <c r="F469" s="1"/>
      <c r="G469" s="1"/>
      <c r="H469" s="1"/>
      <c r="I469" s="1"/>
      <c r="J469" s="1"/>
    </row>
    <row r="470" spans="1:10" x14ac:dyDescent="0.3">
      <c r="A470" s="5">
        <f>SALES_EDA!A457</f>
        <v>42093.083333333336</v>
      </c>
      <c r="B470" s="15">
        <f>SALES_EDA!M457</f>
        <v>37.715309986392924</v>
      </c>
      <c r="C470" s="15">
        <f>SALES_EDA!T457</f>
        <v>39.573221612122339</v>
      </c>
      <c r="D470" s="6">
        <f>SALES_EDA!D457</f>
        <v>5706</v>
      </c>
      <c r="E470" s="14">
        <f>SALES_EDA!B457</f>
        <v>215203.55878235801</v>
      </c>
      <c r="F470" s="1"/>
      <c r="G470" s="1"/>
      <c r="H470" s="1"/>
      <c r="I470" s="1"/>
      <c r="J470" s="1"/>
    </row>
    <row r="471" spans="1:10" x14ac:dyDescent="0.3">
      <c r="A471" s="5">
        <f>SALES_EDA!A458</f>
        <v>42094.083333333336</v>
      </c>
      <c r="B471" s="15">
        <f>SALES_EDA!M458</f>
        <v>37.738553448897882</v>
      </c>
      <c r="C471" s="15">
        <f>SALES_EDA!T458</f>
        <v>39.573387403584498</v>
      </c>
      <c r="D471" s="6">
        <f>SALES_EDA!D458</f>
        <v>9421</v>
      </c>
      <c r="E471" s="14">
        <f>SALES_EDA!B458</f>
        <v>355534.91204206698</v>
      </c>
      <c r="F471" s="1"/>
      <c r="G471" s="1"/>
      <c r="H471" s="1"/>
      <c r="I471" s="1"/>
      <c r="J471" s="1"/>
    </row>
    <row r="472" spans="1:10" x14ac:dyDescent="0.3">
      <c r="A472" s="5">
        <f>SALES_EDA!A459</f>
        <v>42095.083333333336</v>
      </c>
      <c r="B472" s="15">
        <f>SALES_EDA!M459</f>
        <v>37.774993861600365</v>
      </c>
      <c r="C472" s="15">
        <f>SALES_EDA!T459</f>
        <v>39.574955447489067</v>
      </c>
      <c r="D472" s="6">
        <f>SALES_EDA!D459</f>
        <v>13207</v>
      </c>
      <c r="E472" s="14">
        <f>SALES_EDA!B459</f>
        <v>498894.34393015603</v>
      </c>
      <c r="F472" s="1"/>
      <c r="G472" s="1"/>
      <c r="H472" s="1"/>
      <c r="I472" s="1"/>
      <c r="J472" s="1"/>
    </row>
    <row r="473" spans="1:10" x14ac:dyDescent="0.3">
      <c r="A473" s="5">
        <f>SALES_EDA!A460</f>
        <v>42096.083333333336</v>
      </c>
      <c r="B473" s="15">
        <f>SALES_EDA!M460</f>
        <v>37.760466300709915</v>
      </c>
      <c r="C473" s="15">
        <f>SALES_EDA!T460</f>
        <v>39.576235522447035</v>
      </c>
      <c r="D473" s="6">
        <f>SALES_EDA!D460</f>
        <v>18936</v>
      </c>
      <c r="E473" s="14">
        <f>SALES_EDA!B460</f>
        <v>715032.18987024296</v>
      </c>
      <c r="F473" s="1"/>
      <c r="G473" s="1"/>
      <c r="H473" s="1"/>
      <c r="I473" s="1"/>
      <c r="J473" s="1"/>
    </row>
    <row r="474" spans="1:10" x14ac:dyDescent="0.3">
      <c r="A474" s="5">
        <f>SALES_EDA!A461</f>
        <v>42097.083333333336</v>
      </c>
      <c r="B474" s="15">
        <f>SALES_EDA!M461</f>
        <v>37.790803199668893</v>
      </c>
      <c r="C474" s="15">
        <f>SALES_EDA!T461</f>
        <v>39.578140252963074</v>
      </c>
      <c r="D474" s="6">
        <f>SALES_EDA!D461</f>
        <v>13503</v>
      </c>
      <c r="E474" s="14">
        <f>SALES_EDA!B461</f>
        <v>510289.21560512902</v>
      </c>
      <c r="F474" s="1"/>
      <c r="G474" s="1"/>
      <c r="H474" s="1"/>
      <c r="I474" s="1"/>
      <c r="J474" s="1"/>
    </row>
    <row r="475" spans="1:10" x14ac:dyDescent="0.3">
      <c r="A475" s="5">
        <f>SALES_EDA!A462</f>
        <v>42098.083333333336</v>
      </c>
      <c r="B475" s="15">
        <f>SALES_EDA!M462</f>
        <v>37.76434334834066</v>
      </c>
      <c r="C475" s="15">
        <f>SALES_EDA!T462</f>
        <v>39.575712420710381</v>
      </c>
      <c r="D475" s="6">
        <f>SALES_EDA!D462</f>
        <v>10600</v>
      </c>
      <c r="E475" s="14">
        <f>SALES_EDA!B462</f>
        <v>400302.03949241102</v>
      </c>
      <c r="F475" s="1"/>
      <c r="G475" s="1"/>
      <c r="H475" s="1"/>
      <c r="I475" s="1"/>
      <c r="J475" s="1"/>
    </row>
    <row r="476" spans="1:10" x14ac:dyDescent="0.3">
      <c r="A476" s="5">
        <f>SALES_EDA!A463</f>
        <v>42099.083333333336</v>
      </c>
      <c r="B476" s="15">
        <f>SALES_EDA!M463</f>
        <v>37.754999566983571</v>
      </c>
      <c r="C476" s="15">
        <f>SALES_EDA!T463</f>
        <v>39.575140892136638</v>
      </c>
      <c r="D476" s="6">
        <f>SALES_EDA!D463</f>
        <v>3591</v>
      </c>
      <c r="E476" s="14">
        <f>SALES_EDA!B463</f>
        <v>135578.203445038</v>
      </c>
      <c r="F476" s="1"/>
      <c r="G476" s="1"/>
      <c r="H476" s="1"/>
      <c r="I476" s="1"/>
      <c r="J476" s="1"/>
    </row>
    <row r="477" spans="1:10" x14ac:dyDescent="0.3">
      <c r="A477" s="5">
        <f>SALES_EDA!A464</f>
        <v>42100.083333333336</v>
      </c>
      <c r="B477" s="15">
        <f>SALES_EDA!M464</f>
        <v>37.730822003444999</v>
      </c>
      <c r="C477" s="15">
        <f>SALES_EDA!T464</f>
        <v>39.573984987213564</v>
      </c>
      <c r="D477" s="6">
        <f>SALES_EDA!D464</f>
        <v>4836</v>
      </c>
      <c r="E477" s="14">
        <f>SALES_EDA!B464</f>
        <v>182466.25520866</v>
      </c>
      <c r="F477" s="1"/>
      <c r="G477" s="1"/>
      <c r="H477" s="1"/>
      <c r="I477" s="1"/>
      <c r="J477" s="1"/>
    </row>
    <row r="478" spans="1:10" x14ac:dyDescent="0.3">
      <c r="A478" s="5">
        <f>SALES_EDA!A465</f>
        <v>42101.083333333336</v>
      </c>
      <c r="B478" s="15">
        <f>SALES_EDA!M465</f>
        <v>40.665639965379491</v>
      </c>
      <c r="C478" s="15">
        <f>SALES_EDA!T465</f>
        <v>39.557211470860793</v>
      </c>
      <c r="D478" s="6">
        <f>SALES_EDA!D465</f>
        <v>4348</v>
      </c>
      <c r="E478" s="14">
        <f>SALES_EDA!B465</f>
        <v>176814.20256947001</v>
      </c>
      <c r="F478" s="1"/>
      <c r="G478" s="1"/>
      <c r="H478" s="1"/>
      <c r="I478" s="1"/>
      <c r="J478" s="1"/>
    </row>
    <row r="479" spans="1:10" x14ac:dyDescent="0.3">
      <c r="A479" s="5">
        <f>SALES_EDA!A466</f>
        <v>42102.083333333336</v>
      </c>
      <c r="B479" s="15">
        <f>SALES_EDA!M466</f>
        <v>41.174080605956341</v>
      </c>
      <c r="C479" s="15">
        <f>SALES_EDA!T466</f>
        <v>39.55737757278844</v>
      </c>
      <c r="D479" s="6">
        <f>SALES_EDA!D466</f>
        <v>2451</v>
      </c>
      <c r="E479" s="14">
        <f>SALES_EDA!B466</f>
        <v>100917.67156519899</v>
      </c>
      <c r="F479" s="1"/>
      <c r="G479" s="1"/>
      <c r="H479" s="1"/>
      <c r="I479" s="1"/>
      <c r="J479" s="1"/>
    </row>
    <row r="480" spans="1:10" x14ac:dyDescent="0.3">
      <c r="A480" s="5">
        <f>SALES_EDA!A467</f>
        <v>42103.083333333336</v>
      </c>
      <c r="B480" s="15">
        <f>SALES_EDA!M467</f>
        <v>41.174571515683844</v>
      </c>
      <c r="C480" s="15">
        <f>SALES_EDA!T467</f>
        <v>39.557447849232169</v>
      </c>
      <c r="D480" s="6">
        <f>SALES_EDA!D467</f>
        <v>1814</v>
      </c>
      <c r="E480" s="14">
        <f>SALES_EDA!B467</f>
        <v>74690.672729450496</v>
      </c>
      <c r="F480" s="1"/>
      <c r="G480" s="1"/>
      <c r="H480" s="1"/>
      <c r="I480" s="1"/>
      <c r="J480" s="1"/>
    </row>
    <row r="481" spans="1:10" x14ac:dyDescent="0.3">
      <c r="A481" s="5">
        <f>SALES_EDA!A468</f>
        <v>42104.083333333336</v>
      </c>
      <c r="B481" s="15">
        <f>SALES_EDA!M468</f>
        <v>41.179450217229963</v>
      </c>
      <c r="C481" s="15">
        <f>SALES_EDA!T468</f>
        <v>39.557705999227601</v>
      </c>
      <c r="D481" s="6">
        <f>SALES_EDA!D468</f>
        <v>2770</v>
      </c>
      <c r="E481" s="14">
        <f>SALES_EDA!B468</f>
        <v>114067.077101727</v>
      </c>
      <c r="F481" s="1"/>
      <c r="G481" s="1"/>
      <c r="H481" s="1"/>
      <c r="I481" s="1"/>
      <c r="J481" s="1"/>
    </row>
    <row r="482" spans="1:10" x14ac:dyDescent="0.3">
      <c r="A482" s="5">
        <f>SALES_EDA!A469</f>
        <v>42105.083333333336</v>
      </c>
      <c r="B482" s="15">
        <f>SALES_EDA!M469</f>
        <v>41.180924785535808</v>
      </c>
      <c r="C482" s="15">
        <f>SALES_EDA!T469</f>
        <v>39.557948293632244</v>
      </c>
      <c r="D482" s="6">
        <f>SALES_EDA!D469</f>
        <v>3072</v>
      </c>
      <c r="E482" s="14">
        <f>SALES_EDA!B469</f>
        <v>126507.800941166</v>
      </c>
      <c r="F482" s="1"/>
      <c r="G482" s="1"/>
      <c r="H482" s="1"/>
      <c r="I482" s="1"/>
      <c r="J482" s="1"/>
    </row>
    <row r="483" spans="1:10" x14ac:dyDescent="0.3">
      <c r="A483" s="5">
        <f>SALES_EDA!A470</f>
        <v>42106.083333333336</v>
      </c>
      <c r="B483" s="15">
        <f>SALES_EDA!M470</f>
        <v>41.183365767652795</v>
      </c>
      <c r="C483" s="15">
        <f>SALES_EDA!T470</f>
        <v>39.558524335480655</v>
      </c>
      <c r="D483" s="6">
        <f>SALES_EDA!D470</f>
        <v>1934</v>
      </c>
      <c r="E483" s="14">
        <f>SALES_EDA!B470</f>
        <v>79648.629394640506</v>
      </c>
      <c r="F483" s="1"/>
      <c r="G483" s="1"/>
      <c r="H483" s="1"/>
      <c r="I483" s="1"/>
      <c r="J483" s="1"/>
    </row>
    <row r="484" spans="1:10" x14ac:dyDescent="0.3">
      <c r="A484" s="5">
        <f>SALES_EDA!A471</f>
        <v>42107.083333333336</v>
      </c>
      <c r="B484" s="15">
        <f>SALES_EDA!M471</f>
        <v>41.17752968181783</v>
      </c>
      <c r="C484" s="15">
        <f>SALES_EDA!T471</f>
        <v>39.558475827100132</v>
      </c>
      <c r="D484" s="6">
        <f>SALES_EDA!D471</f>
        <v>2019</v>
      </c>
      <c r="E484" s="14">
        <f>SALES_EDA!B471</f>
        <v>83137.432427590204</v>
      </c>
      <c r="F484" s="1"/>
      <c r="G484" s="1"/>
      <c r="H484" s="1"/>
      <c r="I484" s="1"/>
      <c r="J484" s="1"/>
    </row>
    <row r="485" spans="1:10" x14ac:dyDescent="0.3">
      <c r="A485" s="5">
        <f>SALES_EDA!A472</f>
        <v>42108.083333333336</v>
      </c>
      <c r="B485" s="15">
        <f>SALES_EDA!M472</f>
        <v>41.650691584954238</v>
      </c>
      <c r="C485" s="15">
        <f>SALES_EDA!T472</f>
        <v>39.574412941782739</v>
      </c>
      <c r="D485" s="6">
        <f>SALES_EDA!D472</f>
        <v>979</v>
      </c>
      <c r="E485" s="14">
        <f>SALES_EDA!B472</f>
        <v>40776.027061670196</v>
      </c>
      <c r="F485" s="1"/>
      <c r="G485" s="1"/>
      <c r="H485" s="1"/>
      <c r="I485" s="1"/>
      <c r="J485" s="1"/>
    </row>
    <row r="486" spans="1:10" x14ac:dyDescent="0.3">
      <c r="A486" s="5">
        <f>SALES_EDA!A473</f>
        <v>42109.083333333336</v>
      </c>
      <c r="B486" s="15">
        <f>SALES_EDA!M473</f>
        <v>41.687022836945928</v>
      </c>
      <c r="C486" s="15">
        <f>SALES_EDA!T473</f>
        <v>39.591931888336873</v>
      </c>
      <c r="D486" s="6">
        <f>SALES_EDA!D473</f>
        <v>1398</v>
      </c>
      <c r="E486" s="14">
        <f>SALES_EDA!B473</f>
        <v>58278.457926050403</v>
      </c>
      <c r="F486" s="1"/>
      <c r="G486" s="1"/>
      <c r="H486" s="1"/>
      <c r="I486" s="1"/>
      <c r="J486" s="1"/>
    </row>
    <row r="487" spans="1:10" x14ac:dyDescent="0.3">
      <c r="A487" s="5">
        <f>SALES_EDA!A474</f>
        <v>42110.083333333336</v>
      </c>
      <c r="B487" s="15">
        <f>SALES_EDA!M474</f>
        <v>41.736311722387477</v>
      </c>
      <c r="C487" s="15">
        <f>SALES_EDA!T474</f>
        <v>39.609981382109133</v>
      </c>
      <c r="D487" s="6">
        <f>SALES_EDA!D474</f>
        <v>1198</v>
      </c>
      <c r="E487" s="14">
        <f>SALES_EDA!B474</f>
        <v>50000.101443420201</v>
      </c>
      <c r="F487" s="1"/>
      <c r="G487" s="1"/>
      <c r="H487" s="1"/>
      <c r="I487" s="1"/>
      <c r="J487" s="1"/>
    </row>
    <row r="488" spans="1:10" x14ac:dyDescent="0.3">
      <c r="A488" s="5">
        <f>SALES_EDA!A475</f>
        <v>42111.083333333336</v>
      </c>
      <c r="B488" s="15">
        <f>SALES_EDA!M475</f>
        <v>41.815661602466001</v>
      </c>
      <c r="C488" s="15">
        <f>SALES_EDA!T475</f>
        <v>39.631896761386479</v>
      </c>
      <c r="D488" s="6">
        <f>SALES_EDA!D475</f>
        <v>2485</v>
      </c>
      <c r="E488" s="14">
        <f>SALES_EDA!B475</f>
        <v>103911.91908212801</v>
      </c>
      <c r="F488" s="1"/>
      <c r="G488" s="1"/>
      <c r="H488" s="1"/>
      <c r="I488" s="1"/>
      <c r="J488" s="1"/>
    </row>
    <row r="489" spans="1:10" x14ac:dyDescent="0.3">
      <c r="A489" s="5">
        <f>SALES_EDA!A476</f>
        <v>42112.083333333336</v>
      </c>
      <c r="B489" s="15">
        <f>SALES_EDA!M476</f>
        <v>41.87995668870618</v>
      </c>
      <c r="C489" s="15">
        <f>SALES_EDA!T476</f>
        <v>39.656048409179853</v>
      </c>
      <c r="D489" s="6">
        <f>SALES_EDA!D476</f>
        <v>3172</v>
      </c>
      <c r="E489" s="14">
        <f>SALES_EDA!B476</f>
        <v>132843.22261657601</v>
      </c>
      <c r="F489" s="1"/>
      <c r="G489" s="1"/>
      <c r="H489" s="1"/>
      <c r="I489" s="1"/>
      <c r="J489" s="1"/>
    </row>
    <row r="490" spans="1:10" x14ac:dyDescent="0.3">
      <c r="A490" s="5">
        <f>SALES_EDA!A477</f>
        <v>42113.083333333336</v>
      </c>
      <c r="B490" s="15">
        <f>SALES_EDA!M477</f>
        <v>41.941624099652643</v>
      </c>
      <c r="C490" s="15">
        <f>SALES_EDA!T477</f>
        <v>39.681655767331065</v>
      </c>
      <c r="D490" s="6">
        <f>SALES_EDA!D477</f>
        <v>1497</v>
      </c>
      <c r="E490" s="14">
        <f>SALES_EDA!B477</f>
        <v>62786.611277180004</v>
      </c>
      <c r="F490" s="1"/>
      <c r="G490" s="1"/>
      <c r="H490" s="1"/>
      <c r="I490" s="1"/>
      <c r="J490" s="1"/>
    </row>
    <row r="491" spans="1:10" x14ac:dyDescent="0.3">
      <c r="A491" s="5">
        <f>SALES_EDA!A478</f>
        <v>42114.083333333336</v>
      </c>
      <c r="B491" s="15">
        <f>SALES_EDA!M478</f>
        <v>41.929235634842563</v>
      </c>
      <c r="C491" s="15">
        <f>SALES_EDA!T478</f>
        <v>39.706591546933424</v>
      </c>
      <c r="D491" s="6">
        <f>SALES_EDA!D478</f>
        <v>1365</v>
      </c>
      <c r="E491" s="14">
        <f>SALES_EDA!B478</f>
        <v>57233.406641560097</v>
      </c>
      <c r="F491" s="1"/>
      <c r="G491" s="1"/>
      <c r="H491" s="1"/>
      <c r="I491" s="1"/>
      <c r="J491" s="1"/>
    </row>
    <row r="492" spans="1:10" x14ac:dyDescent="0.3">
      <c r="A492" s="5">
        <f>SALES_EDA!A479</f>
        <v>42115.083333333336</v>
      </c>
      <c r="B492" s="15">
        <f>SALES_EDA!M479</f>
        <v>42.035732043614189</v>
      </c>
      <c r="C492" s="15">
        <f>SALES_EDA!T479</f>
        <v>39.735204378646145</v>
      </c>
      <c r="D492" s="6">
        <f>SALES_EDA!D479</f>
        <v>1353</v>
      </c>
      <c r="E492" s="14">
        <f>SALES_EDA!B479</f>
        <v>56874.34545501</v>
      </c>
      <c r="F492" s="1"/>
      <c r="G492" s="1"/>
      <c r="H492" s="1"/>
      <c r="I492" s="1"/>
      <c r="J492" s="1"/>
    </row>
    <row r="493" spans="1:10" x14ac:dyDescent="0.3">
      <c r="A493" s="5">
        <f>SALES_EDA!A480</f>
        <v>42116.083333333336</v>
      </c>
      <c r="B493" s="15">
        <f>SALES_EDA!M480</f>
        <v>38.597771740883687</v>
      </c>
      <c r="C493" s="15">
        <f>SALES_EDA!T480</f>
        <v>39.649628234854909</v>
      </c>
      <c r="D493" s="6">
        <f>SALES_EDA!D480</f>
        <v>3439</v>
      </c>
      <c r="E493" s="14">
        <f>SALES_EDA!B480</f>
        <v>132737.73701689899</v>
      </c>
      <c r="F493" s="1"/>
      <c r="G493" s="1"/>
      <c r="H493" s="1"/>
      <c r="I493" s="1"/>
      <c r="J493" s="1"/>
    </row>
    <row r="494" spans="1:10" x14ac:dyDescent="0.3">
      <c r="A494" s="5">
        <f>SALES_EDA!A481</f>
        <v>42117.083333333336</v>
      </c>
      <c r="B494" s="15">
        <f>SALES_EDA!M481</f>
        <v>42.057419071213388</v>
      </c>
      <c r="C494" s="15">
        <f>SALES_EDA!T481</f>
        <v>39.792879684654856</v>
      </c>
      <c r="D494" s="6">
        <f>SALES_EDA!D481</f>
        <v>1434</v>
      </c>
      <c r="E494" s="14">
        <f>SALES_EDA!B481</f>
        <v>60310.338948119999</v>
      </c>
      <c r="F494" s="1"/>
      <c r="G494" s="1"/>
      <c r="H494" s="1"/>
      <c r="I494" s="1"/>
      <c r="J494" s="1"/>
    </row>
    <row r="495" spans="1:10" x14ac:dyDescent="0.3">
      <c r="A495" s="5">
        <f>SALES_EDA!A482</f>
        <v>42118.083333333336</v>
      </c>
      <c r="B495" s="15">
        <f>SALES_EDA!M482</f>
        <v>38.640014448798809</v>
      </c>
      <c r="C495" s="15">
        <f>SALES_EDA!T482</f>
        <v>39.821836653741784</v>
      </c>
      <c r="D495" s="6">
        <f>SALES_EDA!D482</f>
        <v>8892</v>
      </c>
      <c r="E495" s="14">
        <f>SALES_EDA!B482</f>
        <v>343587.00847871898</v>
      </c>
      <c r="F495" s="1"/>
      <c r="G495" s="1"/>
      <c r="H495" s="1"/>
      <c r="I495" s="1"/>
      <c r="J495" s="1"/>
    </row>
    <row r="496" spans="1:10" x14ac:dyDescent="0.3">
      <c r="A496" s="5">
        <f>SALES_EDA!A483</f>
        <v>42119.083333333336</v>
      </c>
      <c r="B496" s="15">
        <f>SALES_EDA!M483</f>
        <v>37.802975884335282</v>
      </c>
      <c r="C496" s="15">
        <f>SALES_EDA!T483</f>
        <v>39.824821748188818</v>
      </c>
      <c r="D496" s="6">
        <f>SALES_EDA!D483</f>
        <v>13144</v>
      </c>
      <c r="E496" s="14">
        <f>SALES_EDA!B483</f>
        <v>496882.31502370298</v>
      </c>
      <c r="F496" s="1"/>
      <c r="G496" s="1"/>
      <c r="H496" s="1"/>
      <c r="I496" s="1"/>
      <c r="J496" s="1"/>
    </row>
    <row r="497" spans="1:10" x14ac:dyDescent="0.3">
      <c r="A497" s="5">
        <f>SALES_EDA!A484</f>
        <v>42120.083333333336</v>
      </c>
      <c r="B497" s="15">
        <f>SALES_EDA!M484</f>
        <v>38.688903236466693</v>
      </c>
      <c r="C497" s="15">
        <f>SALES_EDA!T484</f>
        <v>39.856580732587233</v>
      </c>
      <c r="D497" s="6">
        <f>SALES_EDA!D484</f>
        <v>5179</v>
      </c>
      <c r="E497" s="14">
        <f>SALES_EDA!B484</f>
        <v>200369.82986166101</v>
      </c>
      <c r="F497" s="1"/>
      <c r="G497" s="1"/>
      <c r="H497" s="1"/>
      <c r="I497" s="1"/>
      <c r="J497" s="1"/>
    </row>
    <row r="498" spans="1:10" x14ac:dyDescent="0.3">
      <c r="A498" s="5">
        <f>SALES_EDA!A485</f>
        <v>42121.083333333336</v>
      </c>
      <c r="B498" s="15">
        <f>SALES_EDA!M485</f>
        <v>38.69726003574312</v>
      </c>
      <c r="C498" s="15">
        <f>SALES_EDA!T485</f>
        <v>39.889108598005784</v>
      </c>
      <c r="D498" s="6">
        <f>SALES_EDA!D485</f>
        <v>5014</v>
      </c>
      <c r="E498" s="14">
        <f>SALES_EDA!B485</f>
        <v>194028.061819216</v>
      </c>
      <c r="F498" s="1"/>
      <c r="G498" s="1"/>
      <c r="H498" s="1"/>
      <c r="I498" s="1"/>
      <c r="J498" s="1"/>
    </row>
    <row r="499" spans="1:10" x14ac:dyDescent="0.3">
      <c r="A499" s="5">
        <f>SALES_EDA!A486</f>
        <v>42122.083333333336</v>
      </c>
      <c r="B499" s="15">
        <f>SALES_EDA!M486</f>
        <v>38.606276171359802</v>
      </c>
      <c r="C499" s="15">
        <f>SALES_EDA!T486</f>
        <v>39.917757035255505</v>
      </c>
      <c r="D499" s="6">
        <f>SALES_EDA!D486</f>
        <v>4936</v>
      </c>
      <c r="E499" s="14">
        <f>SALES_EDA!B486</f>
        <v>190560.579181832</v>
      </c>
      <c r="F499" s="1"/>
      <c r="G499" s="1"/>
      <c r="H499" s="1"/>
      <c r="I499" s="1"/>
      <c r="J499" s="1"/>
    </row>
    <row r="500" spans="1:10" x14ac:dyDescent="0.3">
      <c r="A500" s="5">
        <f>SALES_EDA!A487</f>
        <v>42123.083333333336</v>
      </c>
      <c r="B500" s="15">
        <f>SALES_EDA!M487</f>
        <v>38.637941674293593</v>
      </c>
      <c r="C500" s="15">
        <f>SALES_EDA!T487</f>
        <v>39.9485114248522</v>
      </c>
      <c r="D500" s="6">
        <f>SALES_EDA!D487</f>
        <v>5150</v>
      </c>
      <c r="E500" s="14">
        <f>SALES_EDA!B487</f>
        <v>198985.39962261199</v>
      </c>
      <c r="F500" s="1"/>
      <c r="G500" s="1"/>
      <c r="H500" s="1"/>
      <c r="I500" s="1"/>
      <c r="J500" s="1"/>
    </row>
    <row r="501" spans="1:10" x14ac:dyDescent="0.3">
      <c r="A501" s="5">
        <f>SALES_EDA!A488</f>
        <v>42124.083333333336</v>
      </c>
      <c r="B501" s="15">
        <f>SALES_EDA!M488</f>
        <v>38.602330465222117</v>
      </c>
      <c r="C501" s="15">
        <f>SALES_EDA!T488</f>
        <v>39.977303992063007</v>
      </c>
      <c r="D501" s="6">
        <f>SALES_EDA!D488</f>
        <v>9986</v>
      </c>
      <c r="E501" s="14">
        <f>SALES_EDA!B488</f>
        <v>385482.87202570803</v>
      </c>
      <c r="F501" s="1"/>
      <c r="G501" s="1"/>
      <c r="H501" s="1"/>
      <c r="I501" s="1"/>
      <c r="J501" s="1"/>
    </row>
    <row r="502" spans="1:10" x14ac:dyDescent="0.3">
      <c r="A502" s="5">
        <f>SALES_EDA!A489</f>
        <v>42125.083333333336</v>
      </c>
      <c r="B502" s="15">
        <f>SALES_EDA!M489</f>
        <v>38.625911317773053</v>
      </c>
      <c r="C502" s="15">
        <f>SALES_EDA!T489</f>
        <v>40.005667907268759</v>
      </c>
      <c r="D502" s="6">
        <f>SALES_EDA!D489</f>
        <v>12937</v>
      </c>
      <c r="E502" s="14">
        <f>SALES_EDA!B489</f>
        <v>499703.41471803002</v>
      </c>
      <c r="F502" s="1"/>
      <c r="G502" s="1"/>
      <c r="H502" s="1"/>
      <c r="I502" s="1"/>
      <c r="J502" s="1"/>
    </row>
    <row r="503" spans="1:10" x14ac:dyDescent="0.3">
      <c r="A503" s="5">
        <f>SALES_EDA!A490</f>
        <v>42126.083333333336</v>
      </c>
      <c r="B503" s="15">
        <f>SALES_EDA!M490</f>
        <v>37.788901029795618</v>
      </c>
      <c r="C503" s="15">
        <f>SALES_EDA!T490</f>
        <v>40.006615731571621</v>
      </c>
      <c r="D503" s="6">
        <f>SALES_EDA!D490</f>
        <v>12217</v>
      </c>
      <c r="E503" s="14">
        <f>SALES_EDA!B490</f>
        <v>461667.00388101302</v>
      </c>
      <c r="F503" s="1"/>
      <c r="G503" s="1"/>
      <c r="H503" s="1"/>
      <c r="I503" s="1"/>
      <c r="J503" s="1"/>
    </row>
    <row r="504" spans="1:10" x14ac:dyDescent="0.3">
      <c r="A504" s="5">
        <f>SALES_EDA!A491</f>
        <v>42127.083333333336</v>
      </c>
      <c r="B504" s="15">
        <f>SALES_EDA!M491</f>
        <v>38.616516697145364</v>
      </c>
      <c r="C504" s="15">
        <f>SALES_EDA!T491</f>
        <v>40.034139514820843</v>
      </c>
      <c r="D504" s="6">
        <f>SALES_EDA!D491</f>
        <v>6721</v>
      </c>
      <c r="E504" s="14">
        <f>SALES_EDA!B491</f>
        <v>259541.608721514</v>
      </c>
      <c r="F504" s="1"/>
      <c r="G504" s="1"/>
      <c r="H504" s="1"/>
      <c r="I504" s="1"/>
      <c r="J504" s="1"/>
    </row>
    <row r="505" spans="1:10" x14ac:dyDescent="0.3">
      <c r="A505" s="5">
        <f>SALES_EDA!A492</f>
        <v>42128.083333333336</v>
      </c>
      <c r="B505" s="15">
        <f>SALES_EDA!M492</f>
        <v>38.670683858696975</v>
      </c>
      <c r="C505" s="15">
        <f>SALES_EDA!T492</f>
        <v>40.064350865166055</v>
      </c>
      <c r="D505" s="6">
        <f>SALES_EDA!D492</f>
        <v>8283</v>
      </c>
      <c r="E505" s="14">
        <f>SALES_EDA!B492</f>
        <v>320309.27440158703</v>
      </c>
      <c r="F505" s="1"/>
      <c r="G505" s="1"/>
      <c r="H505" s="1"/>
      <c r="I505" s="1"/>
      <c r="J505" s="1"/>
    </row>
    <row r="506" spans="1:10" x14ac:dyDescent="0.3">
      <c r="A506" s="5">
        <f>SALES_EDA!A493</f>
        <v>42129.083333333336</v>
      </c>
      <c r="B506" s="15">
        <f>SALES_EDA!M493</f>
        <v>38.753512865603298</v>
      </c>
      <c r="C506" s="15">
        <f>SALES_EDA!T493</f>
        <v>40.097634641786719</v>
      </c>
      <c r="D506" s="6">
        <f>SALES_EDA!D493</f>
        <v>6191</v>
      </c>
      <c r="E506" s="14">
        <f>SALES_EDA!B493</f>
        <v>239922.99815095001</v>
      </c>
      <c r="F506" s="1"/>
      <c r="G506" s="1"/>
      <c r="H506" s="1"/>
      <c r="I506" s="1"/>
      <c r="J506" s="1"/>
    </row>
    <row r="507" spans="1:10" x14ac:dyDescent="0.3">
      <c r="A507" s="5">
        <f>SALES_EDA!A494</f>
        <v>42130.083333333336</v>
      </c>
      <c r="B507" s="15">
        <f>SALES_EDA!M494</f>
        <v>37.757038944479774</v>
      </c>
      <c r="C507" s="15">
        <f>SALES_EDA!T494</f>
        <v>40.098508539821204</v>
      </c>
      <c r="D507" s="6">
        <f>SALES_EDA!D494</f>
        <v>5959</v>
      </c>
      <c r="E507" s="14">
        <f>SALES_EDA!B494</f>
        <v>224994.19507015499</v>
      </c>
      <c r="F507" s="1"/>
      <c r="G507" s="1"/>
      <c r="H507" s="1"/>
      <c r="I507" s="1"/>
      <c r="J507" s="1"/>
    </row>
    <row r="508" spans="1:10" x14ac:dyDescent="0.3">
      <c r="A508" s="5">
        <f>SALES_EDA!A495</f>
        <v>42131.083333333336</v>
      </c>
      <c r="B508" s="15">
        <f>SALES_EDA!M495</f>
        <v>41.150973219769668</v>
      </c>
      <c r="C508" s="15">
        <f>SALES_EDA!T495</f>
        <v>40.114686314967543</v>
      </c>
      <c r="D508" s="6">
        <f>SALES_EDA!D495</f>
        <v>2848</v>
      </c>
      <c r="E508" s="14">
        <f>SALES_EDA!B495</f>
        <v>117197.97172990401</v>
      </c>
      <c r="F508" s="1"/>
      <c r="G508" s="1"/>
      <c r="H508" s="1"/>
      <c r="I508" s="1"/>
      <c r="J508" s="1"/>
    </row>
    <row r="509" spans="1:10" x14ac:dyDescent="0.3">
      <c r="A509" s="5">
        <f>SALES_EDA!A496</f>
        <v>42132.083333333336</v>
      </c>
      <c r="B509" s="15">
        <f>SALES_EDA!M496</f>
        <v>37.790260609609049</v>
      </c>
      <c r="C509" s="15">
        <f>SALES_EDA!T496</f>
        <v>40.0018923150893</v>
      </c>
      <c r="D509" s="6">
        <f>SALES_EDA!D496</f>
        <v>8748</v>
      </c>
      <c r="E509" s="14">
        <f>SALES_EDA!B496</f>
        <v>330589.19981286</v>
      </c>
      <c r="F509" s="1"/>
      <c r="G509" s="1"/>
      <c r="H509" s="1"/>
      <c r="I509" s="1"/>
      <c r="J509" s="1"/>
    </row>
    <row r="510" spans="1:10" x14ac:dyDescent="0.3">
      <c r="A510" s="5">
        <f>SALES_EDA!A497</f>
        <v>42133.083333333336</v>
      </c>
      <c r="B510" s="15">
        <f>SALES_EDA!M497</f>
        <v>37.755070167074258</v>
      </c>
      <c r="C510" s="15">
        <f>SALES_EDA!T497</f>
        <v>39.887908936802319</v>
      </c>
      <c r="D510" s="6">
        <f>SALES_EDA!D497</f>
        <v>10329</v>
      </c>
      <c r="E510" s="14">
        <f>SALES_EDA!B497</f>
        <v>389972.11975571001</v>
      </c>
      <c r="F510" s="1"/>
      <c r="G510" s="1"/>
      <c r="H510" s="1"/>
      <c r="I510" s="1"/>
      <c r="J510" s="1"/>
    </row>
    <row r="511" spans="1:10" x14ac:dyDescent="0.3">
      <c r="A511" s="5">
        <f>SALES_EDA!A498</f>
        <v>42134.083333333336</v>
      </c>
      <c r="B511" s="15">
        <f>SALES_EDA!M498</f>
        <v>37.763265365888884</v>
      </c>
      <c r="C511" s="15">
        <f>SALES_EDA!T498</f>
        <v>39.774036108424276</v>
      </c>
      <c r="D511" s="6">
        <f>SALES_EDA!D498</f>
        <v>4410</v>
      </c>
      <c r="E511" s="14">
        <f>SALES_EDA!B498</f>
        <v>166536.00026356999</v>
      </c>
      <c r="F511" s="1"/>
      <c r="G511" s="1"/>
      <c r="H511" s="1"/>
      <c r="I511" s="1"/>
      <c r="J511" s="1"/>
    </row>
    <row r="512" spans="1:10" x14ac:dyDescent="0.3">
      <c r="A512" s="5">
        <f>SALES_EDA!A499</f>
        <v>42135.083333333336</v>
      </c>
      <c r="B512" s="15">
        <f>SALES_EDA!M499</f>
        <v>37.748318937384063</v>
      </c>
      <c r="C512" s="15">
        <f>SALES_EDA!T499</f>
        <v>39.659615913485894</v>
      </c>
      <c r="D512" s="6">
        <f>SALES_EDA!D499</f>
        <v>5257</v>
      </c>
      <c r="E512" s="14">
        <f>SALES_EDA!B499</f>
        <v>198442.91265382801</v>
      </c>
      <c r="F512" s="1"/>
      <c r="G512" s="1"/>
      <c r="H512" s="1"/>
      <c r="I512" s="1"/>
      <c r="J512" s="1"/>
    </row>
    <row r="513" spans="1:10" x14ac:dyDescent="0.3">
      <c r="A513" s="5">
        <f>SALES_EDA!A500</f>
        <v>42136.083333333336</v>
      </c>
      <c r="B513" s="15">
        <f>SALES_EDA!M500</f>
        <v>37.74563316778292</v>
      </c>
      <c r="C513" s="15">
        <f>SALES_EDA!T500</f>
        <v>39.545024826823557</v>
      </c>
      <c r="D513" s="6">
        <f>SALES_EDA!D500</f>
        <v>5118</v>
      </c>
      <c r="E513" s="14">
        <f>SALES_EDA!B500</f>
        <v>193182.15055271299</v>
      </c>
      <c r="F513" s="1"/>
      <c r="G513" s="1"/>
      <c r="H513" s="1"/>
      <c r="I513" s="1"/>
      <c r="J513" s="1"/>
    </row>
    <row r="514" spans="1:10" x14ac:dyDescent="0.3">
      <c r="A514" s="5">
        <f>SALES_EDA!A501</f>
        <v>42137.083333333336</v>
      </c>
      <c r="B514" s="15">
        <f>SALES_EDA!M501</f>
        <v>37.733135373202494</v>
      </c>
      <c r="C514" s="15">
        <f>SALES_EDA!T501</f>
        <v>39.430211683203041</v>
      </c>
      <c r="D514" s="6">
        <f>SALES_EDA!D501</f>
        <v>4410</v>
      </c>
      <c r="E514" s="14">
        <f>SALES_EDA!B501</f>
        <v>166403.126995823</v>
      </c>
      <c r="F514" s="1"/>
      <c r="G514" s="1"/>
      <c r="H514" s="1"/>
      <c r="I514" s="1"/>
      <c r="J514" s="1"/>
    </row>
    <row r="515" spans="1:10" x14ac:dyDescent="0.3">
      <c r="A515" s="5">
        <f>SALES_EDA!A502</f>
        <v>42138.083333333336</v>
      </c>
      <c r="B515" s="15">
        <f>SALES_EDA!M502</f>
        <v>37.74762183224545</v>
      </c>
      <c r="C515" s="15">
        <f>SALES_EDA!T502</f>
        <v>39.300109358112742</v>
      </c>
      <c r="D515" s="6">
        <f>SALES_EDA!D502</f>
        <v>3952</v>
      </c>
      <c r="E515" s="14">
        <f>SALES_EDA!B502</f>
        <v>149178.60148103401</v>
      </c>
      <c r="F515" s="1"/>
      <c r="G515" s="1"/>
      <c r="H515" s="1"/>
      <c r="I515" s="1"/>
      <c r="J515" s="1"/>
    </row>
    <row r="516" spans="1:10" x14ac:dyDescent="0.3">
      <c r="A516" s="5">
        <f>SALES_EDA!A503</f>
        <v>42139.083333333336</v>
      </c>
      <c r="B516" s="15">
        <f>SALES_EDA!M503</f>
        <v>37.742223084433462</v>
      </c>
      <c r="C516" s="15">
        <f>SALES_EDA!T503</f>
        <v>39.168616033028989</v>
      </c>
      <c r="D516" s="6">
        <f>SALES_EDA!D503</f>
        <v>10084</v>
      </c>
      <c r="E516" s="14">
        <f>SALES_EDA!B503</f>
        <v>380592.57758342702</v>
      </c>
      <c r="F516" s="1"/>
      <c r="G516" s="1"/>
      <c r="H516" s="1"/>
      <c r="I516" s="1"/>
      <c r="J516" s="1"/>
    </row>
    <row r="517" spans="1:10" x14ac:dyDescent="0.3">
      <c r="A517" s="5">
        <f>SALES_EDA!A504</f>
        <v>42140.083333333336</v>
      </c>
      <c r="B517" s="15">
        <f>SALES_EDA!M504</f>
        <v>37.732595670589291</v>
      </c>
      <c r="C517" s="15">
        <f>SALES_EDA!T504</f>
        <v>39.035158831302383</v>
      </c>
      <c r="D517" s="6">
        <f>SALES_EDA!D504</f>
        <v>10964</v>
      </c>
      <c r="E517" s="14">
        <f>SALES_EDA!B504</f>
        <v>413700.17893234099</v>
      </c>
      <c r="F517" s="1"/>
      <c r="G517" s="1"/>
      <c r="H517" s="1"/>
      <c r="I517" s="1"/>
      <c r="J517" s="1"/>
    </row>
    <row r="518" spans="1:10" x14ac:dyDescent="0.3">
      <c r="A518" s="5">
        <f>SALES_EDA!A505</f>
        <v>42141.083333333336</v>
      </c>
      <c r="B518" s="15">
        <f>SALES_EDA!M505</f>
        <v>37.733689683837909</v>
      </c>
      <c r="C518" s="15">
        <f>SALES_EDA!T505</f>
        <v>38.899093100681441</v>
      </c>
      <c r="D518" s="6">
        <f>SALES_EDA!D505</f>
        <v>4695</v>
      </c>
      <c r="E518" s="14">
        <f>SALES_EDA!B505</f>
        <v>177159.67306561899</v>
      </c>
      <c r="F518" s="1"/>
      <c r="G518" s="1"/>
      <c r="H518" s="1"/>
      <c r="I518" s="1"/>
      <c r="J518" s="1"/>
    </row>
    <row r="519" spans="1:10" x14ac:dyDescent="0.3">
      <c r="A519" s="5">
        <f>SALES_EDA!A506</f>
        <v>42142.083333333336</v>
      </c>
      <c r="B519" s="15">
        <f>SALES_EDA!M506</f>
        <v>37.736938239548131</v>
      </c>
      <c r="C519" s="15">
        <f>SALES_EDA!T506</f>
        <v>38.760992485709508</v>
      </c>
      <c r="D519" s="6">
        <f>SALES_EDA!D506</f>
        <v>5205</v>
      </c>
      <c r="E519" s="14">
        <f>SALES_EDA!B506</f>
        <v>196420.76353684801</v>
      </c>
      <c r="F519" s="1"/>
      <c r="G519" s="1"/>
      <c r="H519" s="1"/>
      <c r="I519" s="1"/>
      <c r="J519" s="1"/>
    </row>
    <row r="520" spans="1:10" x14ac:dyDescent="0.3">
      <c r="A520" s="5">
        <f>SALES_EDA!A507</f>
        <v>42143.083333333336</v>
      </c>
      <c r="B520" s="15">
        <f>SALES_EDA!M507</f>
        <v>37.916677340243268</v>
      </c>
      <c r="C520" s="15">
        <f>SALES_EDA!T507</f>
        <v>38.626827593729203</v>
      </c>
      <c r="D520" s="6">
        <f>SALES_EDA!D507</f>
        <v>3638</v>
      </c>
      <c r="E520" s="14">
        <f>SALES_EDA!B507</f>
        <v>137940.872163805</v>
      </c>
      <c r="F520" s="1"/>
      <c r="G520" s="1"/>
      <c r="H520" s="1"/>
      <c r="I520" s="1"/>
      <c r="J520" s="1"/>
    </row>
    <row r="521" spans="1:10" x14ac:dyDescent="0.3">
      <c r="A521" s="5">
        <f>SALES_EDA!A508</f>
        <v>42144.083333333336</v>
      </c>
      <c r="B521" s="15">
        <f>SALES_EDA!M508</f>
        <v>37.818908468728495</v>
      </c>
      <c r="C521" s="15">
        <f>SALES_EDA!T508</f>
        <v>38.489816688192064</v>
      </c>
      <c r="D521" s="6">
        <f>SALES_EDA!D508</f>
        <v>4394</v>
      </c>
      <c r="E521" s="14">
        <f>SALES_EDA!B508</f>
        <v>166176.28381159299</v>
      </c>
      <c r="F521" s="1"/>
      <c r="G521" s="1"/>
      <c r="H521" s="1"/>
      <c r="I521" s="1"/>
      <c r="J521" s="1"/>
    </row>
    <row r="522" spans="1:10" x14ac:dyDescent="0.3">
      <c r="A522" s="5">
        <f>SALES_EDA!A509</f>
        <v>42145.083333333336</v>
      </c>
      <c r="B522" s="15">
        <f>SALES_EDA!M509</f>
        <v>42.049889449621872</v>
      </c>
      <c r="C522" s="15">
        <f>SALES_EDA!T509</f>
        <v>38.490288601725652</v>
      </c>
      <c r="D522" s="6">
        <f>SALES_EDA!D509</f>
        <v>2012</v>
      </c>
      <c r="E522" s="14">
        <f>SALES_EDA!B509</f>
        <v>84604.377572639205</v>
      </c>
      <c r="F522" s="1"/>
      <c r="G522" s="1"/>
      <c r="H522" s="1"/>
      <c r="I522" s="1"/>
      <c r="J522" s="1"/>
    </row>
    <row r="523" spans="1:10" x14ac:dyDescent="0.3">
      <c r="A523" s="5">
        <f>SALES_EDA!A510</f>
        <v>42146.083333333336</v>
      </c>
      <c r="B523" s="15">
        <f>SALES_EDA!M510</f>
        <v>37.745838644940299</v>
      </c>
      <c r="C523" s="15">
        <f>SALES_EDA!T510</f>
        <v>38.46189083186087</v>
      </c>
      <c r="D523" s="6">
        <f>SALES_EDA!D510</f>
        <v>8526</v>
      </c>
      <c r="E523" s="14">
        <f>SALES_EDA!B510</f>
        <v>321821.02028676099</v>
      </c>
      <c r="F523" s="1"/>
      <c r="G523" s="1"/>
      <c r="H523" s="1"/>
      <c r="I523" s="1"/>
      <c r="J523" s="1"/>
    </row>
    <row r="524" spans="1:10" x14ac:dyDescent="0.3">
      <c r="A524" s="5">
        <f>SALES_EDA!A511</f>
        <v>42147.083333333336</v>
      </c>
      <c r="B524" s="15">
        <f>SALES_EDA!M511</f>
        <v>37.735707520721881</v>
      </c>
      <c r="C524" s="15">
        <f>SALES_EDA!T511</f>
        <v>38.317833780177821</v>
      </c>
      <c r="D524" s="6">
        <f>SALES_EDA!D511</f>
        <v>11096</v>
      </c>
      <c r="E524" s="14">
        <f>SALES_EDA!B511</f>
        <v>418715.41064993001</v>
      </c>
      <c r="F524" s="1"/>
      <c r="G524" s="1"/>
      <c r="H524" s="1"/>
      <c r="I524" s="1"/>
      <c r="J524" s="1"/>
    </row>
    <row r="525" spans="1:10" x14ac:dyDescent="0.3">
      <c r="A525" s="5">
        <f>SALES_EDA!A512</f>
        <v>42148.083333333336</v>
      </c>
      <c r="B525" s="15">
        <f>SALES_EDA!M512</f>
        <v>37.768159043742926</v>
      </c>
      <c r="C525" s="15">
        <f>SALES_EDA!T512</f>
        <v>38.288771933342638</v>
      </c>
      <c r="D525" s="6">
        <f>SALES_EDA!D512</f>
        <v>4489</v>
      </c>
      <c r="E525" s="14">
        <f>SALES_EDA!B512</f>
        <v>169541.265947362</v>
      </c>
      <c r="F525" s="1"/>
      <c r="G525" s="1"/>
      <c r="H525" s="1"/>
      <c r="I525" s="1"/>
      <c r="J525" s="1"/>
    </row>
    <row r="526" spans="1:10" x14ac:dyDescent="0.3">
      <c r="A526" s="5">
        <f>SALES_EDA!A513</f>
        <v>42149.083333333336</v>
      </c>
      <c r="B526" s="15">
        <f>SALES_EDA!M513</f>
        <v>37.738706392358203</v>
      </c>
      <c r="C526" s="15">
        <f>SALES_EDA!T513</f>
        <v>38.286629616943401</v>
      </c>
      <c r="D526" s="6">
        <f>SALES_EDA!D513</f>
        <v>6795</v>
      </c>
      <c r="E526" s="14">
        <f>SALES_EDA!B513</f>
        <v>256434.509936074</v>
      </c>
      <c r="F526" s="1"/>
      <c r="G526" s="1"/>
      <c r="H526" s="1"/>
      <c r="I526" s="1"/>
      <c r="J526" s="1"/>
    </row>
    <row r="527" spans="1:10" x14ac:dyDescent="0.3">
      <c r="A527" s="5">
        <f>SALES_EDA!A514</f>
        <v>42150.083333333336</v>
      </c>
      <c r="B527" s="15">
        <f>SALES_EDA!M514</f>
        <v>37.741039639384816</v>
      </c>
      <c r="C527" s="15">
        <f>SALES_EDA!T514</f>
        <v>38.255034163707336</v>
      </c>
      <c r="D527" s="6">
        <f>SALES_EDA!D514</f>
        <v>5283</v>
      </c>
      <c r="E527" s="14">
        <f>SALES_EDA!B514</f>
        <v>199385.91241486999</v>
      </c>
      <c r="F527" s="1"/>
      <c r="G527" s="1"/>
      <c r="H527" s="1"/>
      <c r="I527" s="1"/>
      <c r="J527" s="1"/>
    </row>
    <row r="528" spans="1:10" x14ac:dyDescent="0.3">
      <c r="A528" s="5">
        <f>SALES_EDA!A515</f>
        <v>42151.083333333336</v>
      </c>
      <c r="B528" s="15">
        <f>SALES_EDA!M515</f>
        <v>37.742790072610418</v>
      </c>
      <c r="C528" s="15">
        <f>SALES_EDA!T515</f>
        <v>38.223218498269581</v>
      </c>
      <c r="D528" s="6">
        <f>SALES_EDA!D515</f>
        <v>6453</v>
      </c>
      <c r="E528" s="14">
        <f>SALES_EDA!B515</f>
        <v>243554.22433855501</v>
      </c>
      <c r="F528" s="1"/>
      <c r="G528" s="1"/>
      <c r="H528" s="1"/>
      <c r="I528" s="1"/>
      <c r="J528" s="1"/>
    </row>
    <row r="529" spans="1:10" x14ac:dyDescent="0.3">
      <c r="A529" s="5">
        <f>SALES_EDA!A516</f>
        <v>42152.083333333336</v>
      </c>
      <c r="B529" s="15">
        <f>SALES_EDA!M516</f>
        <v>37.737610558032408</v>
      </c>
      <c r="C529" s="15">
        <f>SALES_EDA!T516</f>
        <v>38.194262977825339</v>
      </c>
      <c r="D529" s="6">
        <f>SALES_EDA!D516</f>
        <v>5770</v>
      </c>
      <c r="E529" s="14">
        <f>SALES_EDA!B516</f>
        <v>217746.01291984701</v>
      </c>
      <c r="F529" s="1"/>
      <c r="G529" s="1"/>
      <c r="H529" s="1"/>
      <c r="I529" s="1"/>
      <c r="J529" s="1"/>
    </row>
    <row r="530" spans="1:10" x14ac:dyDescent="0.3">
      <c r="A530" s="5">
        <f>SALES_EDA!A517</f>
        <v>42153.083333333336</v>
      </c>
      <c r="B530" s="15">
        <f>SALES_EDA!M517</f>
        <v>37.751719206024546</v>
      </c>
      <c r="C530" s="15">
        <f>SALES_EDA!T517</f>
        <v>38.164722228883036</v>
      </c>
      <c r="D530" s="6">
        <f>SALES_EDA!D517</f>
        <v>12507</v>
      </c>
      <c r="E530" s="14">
        <f>SALES_EDA!B517</f>
        <v>472160.75210974901</v>
      </c>
      <c r="F530" s="1"/>
      <c r="G530" s="1"/>
      <c r="H530" s="1"/>
      <c r="I530" s="1"/>
      <c r="J530" s="1"/>
    </row>
    <row r="531" spans="1:10" x14ac:dyDescent="0.3">
      <c r="A531" s="5">
        <f>SALES_EDA!A518</f>
        <v>42154.083333333336</v>
      </c>
      <c r="B531" s="15">
        <f>SALES_EDA!M518</f>
        <v>37.729565624531887</v>
      </c>
      <c r="C531" s="15">
        <f>SALES_EDA!T518</f>
        <v>38.135630067526691</v>
      </c>
      <c r="D531" s="6">
        <f>SALES_EDA!D518</f>
        <v>14475</v>
      </c>
      <c r="E531" s="14">
        <f>SALES_EDA!B518</f>
        <v>546135.46241509903</v>
      </c>
      <c r="F531" s="1"/>
      <c r="G531" s="1"/>
      <c r="H531" s="1"/>
      <c r="I531" s="1"/>
      <c r="J531" s="1"/>
    </row>
    <row r="532" spans="1:10" x14ac:dyDescent="0.3">
      <c r="A532" s="5">
        <f>SALES_EDA!A519</f>
        <v>42155.083333333336</v>
      </c>
      <c r="B532" s="15">
        <f>SALES_EDA!M519</f>
        <v>37.756793448382226</v>
      </c>
      <c r="C532" s="15">
        <f>SALES_EDA!T519</f>
        <v>38.106659471880327</v>
      </c>
      <c r="D532" s="6">
        <f>SALES_EDA!D519</f>
        <v>7009</v>
      </c>
      <c r="E532" s="14">
        <f>SALES_EDA!B519</f>
        <v>264637.36527971103</v>
      </c>
      <c r="F532" s="1"/>
      <c r="G532" s="1"/>
      <c r="H532" s="1"/>
      <c r="I532" s="1"/>
      <c r="J532" s="1"/>
    </row>
    <row r="533" spans="1:10" x14ac:dyDescent="0.3">
      <c r="A533" s="5">
        <f>SALES_EDA!A520</f>
        <v>42156.083333333336</v>
      </c>
      <c r="B533" s="15">
        <f>SALES_EDA!M520</f>
        <v>37.722963612762662</v>
      </c>
      <c r="C533" s="15">
        <f>SALES_EDA!T520</f>
        <v>38.104461557979235</v>
      </c>
      <c r="D533" s="6">
        <f>SALES_EDA!D520</f>
        <v>11688</v>
      </c>
      <c r="E533" s="14">
        <f>SALES_EDA!B520</f>
        <v>440905.99870597001</v>
      </c>
      <c r="F533" s="1"/>
      <c r="G533" s="1"/>
      <c r="H533" s="1"/>
      <c r="I533" s="1"/>
      <c r="J533" s="1"/>
    </row>
    <row r="534" spans="1:10" x14ac:dyDescent="0.3">
      <c r="A534" s="5">
        <f>SALES_EDA!A521</f>
        <v>42157.083333333336</v>
      </c>
      <c r="B534" s="15">
        <f>SALES_EDA!M521</f>
        <v>37.720737654648765</v>
      </c>
      <c r="C534" s="15">
        <f>SALES_EDA!T521</f>
        <v>38.074602256562677</v>
      </c>
      <c r="D534" s="6">
        <f>SALES_EDA!D521</f>
        <v>8863</v>
      </c>
      <c r="E534" s="14">
        <f>SALES_EDA!B521</f>
        <v>334318.89783315198</v>
      </c>
      <c r="F534" s="1"/>
      <c r="G534" s="1"/>
      <c r="H534" s="1"/>
      <c r="I534" s="1"/>
      <c r="J534" s="1"/>
    </row>
    <row r="535" spans="1:10" x14ac:dyDescent="0.3">
      <c r="A535" s="5">
        <f>SALES_EDA!A522</f>
        <v>42158.083333333336</v>
      </c>
      <c r="B535" s="15">
        <f>SALES_EDA!M522</f>
        <v>37.749836125741886</v>
      </c>
      <c r="C535" s="15">
        <f>SALES_EDA!T522</f>
        <v>38.043907332130836</v>
      </c>
      <c r="D535" s="6">
        <f>SALES_EDA!D522</f>
        <v>7148</v>
      </c>
      <c r="E535" s="14">
        <f>SALES_EDA!B522</f>
        <v>269835.82862680301</v>
      </c>
      <c r="F535" s="1"/>
      <c r="G535" s="1"/>
      <c r="H535" s="1"/>
      <c r="I535" s="1"/>
      <c r="J535" s="1"/>
    </row>
    <row r="536" spans="1:10" x14ac:dyDescent="0.3">
      <c r="A536" s="5">
        <f>SALES_EDA!A523</f>
        <v>42159.083333333336</v>
      </c>
      <c r="B536" s="15">
        <f>SALES_EDA!M523</f>
        <v>37.766896222273751</v>
      </c>
      <c r="C536" s="15">
        <f>SALES_EDA!T523</f>
        <v>38.011020110686523</v>
      </c>
      <c r="D536" s="6">
        <f>SALES_EDA!D523</f>
        <v>5326</v>
      </c>
      <c r="E536" s="14">
        <f>SALES_EDA!B523</f>
        <v>201146.48927983001</v>
      </c>
      <c r="F536" s="1"/>
      <c r="G536" s="1"/>
      <c r="H536" s="1"/>
      <c r="I536" s="1"/>
      <c r="J536" s="1"/>
    </row>
    <row r="537" spans="1:10" x14ac:dyDescent="0.3">
      <c r="A537" s="5">
        <f>SALES_EDA!A524</f>
        <v>42160.083333333336</v>
      </c>
      <c r="B537" s="15">
        <f>SALES_EDA!M524</f>
        <v>37.744190860216847</v>
      </c>
      <c r="C537" s="15">
        <f>SALES_EDA!T524</f>
        <v>38.010591841211088</v>
      </c>
      <c r="D537" s="6">
        <f>SALES_EDA!D524</f>
        <v>7775</v>
      </c>
      <c r="E537" s="14">
        <f>SALES_EDA!B524</f>
        <v>293461.083938186</v>
      </c>
      <c r="F537" s="1"/>
      <c r="G537" s="1"/>
      <c r="H537" s="1"/>
      <c r="I537" s="1"/>
      <c r="J537" s="1"/>
    </row>
    <row r="538" spans="1:10" x14ac:dyDescent="0.3">
      <c r="A538" s="5">
        <f>SALES_EDA!A525</f>
        <v>42161.083333333336</v>
      </c>
      <c r="B538" s="15">
        <f>SALES_EDA!M525</f>
        <v>37.753971887678766</v>
      </c>
      <c r="C538" s="15">
        <f>SALES_EDA!T525</f>
        <v>37.897358463474724</v>
      </c>
      <c r="D538" s="6">
        <f>SALES_EDA!D525</f>
        <v>9255</v>
      </c>
      <c r="E538" s="14">
        <f>SALES_EDA!B525</f>
        <v>349413.00982046698</v>
      </c>
      <c r="F538" s="1"/>
      <c r="G538" s="1"/>
      <c r="H538" s="1"/>
      <c r="I538" s="1"/>
      <c r="J538" s="1"/>
    </row>
    <row r="539" spans="1:10" x14ac:dyDescent="0.3">
      <c r="A539" s="5">
        <f>SALES_EDA!A526</f>
        <v>42162.083333333336</v>
      </c>
      <c r="B539" s="15">
        <f>SALES_EDA!M526</f>
        <v>37.747565187723829</v>
      </c>
      <c r="C539" s="15">
        <f>SALES_EDA!T526</f>
        <v>37.895935282745228</v>
      </c>
      <c r="D539" s="6">
        <f>SALES_EDA!D526</f>
        <v>4758</v>
      </c>
      <c r="E539" s="14">
        <f>SALES_EDA!B526</f>
        <v>179602.91516318999</v>
      </c>
      <c r="F539" s="1"/>
      <c r="G539" s="1"/>
      <c r="H539" s="1"/>
      <c r="I539" s="1"/>
      <c r="J539" s="1"/>
    </row>
    <row r="540" spans="1:10" x14ac:dyDescent="0.3">
      <c r="A540" s="5">
        <f>SALES_EDA!A527</f>
        <v>42163.083333333336</v>
      </c>
      <c r="B540" s="15">
        <f>SALES_EDA!M527</f>
        <v>42.024701751135865</v>
      </c>
      <c r="C540" s="15">
        <f>SALES_EDA!T527</f>
        <v>38.038256335547281</v>
      </c>
      <c r="D540" s="6">
        <f>SALES_EDA!D527</f>
        <v>2613</v>
      </c>
      <c r="E540" s="14">
        <f>SALES_EDA!B527</f>
        <v>109810.54567571801</v>
      </c>
      <c r="F540" s="1"/>
      <c r="G540" s="1"/>
      <c r="H540" s="1"/>
      <c r="I540" s="1"/>
      <c r="J540" s="1"/>
    </row>
    <row r="541" spans="1:10" x14ac:dyDescent="0.3">
      <c r="A541" s="5">
        <f>SALES_EDA!A528</f>
        <v>42164.083333333336</v>
      </c>
      <c r="B541" s="15">
        <f>SALES_EDA!M528</f>
        <v>42.05296194188503</v>
      </c>
      <c r="C541" s="15">
        <f>SALES_EDA!T528</f>
        <v>38.181246221413815</v>
      </c>
      <c r="D541" s="6">
        <f>SALES_EDA!D528</f>
        <v>1830</v>
      </c>
      <c r="E541" s="14">
        <f>SALES_EDA!B528</f>
        <v>76956.920353649606</v>
      </c>
      <c r="F541" s="1"/>
      <c r="G541" s="1"/>
      <c r="H541" s="1"/>
      <c r="I541" s="1"/>
      <c r="J541" s="1"/>
    </row>
    <row r="542" spans="1:10" x14ac:dyDescent="0.3">
      <c r="A542" s="5">
        <f>SALES_EDA!A529</f>
        <v>42165.083333333336</v>
      </c>
      <c r="B542" s="15">
        <f>SALES_EDA!M529</f>
        <v>42.030453602148469</v>
      </c>
      <c r="C542" s="15">
        <f>SALES_EDA!T529</f>
        <v>38.323984043572629</v>
      </c>
      <c r="D542" s="6">
        <f>SALES_EDA!D529</f>
        <v>1694</v>
      </c>
      <c r="E542" s="14">
        <f>SALES_EDA!B529</f>
        <v>71199.588402039502</v>
      </c>
      <c r="F542" s="1"/>
      <c r="G542" s="1"/>
      <c r="H542" s="1"/>
      <c r="I542" s="1"/>
      <c r="J542" s="1"/>
    </row>
    <row r="543" spans="1:10" x14ac:dyDescent="0.3">
      <c r="A543" s="5">
        <f>SALES_EDA!A530</f>
        <v>42166.083333333336</v>
      </c>
      <c r="B543" s="15">
        <f>SALES_EDA!M530</f>
        <v>42.014827448431667</v>
      </c>
      <c r="C543" s="15">
        <f>SALES_EDA!T530</f>
        <v>38.46629051959426</v>
      </c>
      <c r="D543" s="6">
        <f>SALES_EDA!D530</f>
        <v>1642</v>
      </c>
      <c r="E543" s="14">
        <f>SALES_EDA!B530</f>
        <v>68988.346670324798</v>
      </c>
      <c r="F543" s="1"/>
      <c r="G543" s="1"/>
      <c r="H543" s="1"/>
      <c r="I543" s="1"/>
      <c r="J543" s="1"/>
    </row>
    <row r="544" spans="1:10" x14ac:dyDescent="0.3">
      <c r="A544" s="5">
        <f>SALES_EDA!A531</f>
        <v>42167.083333333336</v>
      </c>
      <c r="B544" s="15">
        <f>SALES_EDA!M531</f>
        <v>42.047934750137131</v>
      </c>
      <c r="C544" s="15">
        <f>SALES_EDA!T531</f>
        <v>38.610117165492078</v>
      </c>
      <c r="D544" s="6">
        <f>SALES_EDA!D531</f>
        <v>3690</v>
      </c>
      <c r="E544" s="14">
        <f>SALES_EDA!B531</f>
        <v>155156.879228006</v>
      </c>
      <c r="F544" s="1"/>
      <c r="G544" s="1"/>
      <c r="H544" s="1"/>
      <c r="I544" s="1"/>
      <c r="J544" s="1"/>
    </row>
    <row r="545" spans="1:10" x14ac:dyDescent="0.3">
      <c r="A545" s="5">
        <f>SALES_EDA!A532</f>
        <v>42168.083333333336</v>
      </c>
      <c r="B545" s="15">
        <f>SALES_EDA!M532</f>
        <v>42.032135137605358</v>
      </c>
      <c r="C545" s="15">
        <f>SALES_EDA!T532</f>
        <v>38.752934275670739</v>
      </c>
      <c r="D545" s="6">
        <f>SALES_EDA!D532</f>
        <v>4404</v>
      </c>
      <c r="E545" s="14">
        <f>SALES_EDA!B532</f>
        <v>185109.52314601399</v>
      </c>
      <c r="F545" s="1"/>
      <c r="G545" s="1"/>
      <c r="H545" s="1"/>
      <c r="I545" s="1"/>
      <c r="J545" s="1"/>
    </row>
    <row r="546" spans="1:10" x14ac:dyDescent="0.3">
      <c r="A546" s="5">
        <f>SALES_EDA!A533</f>
        <v>42169.083333333336</v>
      </c>
      <c r="B546" s="15">
        <f>SALES_EDA!M533</f>
        <v>42.058004021490412</v>
      </c>
      <c r="C546" s="15">
        <f>SALES_EDA!T533</f>
        <v>38.896793640239302</v>
      </c>
      <c r="D546" s="6">
        <f>SALES_EDA!D533</f>
        <v>1992</v>
      </c>
      <c r="E546" s="14">
        <f>SALES_EDA!B533</f>
        <v>83779.544010808895</v>
      </c>
      <c r="F546" s="1"/>
      <c r="G546" s="1"/>
      <c r="H546" s="1"/>
      <c r="I546" s="1"/>
      <c r="J546" s="1"/>
    </row>
    <row r="547" spans="1:10" x14ac:dyDescent="0.3">
      <c r="A547" s="5">
        <f>SALES_EDA!A534</f>
        <v>42170.083333333336</v>
      </c>
      <c r="B547" s="15">
        <f>SALES_EDA!M534</f>
        <v>42.030243050536406</v>
      </c>
      <c r="C547" s="15">
        <f>SALES_EDA!T534</f>
        <v>39.04004855290421</v>
      </c>
      <c r="D547" s="6">
        <f>SALES_EDA!D534</f>
        <v>3557</v>
      </c>
      <c r="E547" s="14">
        <f>SALES_EDA!B534</f>
        <v>149501.57453075799</v>
      </c>
      <c r="F547" s="1"/>
      <c r="G547" s="1"/>
      <c r="H547" s="1"/>
      <c r="I547" s="1"/>
      <c r="J547" s="1"/>
    </row>
    <row r="548" spans="1:10" x14ac:dyDescent="0.3">
      <c r="A548" s="5">
        <f>SALES_EDA!A535</f>
        <v>42171.083333333336</v>
      </c>
      <c r="B548" s="15">
        <f>SALES_EDA!M535</f>
        <v>41.952942293362838</v>
      </c>
      <c r="C548" s="15">
        <f>SALES_EDA!T535</f>
        <v>39.180690306555043</v>
      </c>
      <c r="D548" s="6">
        <f>SALES_EDA!D535</f>
        <v>2395</v>
      </c>
      <c r="E548" s="14">
        <f>SALES_EDA!B535</f>
        <v>100477.296792604</v>
      </c>
      <c r="F548" s="1"/>
      <c r="G548" s="1"/>
      <c r="H548" s="1"/>
      <c r="I548" s="1"/>
      <c r="J548" s="1"/>
    </row>
    <row r="549" spans="1:10" x14ac:dyDescent="0.3">
      <c r="A549" s="5">
        <f>SALES_EDA!A536</f>
        <v>42172.083333333336</v>
      </c>
      <c r="B549" s="15">
        <f>SALES_EDA!M536</f>
        <v>42.015427050509061</v>
      </c>
      <c r="C549" s="15">
        <f>SALES_EDA!T536</f>
        <v>39.323306600253737</v>
      </c>
      <c r="D549" s="6">
        <f>SALES_EDA!D536</f>
        <v>2120</v>
      </c>
      <c r="E549" s="14">
        <f>SALES_EDA!B536</f>
        <v>89072.705347079202</v>
      </c>
      <c r="F549" s="1"/>
      <c r="G549" s="1"/>
      <c r="H549" s="1"/>
      <c r="I549" s="1"/>
      <c r="J549" s="1"/>
    </row>
    <row r="550" spans="1:10" x14ac:dyDescent="0.3">
      <c r="A550" s="5">
        <f>SALES_EDA!A537</f>
        <v>42173.083333333336</v>
      </c>
      <c r="B550" s="15">
        <f>SALES_EDA!M537</f>
        <v>41.998184457343733</v>
      </c>
      <c r="C550" s="15">
        <f>SALES_EDA!T537</f>
        <v>39.459356837490418</v>
      </c>
      <c r="D550" s="6">
        <f>SALES_EDA!D537</f>
        <v>1875</v>
      </c>
      <c r="E550" s="14">
        <f>SALES_EDA!B537</f>
        <v>78746.595857519496</v>
      </c>
      <c r="F550" s="1"/>
      <c r="G550" s="1"/>
      <c r="H550" s="1"/>
      <c r="I550" s="1"/>
      <c r="J550" s="1"/>
    </row>
    <row r="551" spans="1:10" x14ac:dyDescent="0.3">
      <c r="A551" s="5">
        <f>SALES_EDA!A538</f>
        <v>42174.083333333336</v>
      </c>
      <c r="B551" s="15">
        <f>SALES_EDA!M538</f>
        <v>42.035954511121446</v>
      </c>
      <c r="C551" s="15">
        <f>SALES_EDA!T538</f>
        <v>39.599925038903514</v>
      </c>
      <c r="D551" s="6">
        <f>SALES_EDA!D538</f>
        <v>3376</v>
      </c>
      <c r="E551" s="14">
        <f>SALES_EDA!B538</f>
        <v>141913.38242954601</v>
      </c>
      <c r="F551" s="1"/>
      <c r="G551" s="1"/>
      <c r="H551" s="1"/>
      <c r="I551" s="1"/>
      <c r="J551" s="1"/>
    </row>
    <row r="552" spans="1:10" x14ac:dyDescent="0.3">
      <c r="A552" s="5">
        <f>SALES_EDA!A539</f>
        <v>42175.083333333336</v>
      </c>
      <c r="B552" s="15">
        <f>SALES_EDA!M539</f>
        <v>42.042284152847039</v>
      </c>
      <c r="C552" s="15">
        <f>SALES_EDA!T539</f>
        <v>39.599671529011019</v>
      </c>
      <c r="D552" s="6">
        <f>SALES_EDA!D539</f>
        <v>4027</v>
      </c>
      <c r="E552" s="14">
        <f>SALES_EDA!B539</f>
        <v>169304.27828351501</v>
      </c>
      <c r="F552" s="1"/>
      <c r="G552" s="1"/>
      <c r="H552" s="1"/>
      <c r="I552" s="1"/>
      <c r="J552" s="1"/>
    </row>
    <row r="553" spans="1:10" x14ac:dyDescent="0.3">
      <c r="A553" s="5">
        <f>SALES_EDA!A540</f>
        <v>42176.083333333336</v>
      </c>
      <c r="B553" s="15">
        <f>SALES_EDA!M540</f>
        <v>42.064023889129885</v>
      </c>
      <c r="C553" s="15">
        <f>SALES_EDA!T540</f>
        <v>39.743611037150671</v>
      </c>
      <c r="D553" s="6">
        <f>SALES_EDA!D540</f>
        <v>2128</v>
      </c>
      <c r="E553" s="14">
        <f>SALES_EDA!B540</f>
        <v>89512.242836068399</v>
      </c>
      <c r="F553" s="1"/>
      <c r="G553" s="1"/>
      <c r="H553" s="1"/>
      <c r="I553" s="1"/>
      <c r="J553" s="1"/>
    </row>
    <row r="554" spans="1:10" x14ac:dyDescent="0.3">
      <c r="A554" s="5">
        <f>SALES_EDA!A541</f>
        <v>42177.083333333336</v>
      </c>
      <c r="B554" s="15">
        <f>SALES_EDA!M541</f>
        <v>42.02545226741897</v>
      </c>
      <c r="C554" s="15">
        <f>SALES_EDA!T541</f>
        <v>39.886602528707243</v>
      </c>
      <c r="D554" s="6">
        <f>SALES_EDA!D541</f>
        <v>2046</v>
      </c>
      <c r="E554" s="14">
        <f>SALES_EDA!B541</f>
        <v>85984.075339139206</v>
      </c>
      <c r="F554" s="1"/>
      <c r="G554" s="1"/>
      <c r="H554" s="1"/>
      <c r="I554" s="1"/>
      <c r="J554" s="1"/>
    </row>
    <row r="555" spans="1:10" x14ac:dyDescent="0.3">
      <c r="A555" s="5">
        <f>SALES_EDA!A542</f>
        <v>42178.083333333336</v>
      </c>
      <c r="B555" s="15">
        <f>SALES_EDA!M542</f>
        <v>42.01582281752885</v>
      </c>
      <c r="C555" s="15">
        <f>SALES_EDA!T542</f>
        <v>40.02819132116678</v>
      </c>
      <c r="D555" s="6">
        <f>SALES_EDA!D542</f>
        <v>1546</v>
      </c>
      <c r="E555" s="14">
        <f>SALES_EDA!B542</f>
        <v>64956.462075899602</v>
      </c>
      <c r="F555" s="1"/>
      <c r="G555" s="1"/>
      <c r="H555" s="1"/>
      <c r="I555" s="1"/>
      <c r="J555" s="1"/>
    </row>
    <row r="556" spans="1:10" x14ac:dyDescent="0.3">
      <c r="A556" s="5">
        <f>SALES_EDA!A543</f>
        <v>42179.083333333336</v>
      </c>
      <c r="B556" s="15">
        <f>SALES_EDA!M543</f>
        <v>37.779387964379517</v>
      </c>
      <c r="C556" s="15">
        <f>SALES_EDA!T543</f>
        <v>40.029547373567496</v>
      </c>
      <c r="D556" s="6">
        <f>SALES_EDA!D543</f>
        <v>2822</v>
      </c>
      <c r="E556" s="14">
        <f>SALES_EDA!B543</f>
        <v>106613.43283547901</v>
      </c>
      <c r="F556" s="1"/>
      <c r="G556" s="1"/>
      <c r="H556" s="1"/>
      <c r="I556" s="1"/>
      <c r="J556" s="1"/>
    </row>
    <row r="557" spans="1:10" x14ac:dyDescent="0.3">
      <c r="A557" s="5">
        <f>SALES_EDA!A544</f>
        <v>42180.083333333336</v>
      </c>
      <c r="B557" s="15">
        <f>SALES_EDA!M544</f>
        <v>37.789068303235972</v>
      </c>
      <c r="C557" s="15">
        <f>SALES_EDA!T544</f>
        <v>40.0311483290292</v>
      </c>
      <c r="D557" s="6">
        <f>SALES_EDA!D544</f>
        <v>4865</v>
      </c>
      <c r="E557" s="14">
        <f>SALES_EDA!B544</f>
        <v>183843.817295243</v>
      </c>
      <c r="F557" s="1"/>
      <c r="G557" s="1"/>
      <c r="H557" s="1"/>
      <c r="I557" s="1"/>
      <c r="J557" s="1"/>
    </row>
    <row r="558" spans="1:10" x14ac:dyDescent="0.3">
      <c r="A558" s="5">
        <f>SALES_EDA!A545</f>
        <v>42181.083333333336</v>
      </c>
      <c r="B558" s="15">
        <f>SALES_EDA!M545</f>
        <v>37.820093975663433</v>
      </c>
      <c r="C558" s="15">
        <f>SALES_EDA!T545</f>
        <v>40.033725125797638</v>
      </c>
      <c r="D558" s="6">
        <f>SALES_EDA!D545</f>
        <v>8450</v>
      </c>
      <c r="E558" s="14">
        <f>SALES_EDA!B545</f>
        <v>319579.79409435601</v>
      </c>
      <c r="F558" s="1"/>
      <c r="G558" s="1"/>
      <c r="H558" s="1"/>
      <c r="I558" s="1"/>
      <c r="J558" s="1"/>
    </row>
    <row r="559" spans="1:10" x14ac:dyDescent="0.3">
      <c r="A559" s="5">
        <f>SALES_EDA!A546</f>
        <v>42182.083333333336</v>
      </c>
      <c r="B559" s="15">
        <f>SALES_EDA!M546</f>
        <v>37.79383405390481</v>
      </c>
      <c r="C559" s="15">
        <f>SALES_EDA!T546</f>
        <v>40.035599242326711</v>
      </c>
      <c r="D559" s="6">
        <f>SALES_EDA!D546</f>
        <v>9770</v>
      </c>
      <c r="E559" s="14">
        <f>SALES_EDA!B546</f>
        <v>369245.75870665</v>
      </c>
      <c r="F559" s="1"/>
      <c r="G559" s="1"/>
      <c r="H559" s="1"/>
      <c r="I559" s="1"/>
      <c r="J559" s="1"/>
    </row>
    <row r="560" spans="1:10" x14ac:dyDescent="0.3">
      <c r="A560" s="5">
        <f>SALES_EDA!A547</f>
        <v>42183.083333333336</v>
      </c>
      <c r="B560" s="15">
        <f>SALES_EDA!M547</f>
        <v>37.77950571769027</v>
      </c>
      <c r="C560" s="15">
        <f>SALES_EDA!T547</f>
        <v>40.036525459382233</v>
      </c>
      <c r="D560" s="6">
        <f>SALES_EDA!D547</f>
        <v>4914</v>
      </c>
      <c r="E560" s="14">
        <f>SALES_EDA!B547</f>
        <v>185648.49109672999</v>
      </c>
      <c r="F560" s="1"/>
      <c r="G560" s="1"/>
      <c r="H560" s="1"/>
      <c r="I560" s="1"/>
      <c r="J560" s="1"/>
    </row>
    <row r="561" spans="1:10" x14ac:dyDescent="0.3">
      <c r="A561" s="5">
        <f>SALES_EDA!A548</f>
        <v>42184.083333333336</v>
      </c>
      <c r="B561" s="15">
        <f>SALES_EDA!M548</f>
        <v>37.755475891414598</v>
      </c>
      <c r="C561" s="15">
        <f>SALES_EDA!T548</f>
        <v>40.037389134944988</v>
      </c>
      <c r="D561" s="6">
        <f>SALES_EDA!D548</f>
        <v>4385</v>
      </c>
      <c r="E561" s="14">
        <f>SALES_EDA!B548</f>
        <v>165557.761783853</v>
      </c>
      <c r="F561" s="1"/>
      <c r="G561" s="1"/>
      <c r="H561" s="1"/>
      <c r="I561" s="1"/>
      <c r="J561" s="1"/>
    </row>
    <row r="562" spans="1:10" x14ac:dyDescent="0.3">
      <c r="A562" s="5">
        <f>SALES_EDA!A549</f>
        <v>42185.083333333336</v>
      </c>
      <c r="B562" s="15">
        <f>SALES_EDA!M549</f>
        <v>37.758145229241514</v>
      </c>
      <c r="C562" s="15">
        <f>SALES_EDA!T549</f>
        <v>40.037434194306961</v>
      </c>
      <c r="D562" s="6">
        <f>SALES_EDA!D549</f>
        <v>5627</v>
      </c>
      <c r="E562" s="14">
        <f>SALES_EDA!B549</f>
        <v>212465.083204942</v>
      </c>
      <c r="F562" s="1"/>
      <c r="G562" s="1"/>
      <c r="H562" s="1"/>
      <c r="I562" s="1"/>
      <c r="J562" s="1"/>
    </row>
    <row r="563" spans="1:10" x14ac:dyDescent="0.3">
      <c r="A563" s="5">
        <f>SALES_EDA!A550</f>
        <v>42186.083333333336</v>
      </c>
      <c r="B563" s="15">
        <f>SALES_EDA!M550</f>
        <v>37.748195410135786</v>
      </c>
      <c r="C563" s="15">
        <f>SALES_EDA!T550</f>
        <v>40.038275254219393</v>
      </c>
      <c r="D563" s="6">
        <f>SALES_EDA!D550</f>
        <v>8086</v>
      </c>
      <c r="E563" s="14">
        <f>SALES_EDA!B550</f>
        <v>305231.90808635799</v>
      </c>
      <c r="F563" s="1"/>
      <c r="G563" s="1"/>
      <c r="H563" s="1"/>
      <c r="I563" s="1"/>
      <c r="J563" s="1"/>
    </row>
    <row r="564" spans="1:10" x14ac:dyDescent="0.3">
      <c r="A564" s="5">
        <f>SALES_EDA!A551</f>
        <v>42187.083333333336</v>
      </c>
      <c r="B564" s="15">
        <f>SALES_EDA!M551</f>
        <v>37.728817240133154</v>
      </c>
      <c r="C564" s="15">
        <f>SALES_EDA!T551</f>
        <v>40.038544573735543</v>
      </c>
      <c r="D564" s="6">
        <f>SALES_EDA!D551</f>
        <v>6639</v>
      </c>
      <c r="E564" s="14">
        <f>SALES_EDA!B551</f>
        <v>250481.617657244</v>
      </c>
      <c r="F564" s="1"/>
      <c r="G564" s="1"/>
      <c r="H564" s="1"/>
      <c r="I564" s="1"/>
      <c r="J564" s="1"/>
    </row>
    <row r="565" spans="1:10" x14ac:dyDescent="0.3">
      <c r="A565" s="5">
        <f>SALES_EDA!A552</f>
        <v>42188.083333333336</v>
      </c>
      <c r="B565" s="15">
        <f>SALES_EDA!M552</f>
        <v>37.783006855575593</v>
      </c>
      <c r="C565" s="15">
        <f>SALES_EDA!T552</f>
        <v>40.039650264730007</v>
      </c>
      <c r="D565" s="6">
        <f>SALES_EDA!D552</f>
        <v>7104</v>
      </c>
      <c r="E565" s="14">
        <f>SALES_EDA!B552</f>
        <v>268410.48070200899</v>
      </c>
      <c r="F565" s="1"/>
      <c r="G565" s="1"/>
      <c r="H565" s="1"/>
      <c r="I565" s="1"/>
      <c r="J565" s="1"/>
    </row>
    <row r="566" spans="1:10" x14ac:dyDescent="0.3">
      <c r="A566" s="5">
        <f>SALES_EDA!A553</f>
        <v>42189.083333333336</v>
      </c>
      <c r="B566" s="15">
        <f>SALES_EDA!M553</f>
        <v>37.824665081108563</v>
      </c>
      <c r="C566" s="15">
        <f>SALES_EDA!T553</f>
        <v>40.04157589335783</v>
      </c>
      <c r="D566" s="6">
        <f>SALES_EDA!D553</f>
        <v>8364</v>
      </c>
      <c r="E566" s="14">
        <f>SALES_EDA!B553</f>
        <v>316365.49873839202</v>
      </c>
      <c r="F566" s="1"/>
      <c r="G566" s="1"/>
      <c r="H566" s="1"/>
      <c r="I566" s="1"/>
      <c r="J566" s="1"/>
    </row>
    <row r="567" spans="1:10" x14ac:dyDescent="0.3">
      <c r="A567" s="5">
        <f>SALES_EDA!A554</f>
        <v>42190.083333333336</v>
      </c>
      <c r="B567" s="15">
        <f>SALES_EDA!M554</f>
        <v>37.837203004887606</v>
      </c>
      <c r="C567" s="15">
        <f>SALES_EDA!T554</f>
        <v>40.044676298180192</v>
      </c>
      <c r="D567" s="6">
        <f>SALES_EDA!D554</f>
        <v>4146</v>
      </c>
      <c r="E567" s="14">
        <f>SALES_EDA!B554</f>
        <v>156873.04365826401</v>
      </c>
      <c r="F567" s="1"/>
      <c r="G567" s="1"/>
      <c r="H567" s="1"/>
      <c r="I567" s="1"/>
      <c r="J567" s="1"/>
    </row>
    <row r="568" spans="1:10" x14ac:dyDescent="0.3">
      <c r="A568" s="5">
        <f>SALES_EDA!A555</f>
        <v>42191.083333333336</v>
      </c>
      <c r="B568" s="15">
        <f>SALES_EDA!M555</f>
        <v>37.815203551576182</v>
      </c>
      <c r="C568" s="15">
        <f>SALES_EDA!T555</f>
        <v>40.046717353643437</v>
      </c>
      <c r="D568" s="6">
        <f>SALES_EDA!D555</f>
        <v>4601</v>
      </c>
      <c r="E568" s="14">
        <f>SALES_EDA!B555</f>
        <v>173987.75154080201</v>
      </c>
      <c r="F568" s="1"/>
      <c r="G568" s="1"/>
      <c r="H568" s="1"/>
      <c r="I568" s="1"/>
      <c r="J568" s="1"/>
    </row>
    <row r="569" spans="1:10" x14ac:dyDescent="0.3">
      <c r="A569" s="5">
        <f>SALES_EDA!A556</f>
        <v>42192.083333333336</v>
      </c>
      <c r="B569" s="15">
        <f>SALES_EDA!M556</f>
        <v>37.782846101334812</v>
      </c>
      <c r="C569" s="15">
        <f>SALES_EDA!T556</f>
        <v>40.047893384097137</v>
      </c>
      <c r="D569" s="6">
        <f>SALES_EDA!D556</f>
        <v>3593</v>
      </c>
      <c r="E569" s="14">
        <f>SALES_EDA!B556</f>
        <v>135753.76604209599</v>
      </c>
      <c r="F569" s="1"/>
      <c r="G569" s="1"/>
      <c r="H569" s="1"/>
      <c r="I569" s="1"/>
      <c r="J569" s="1"/>
    </row>
    <row r="570" spans="1:10" x14ac:dyDescent="0.3">
      <c r="A570" s="5">
        <f>SALES_EDA!A557</f>
        <v>42193.083333333336</v>
      </c>
      <c r="B570" s="15">
        <f>SALES_EDA!M557</f>
        <v>39.936854026504022</v>
      </c>
      <c r="C570" s="15">
        <f>SALES_EDA!T557</f>
        <v>39.978298459942742</v>
      </c>
      <c r="D570" s="6">
        <f>SALES_EDA!D557</f>
        <v>2114</v>
      </c>
      <c r="E570" s="14">
        <f>SALES_EDA!B557</f>
        <v>84426.509412029496</v>
      </c>
      <c r="F570" s="1"/>
      <c r="G570" s="1"/>
      <c r="H570" s="1"/>
      <c r="I570" s="1"/>
      <c r="J570" s="1"/>
    </row>
    <row r="571" spans="1:10" x14ac:dyDescent="0.3">
      <c r="A571" s="5">
        <f>SALES_EDA!A558</f>
        <v>42194.083333333336</v>
      </c>
      <c r="B571" s="15">
        <f>SALES_EDA!M558</f>
        <v>39.407451466627826</v>
      </c>
      <c r="C571" s="15">
        <f>SALES_EDA!T558</f>
        <v>39.890114777434171</v>
      </c>
      <c r="D571" s="6">
        <f>SALES_EDA!D558</f>
        <v>1797</v>
      </c>
      <c r="E571" s="14">
        <f>SALES_EDA!B558</f>
        <v>70815.190285530203</v>
      </c>
      <c r="F571" s="1"/>
      <c r="G571" s="1"/>
      <c r="H571" s="1"/>
      <c r="I571" s="1"/>
      <c r="J571" s="1"/>
    </row>
    <row r="572" spans="1:10" x14ac:dyDescent="0.3">
      <c r="A572" s="5">
        <f>SALES_EDA!A559</f>
        <v>42195.083333333336</v>
      </c>
      <c r="B572" s="15">
        <f>SALES_EDA!M559</f>
        <v>39.431346401735837</v>
      </c>
      <c r="C572" s="15">
        <f>SALES_EDA!T559</f>
        <v>39.80347787075376</v>
      </c>
      <c r="D572" s="6">
        <f>SALES_EDA!D559</f>
        <v>3195</v>
      </c>
      <c r="E572" s="14">
        <f>SALES_EDA!B559</f>
        <v>125983.151753546</v>
      </c>
      <c r="F572" s="1"/>
      <c r="G572" s="1"/>
      <c r="H572" s="1"/>
      <c r="I572" s="1"/>
      <c r="J572" s="1"/>
    </row>
    <row r="573" spans="1:10" x14ac:dyDescent="0.3">
      <c r="A573" s="5">
        <f>SALES_EDA!A560</f>
        <v>42196.083333333336</v>
      </c>
      <c r="B573" s="15">
        <f>SALES_EDA!M560</f>
        <v>39.604501819534349</v>
      </c>
      <c r="C573" s="15">
        <f>SALES_EDA!T560</f>
        <v>39.723133683123834</v>
      </c>
      <c r="D573" s="6">
        <f>SALES_EDA!D560</f>
        <v>3595</v>
      </c>
      <c r="E573" s="14">
        <f>SALES_EDA!B560</f>
        <v>142378.18404122599</v>
      </c>
      <c r="F573" s="1"/>
      <c r="G573" s="1"/>
      <c r="H573" s="1"/>
      <c r="I573" s="1"/>
      <c r="J573" s="1"/>
    </row>
    <row r="574" spans="1:10" x14ac:dyDescent="0.3">
      <c r="A574" s="5">
        <f>SALES_EDA!A561</f>
        <v>42197.083333333336</v>
      </c>
      <c r="B574" s="15">
        <f>SALES_EDA!M561</f>
        <v>39.146339950245469</v>
      </c>
      <c r="C574" s="15">
        <f>SALES_EDA!T561</f>
        <v>39.626413856460772</v>
      </c>
      <c r="D574" s="6">
        <f>SALES_EDA!D561</f>
        <v>1467</v>
      </c>
      <c r="E574" s="14">
        <f>SALES_EDA!B561</f>
        <v>57427.680707010099</v>
      </c>
      <c r="F574" s="1"/>
      <c r="G574" s="1"/>
      <c r="H574" s="1"/>
      <c r="I574" s="1"/>
      <c r="J574" s="1"/>
    </row>
    <row r="575" spans="1:10" x14ac:dyDescent="0.3">
      <c r="A575" s="5">
        <f>SALES_EDA!A562</f>
        <v>42198.083333333336</v>
      </c>
      <c r="B575" s="15">
        <f>SALES_EDA!M562</f>
        <v>39.336230436167952</v>
      </c>
      <c r="C575" s="15">
        <f>SALES_EDA!T562</f>
        <v>39.536550366412854</v>
      </c>
      <c r="D575" s="6">
        <f>SALES_EDA!D562</f>
        <v>1610</v>
      </c>
      <c r="E575" s="14">
        <f>SALES_EDA!B562</f>
        <v>63331.331002230399</v>
      </c>
      <c r="F575" s="1"/>
      <c r="G575" s="1"/>
      <c r="H575" s="1"/>
      <c r="I575" s="1"/>
      <c r="J575" s="1"/>
    </row>
    <row r="576" spans="1:10" x14ac:dyDescent="0.3">
      <c r="A576" s="5">
        <f>SALES_EDA!A563</f>
        <v>42199.083333333336</v>
      </c>
      <c r="B576" s="15">
        <f>SALES_EDA!M563</f>
        <v>39.205071578653708</v>
      </c>
      <c r="C576" s="15">
        <f>SALES_EDA!T563</f>
        <v>39.441452618318301</v>
      </c>
      <c r="D576" s="6">
        <f>SALES_EDA!D563</f>
        <v>1307</v>
      </c>
      <c r="E576" s="14">
        <f>SALES_EDA!B563</f>
        <v>51241.028553300399</v>
      </c>
      <c r="F576" s="1"/>
      <c r="G576" s="1"/>
      <c r="H576" s="1"/>
      <c r="I576" s="1"/>
      <c r="J576" s="1"/>
    </row>
    <row r="577" spans="1:10" x14ac:dyDescent="0.3">
      <c r="A577" s="5">
        <f>SALES_EDA!A564</f>
        <v>42200.083333333336</v>
      </c>
      <c r="B577" s="15">
        <f>SALES_EDA!M564</f>
        <v>39.183629663048926</v>
      </c>
      <c r="C577" s="15">
        <f>SALES_EDA!T564</f>
        <v>39.346565505402054</v>
      </c>
      <c r="D577" s="6">
        <f>SALES_EDA!D564</f>
        <v>2050</v>
      </c>
      <c r="E577" s="14">
        <f>SALES_EDA!B564</f>
        <v>80326.4408092503</v>
      </c>
      <c r="F577" s="1"/>
      <c r="G577" s="1"/>
      <c r="H577" s="1"/>
      <c r="I577" s="1"/>
      <c r="J577" s="1"/>
    </row>
    <row r="578" spans="1:10" x14ac:dyDescent="0.3">
      <c r="A578" s="5">
        <f>SALES_EDA!A565</f>
        <v>42201.083333333336</v>
      </c>
      <c r="B578" s="15">
        <f>SALES_EDA!M565</f>
        <v>38.892680220692377</v>
      </c>
      <c r="C578" s="15">
        <f>SALES_EDA!T565</f>
        <v>39.244556769646373</v>
      </c>
      <c r="D578" s="6">
        <f>SALES_EDA!D565</f>
        <v>1849</v>
      </c>
      <c r="E578" s="14">
        <f>SALES_EDA!B565</f>
        <v>71912.565728060203</v>
      </c>
      <c r="F578" s="1"/>
      <c r="G578" s="1"/>
      <c r="H578" s="1"/>
      <c r="I578" s="1"/>
      <c r="J578" s="1"/>
    </row>
    <row r="579" spans="1:10" x14ac:dyDescent="0.3">
      <c r="A579" s="5">
        <f>SALES_EDA!A566</f>
        <v>42202.083333333336</v>
      </c>
      <c r="B579" s="15">
        <f>SALES_EDA!M566</f>
        <v>38.82876532076417</v>
      </c>
      <c r="C579" s="15">
        <f>SALES_EDA!T566</f>
        <v>39.138334711988215</v>
      </c>
      <c r="D579" s="6">
        <f>SALES_EDA!D566</f>
        <v>3070</v>
      </c>
      <c r="E579" s="14">
        <f>SALES_EDA!B566</f>
        <v>119204.309534746</v>
      </c>
      <c r="F579" s="1"/>
      <c r="G579" s="1"/>
      <c r="H579" s="1"/>
      <c r="I579" s="1"/>
      <c r="J579" s="1"/>
    </row>
    <row r="580" spans="1:10" x14ac:dyDescent="0.3">
      <c r="A580" s="5">
        <f>SALES_EDA!A567</f>
        <v>42203.083333333336</v>
      </c>
      <c r="B580" s="15">
        <f>SALES_EDA!M567</f>
        <v>38.96486413508007</v>
      </c>
      <c r="C580" s="15">
        <f>SALES_EDA!T567</f>
        <v>39.037224034579417</v>
      </c>
      <c r="D580" s="6">
        <f>SALES_EDA!D567</f>
        <v>3322</v>
      </c>
      <c r="E580" s="14">
        <f>SALES_EDA!B567</f>
        <v>129441.278656736</v>
      </c>
      <c r="F580" s="1"/>
      <c r="G580" s="1"/>
      <c r="H580" s="1"/>
      <c r="I580" s="1"/>
      <c r="J580" s="1"/>
    </row>
    <row r="581" spans="1:10" x14ac:dyDescent="0.3">
      <c r="A581" s="5">
        <f>SALES_EDA!A568</f>
        <v>42204.083333333336</v>
      </c>
      <c r="B581" s="15">
        <f>SALES_EDA!M568</f>
        <v>39.175454054046519</v>
      </c>
      <c r="C581" s="15">
        <f>SALES_EDA!T568</f>
        <v>38.94187401934358</v>
      </c>
      <c r="D581" s="6">
        <f>SALES_EDA!D568</f>
        <v>1982</v>
      </c>
      <c r="E581" s="14">
        <f>SALES_EDA!B568</f>
        <v>77645.749935120199</v>
      </c>
      <c r="F581" s="1"/>
      <c r="G581" s="1"/>
      <c r="H581" s="1"/>
      <c r="I581" s="1"/>
      <c r="J581" s="1"/>
    </row>
    <row r="582" spans="1:10" x14ac:dyDescent="0.3">
      <c r="A582" s="5">
        <f>SALES_EDA!A569</f>
        <v>42205.083333333336</v>
      </c>
      <c r="B582" s="15">
        <f>SALES_EDA!M569</f>
        <v>39.130750062926694</v>
      </c>
      <c r="C582" s="15">
        <f>SALES_EDA!T569</f>
        <v>38.844822883012895</v>
      </c>
      <c r="D582" s="6">
        <f>SALES_EDA!D569</f>
        <v>1787</v>
      </c>
      <c r="E582" s="14">
        <f>SALES_EDA!B569</f>
        <v>69926.650362450004</v>
      </c>
      <c r="F582" s="1"/>
      <c r="G582" s="1"/>
      <c r="H582" s="1"/>
      <c r="I582" s="1"/>
      <c r="J582" s="1"/>
    </row>
    <row r="583" spans="1:10" x14ac:dyDescent="0.3">
      <c r="A583" s="5">
        <f>SALES_EDA!A570</f>
        <v>42206.083333333336</v>
      </c>
      <c r="B583" s="15">
        <f>SALES_EDA!M570</f>
        <v>38.988648050021723</v>
      </c>
      <c r="C583" s="15">
        <f>SALES_EDA!T570</f>
        <v>38.742310355042626</v>
      </c>
      <c r="D583" s="6">
        <f>SALES_EDA!D570</f>
        <v>1846</v>
      </c>
      <c r="E583" s="14">
        <f>SALES_EDA!B570</f>
        <v>71973.044300340101</v>
      </c>
      <c r="F583" s="1"/>
      <c r="G583" s="1"/>
      <c r="H583" s="1"/>
      <c r="I583" s="1"/>
      <c r="J583" s="1"/>
    </row>
    <row r="584" spans="1:10" x14ac:dyDescent="0.3">
      <c r="A584" s="5">
        <f>SALES_EDA!A571</f>
        <v>42207.083333333336</v>
      </c>
      <c r="B584" s="15">
        <f>SALES_EDA!M571</f>
        <v>38.795882979168304</v>
      </c>
      <c r="C584" s="15">
        <f>SALES_EDA!T571</f>
        <v>38.634658045434286</v>
      </c>
      <c r="D584" s="6">
        <f>SALES_EDA!D571</f>
        <v>1142</v>
      </c>
      <c r="E584" s="14">
        <f>SALES_EDA!B571</f>
        <v>44304.898362210202</v>
      </c>
      <c r="F584" s="1"/>
      <c r="G584" s="1"/>
      <c r="H584" s="1"/>
      <c r="I584" s="1"/>
      <c r="J584" s="1"/>
    </row>
    <row r="585" spans="1:10" x14ac:dyDescent="0.3">
      <c r="A585" s="5">
        <f>SALES_EDA!A572</f>
        <v>42208.083333333336</v>
      </c>
      <c r="B585" s="15">
        <f>SALES_EDA!M572</f>
        <v>38.523485427041813</v>
      </c>
      <c r="C585" s="15">
        <f>SALES_EDA!T572</f>
        <v>38.518246799084714</v>
      </c>
      <c r="D585" s="6">
        <f>SALES_EDA!D572</f>
        <v>1734</v>
      </c>
      <c r="E585" s="14">
        <f>SALES_EDA!B572</f>
        <v>66799.723730490499</v>
      </c>
      <c r="F585" s="1"/>
      <c r="G585" s="1"/>
      <c r="H585" s="1"/>
      <c r="I585" s="1"/>
      <c r="J585" s="1"/>
    </row>
    <row r="586" spans="1:10" x14ac:dyDescent="0.3">
      <c r="A586" s="5">
        <f>SALES_EDA!A573</f>
        <v>42209.083333333336</v>
      </c>
      <c r="B586" s="15">
        <f>SALES_EDA!M573</f>
        <v>38.566920172109846</v>
      </c>
      <c r="C586" s="15">
        <f>SALES_EDA!T573</f>
        <v>38.54449787267572</v>
      </c>
      <c r="D586" s="6">
        <f>SALES_EDA!D573</f>
        <v>3259</v>
      </c>
      <c r="E586" s="14">
        <f>SALES_EDA!B573</f>
        <v>125689.592840906</v>
      </c>
      <c r="F586" s="1"/>
      <c r="G586" s="1"/>
      <c r="H586" s="1"/>
      <c r="I586" s="1"/>
      <c r="J586" s="1"/>
    </row>
    <row r="587" spans="1:10" x14ac:dyDescent="0.3">
      <c r="A587" s="5">
        <f>SALES_EDA!A574</f>
        <v>42210.083333333336</v>
      </c>
      <c r="B587" s="15">
        <f>SALES_EDA!M574</f>
        <v>38.808775196986282</v>
      </c>
      <c r="C587" s="15">
        <f>SALES_EDA!T574</f>
        <v>38.578488102467411</v>
      </c>
      <c r="D587" s="6">
        <f>SALES_EDA!D574</f>
        <v>3572</v>
      </c>
      <c r="E587" s="14">
        <f>SALES_EDA!B574</f>
        <v>138624.94500363499</v>
      </c>
      <c r="F587" s="1"/>
      <c r="G587" s="1"/>
      <c r="H587" s="1"/>
      <c r="I587" s="1"/>
      <c r="J587" s="1"/>
    </row>
    <row r="588" spans="1:10" x14ac:dyDescent="0.3">
      <c r="A588" s="5">
        <f>SALES_EDA!A575</f>
        <v>42211.083333333336</v>
      </c>
      <c r="B588" s="15">
        <f>SALES_EDA!M575</f>
        <v>38.745872608715224</v>
      </c>
      <c r="C588" s="15">
        <f>SALES_EDA!T575</f>
        <v>38.609347390235804</v>
      </c>
      <c r="D588" s="6">
        <f>SALES_EDA!D575</f>
        <v>2109</v>
      </c>
      <c r="E588" s="14">
        <f>SALES_EDA!B575</f>
        <v>81715.045331780406</v>
      </c>
      <c r="F588" s="1"/>
      <c r="G588" s="1"/>
      <c r="H588" s="1"/>
      <c r="I588" s="1"/>
      <c r="J588" s="1"/>
    </row>
    <row r="589" spans="1:10" x14ac:dyDescent="0.3">
      <c r="A589" s="5">
        <f>SALES_EDA!A576</f>
        <v>42212.083333333336</v>
      </c>
      <c r="B589" s="15">
        <f>SALES_EDA!M576</f>
        <v>38.734550115022344</v>
      </c>
      <c r="C589" s="15">
        <f>SALES_EDA!T576</f>
        <v>38.640704592273053</v>
      </c>
      <c r="D589" s="6">
        <f>SALES_EDA!D576</f>
        <v>2242</v>
      </c>
      <c r="E589" s="14">
        <f>SALES_EDA!B576</f>
        <v>86842.861357880101</v>
      </c>
      <c r="F589" s="1"/>
      <c r="G589" s="1"/>
      <c r="H589" s="1"/>
      <c r="I589" s="1"/>
      <c r="J589" s="1"/>
    </row>
    <row r="590" spans="1:10" x14ac:dyDescent="0.3">
      <c r="A590" s="5">
        <f>SALES_EDA!A577</f>
        <v>42213.083333333336</v>
      </c>
      <c r="B590" s="15">
        <f>SALES_EDA!M577</f>
        <v>38.654535470760109</v>
      </c>
      <c r="C590" s="15">
        <f>SALES_EDA!T577</f>
        <v>38.669872250708714</v>
      </c>
      <c r="D590" s="6">
        <f>SALES_EDA!D577</f>
        <v>1474</v>
      </c>
      <c r="E590" s="14">
        <f>SALES_EDA!B577</f>
        <v>56976.785283900397</v>
      </c>
      <c r="F590" s="1"/>
      <c r="G590" s="1"/>
      <c r="H590" s="1"/>
      <c r="I590" s="1"/>
      <c r="J590" s="1"/>
    </row>
    <row r="591" spans="1:10" x14ac:dyDescent="0.3">
      <c r="A591" s="5">
        <f>SALES_EDA!A578</f>
        <v>42214.083333333336</v>
      </c>
      <c r="B591" s="15">
        <f>SALES_EDA!M578</f>
        <v>38.692011605742508</v>
      </c>
      <c r="C591" s="15">
        <f>SALES_EDA!T578</f>
        <v>38.701090107852977</v>
      </c>
      <c r="D591" s="6">
        <f>SALES_EDA!D578</f>
        <v>1381</v>
      </c>
      <c r="E591" s="14">
        <f>SALES_EDA!B578</f>
        <v>53433.668027530402</v>
      </c>
      <c r="F591" s="1"/>
      <c r="G591" s="1"/>
      <c r="H591" s="1"/>
      <c r="I591" s="1"/>
      <c r="J591" s="1"/>
    </row>
    <row r="592" spans="1:10" x14ac:dyDescent="0.3">
      <c r="A592" s="5">
        <f>SALES_EDA!A579</f>
        <v>42215.083333333336</v>
      </c>
      <c r="B592" s="15">
        <f>SALES_EDA!M579</f>
        <v>38.744962627112017</v>
      </c>
      <c r="C592" s="15">
        <f>SALES_EDA!T579</f>
        <v>38.733984021115326</v>
      </c>
      <c r="D592" s="6">
        <f>SALES_EDA!D579</f>
        <v>1423</v>
      </c>
      <c r="E592" s="14">
        <f>SALES_EDA!B579</f>
        <v>55134.0818183804</v>
      </c>
      <c r="F592" s="1"/>
      <c r="G592" s="1"/>
      <c r="H592" s="1"/>
      <c r="I592" s="1"/>
      <c r="J592" s="1"/>
    </row>
    <row r="593" spans="1:10" x14ac:dyDescent="0.3">
      <c r="A593" s="5">
        <f>SALES_EDA!A580</f>
        <v>42216.083333333336</v>
      </c>
      <c r="B593" s="15">
        <f>SALES_EDA!M580</f>
        <v>38.779040318894381</v>
      </c>
      <c r="C593" s="15">
        <f>SALES_EDA!T580</f>
        <v>38.76834551807395</v>
      </c>
      <c r="D593" s="6">
        <f>SALES_EDA!D580</f>
        <v>3740</v>
      </c>
      <c r="E593" s="14">
        <f>SALES_EDA!B580</f>
        <v>145033.61079266499</v>
      </c>
      <c r="F593" s="1"/>
      <c r="G593" s="1"/>
      <c r="H593" s="1"/>
      <c r="I593" s="1"/>
      <c r="J593" s="1"/>
    </row>
    <row r="594" spans="1:10" x14ac:dyDescent="0.3">
      <c r="A594" s="5">
        <f>SALES_EDA!A581</f>
        <v>42217.083333333336</v>
      </c>
      <c r="B594" s="15">
        <f>SALES_EDA!M581</f>
        <v>38.91913462608197</v>
      </c>
      <c r="C594" s="15">
        <f>SALES_EDA!T581</f>
        <v>38.808022764272245</v>
      </c>
      <c r="D594" s="6">
        <f>SALES_EDA!D581</f>
        <v>4453</v>
      </c>
      <c r="E594" s="14">
        <f>SALES_EDA!B581</f>
        <v>173306.90648994301</v>
      </c>
      <c r="F594" s="1"/>
      <c r="G594" s="1"/>
      <c r="H594" s="1"/>
      <c r="I594" s="1"/>
      <c r="J594" s="1"/>
    </row>
    <row r="595" spans="1:10" x14ac:dyDescent="0.3">
      <c r="A595" s="5">
        <f>SALES_EDA!A582</f>
        <v>42218.083333333336</v>
      </c>
      <c r="B595" s="15">
        <f>SALES_EDA!M582</f>
        <v>39.040894026744908</v>
      </c>
      <c r="C595" s="15">
        <f>SALES_EDA!T582</f>
        <v>38.849952336644556</v>
      </c>
      <c r="D595" s="6">
        <f>SALES_EDA!D582</f>
        <v>2258</v>
      </c>
      <c r="E595" s="14">
        <f>SALES_EDA!B582</f>
        <v>88154.338712390003</v>
      </c>
      <c r="F595" s="1"/>
      <c r="G595" s="1"/>
      <c r="H595" s="1"/>
      <c r="I595" s="1"/>
      <c r="J595" s="1"/>
    </row>
    <row r="596" spans="1:10" x14ac:dyDescent="0.3">
      <c r="A596" s="5">
        <f>SALES_EDA!A583</f>
        <v>42219.083333333336</v>
      </c>
      <c r="B596" s="15">
        <f>SALES_EDA!M583</f>
        <v>39.123446406842049</v>
      </c>
      <c r="C596" s="15">
        <f>SALES_EDA!T583</f>
        <v>38.893245047502333</v>
      </c>
      <c r="D596" s="6">
        <f>SALES_EDA!D583</f>
        <v>2074</v>
      </c>
      <c r="E596" s="14">
        <f>SALES_EDA!B583</f>
        <v>81142.027847790407</v>
      </c>
      <c r="F596" s="1"/>
      <c r="G596" s="1"/>
      <c r="H596" s="1"/>
      <c r="I596" s="1"/>
      <c r="J596" s="1"/>
    </row>
    <row r="597" spans="1:10" x14ac:dyDescent="0.3">
      <c r="A597" s="5">
        <f>SALES_EDA!A584</f>
        <v>42220.083333333336</v>
      </c>
      <c r="B597" s="15">
        <f>SALES_EDA!M584</f>
        <v>38.700987931111356</v>
      </c>
      <c r="C597" s="15">
        <f>SALES_EDA!T584</f>
        <v>38.922037878376457</v>
      </c>
      <c r="D597" s="6">
        <f>SALES_EDA!D584</f>
        <v>2007</v>
      </c>
      <c r="E597" s="14">
        <f>SALES_EDA!B584</f>
        <v>77672.882777740495</v>
      </c>
      <c r="F597" s="1"/>
      <c r="G597" s="1"/>
      <c r="H597" s="1"/>
      <c r="I597" s="1"/>
      <c r="J597" s="1"/>
    </row>
    <row r="598" spans="1:10" x14ac:dyDescent="0.3">
      <c r="A598" s="5">
        <f>SALES_EDA!A585</f>
        <v>42221.083333333336</v>
      </c>
      <c r="B598" s="15">
        <f>SALES_EDA!M585</f>
        <v>38.749190222946872</v>
      </c>
      <c r="C598" s="15">
        <f>SALES_EDA!T585</f>
        <v>38.953170767422151</v>
      </c>
      <c r="D598" s="6">
        <f>SALES_EDA!D585</f>
        <v>1948</v>
      </c>
      <c r="E598" s="14">
        <f>SALES_EDA!B585</f>
        <v>75483.422554300501</v>
      </c>
      <c r="F598" s="1"/>
      <c r="G598" s="1"/>
      <c r="H598" s="1"/>
      <c r="I598" s="1"/>
      <c r="J598" s="1"/>
    </row>
    <row r="599" spans="1:10" x14ac:dyDescent="0.3">
      <c r="A599" s="5">
        <f>SALES_EDA!A586</f>
        <v>42222.083333333336</v>
      </c>
      <c r="B599" s="15">
        <f>SALES_EDA!M586</f>
        <v>38.686040635817115</v>
      </c>
      <c r="C599" s="15">
        <f>SALES_EDA!T586</f>
        <v>38.983277251904887</v>
      </c>
      <c r="D599" s="6">
        <f>SALES_EDA!D586</f>
        <v>1922</v>
      </c>
      <c r="E599" s="14">
        <f>SALES_EDA!B586</f>
        <v>74354.570102040496</v>
      </c>
      <c r="F599" s="1"/>
      <c r="G599" s="1"/>
      <c r="H599" s="1"/>
      <c r="I599" s="1"/>
      <c r="J599" s="1"/>
    </row>
    <row r="600" spans="1:10" x14ac:dyDescent="0.3">
      <c r="A600" s="5">
        <f>SALES_EDA!A587</f>
        <v>42223.083333333336</v>
      </c>
      <c r="B600" s="15">
        <f>SALES_EDA!M587</f>
        <v>38.96595734867163</v>
      </c>
      <c r="C600" s="15">
        <f>SALES_EDA!T587</f>
        <v>38.950914029310489</v>
      </c>
      <c r="D600" s="6">
        <f>SALES_EDA!D587</f>
        <v>3088</v>
      </c>
      <c r="E600" s="14">
        <f>SALES_EDA!B587</f>
        <v>120326.876292698</v>
      </c>
      <c r="F600" s="1"/>
      <c r="G600" s="1"/>
      <c r="H600" s="1"/>
      <c r="I600" s="1"/>
      <c r="J600" s="1"/>
    </row>
    <row r="601" spans="1:10" x14ac:dyDescent="0.3">
      <c r="A601" s="5">
        <f>SALES_EDA!A588</f>
        <v>42224.083333333336</v>
      </c>
      <c r="B601" s="15">
        <f>SALES_EDA!M588</f>
        <v>38.922076004727273</v>
      </c>
      <c r="C601" s="15">
        <f>SALES_EDA!T588</f>
        <v>38.934734847247135</v>
      </c>
      <c r="D601" s="6">
        <f>SALES_EDA!D588</f>
        <v>3388</v>
      </c>
      <c r="E601" s="14">
        <f>SALES_EDA!B588</f>
        <v>131867.99350401599</v>
      </c>
      <c r="F601" s="1"/>
      <c r="G601" s="1"/>
      <c r="H601" s="1"/>
      <c r="I601" s="1"/>
      <c r="J601" s="1"/>
    </row>
    <row r="602" spans="1:10" x14ac:dyDescent="0.3">
      <c r="A602" s="5">
        <f>SALES_EDA!A589</f>
        <v>42225.083333333336</v>
      </c>
      <c r="B602" s="15">
        <f>SALES_EDA!M589</f>
        <v>38.839507583652527</v>
      </c>
      <c r="C602" s="15">
        <f>SALES_EDA!T589</f>
        <v>38.915006886644356</v>
      </c>
      <c r="D602" s="6">
        <f>SALES_EDA!D589</f>
        <v>1944</v>
      </c>
      <c r="E602" s="14">
        <f>SALES_EDA!B589</f>
        <v>75504.002742620505</v>
      </c>
      <c r="F602" s="1"/>
      <c r="G602" s="1"/>
      <c r="H602" s="1"/>
      <c r="I602" s="1"/>
      <c r="J602" s="1"/>
    </row>
    <row r="603" spans="1:10" x14ac:dyDescent="0.3">
      <c r="A603" s="5">
        <f>SALES_EDA!A590</f>
        <v>42226.083333333336</v>
      </c>
      <c r="B603" s="15">
        <f>SALES_EDA!M590</f>
        <v>38.613729414503588</v>
      </c>
      <c r="C603" s="15">
        <f>SALES_EDA!T590</f>
        <v>38.881981139809987</v>
      </c>
      <c r="D603" s="6">
        <f>SALES_EDA!D590</f>
        <v>1812</v>
      </c>
      <c r="E603" s="14">
        <f>SALES_EDA!B590</f>
        <v>69968.077699080502</v>
      </c>
      <c r="F603" s="1"/>
      <c r="G603" s="1"/>
      <c r="H603" s="1"/>
      <c r="I603" s="1"/>
      <c r="J603" s="1"/>
    </row>
    <row r="604" spans="1:10" x14ac:dyDescent="0.3">
      <c r="A604" s="5">
        <f>SALES_EDA!A591</f>
        <v>42227.083333333336</v>
      </c>
      <c r="B604" s="15">
        <f>SALES_EDA!M591</f>
        <v>38.507453005297762</v>
      </c>
      <c r="C604" s="15">
        <f>SALES_EDA!T591</f>
        <v>38.860684908311732</v>
      </c>
      <c r="D604" s="6">
        <f>SALES_EDA!D591</f>
        <v>1563</v>
      </c>
      <c r="E604" s="14">
        <f>SALES_EDA!B591</f>
        <v>60187.1490472804</v>
      </c>
      <c r="F604" s="1"/>
      <c r="G604" s="1"/>
      <c r="H604" s="1"/>
      <c r="I604" s="1"/>
      <c r="J604" s="1"/>
    </row>
    <row r="605" spans="1:10" x14ac:dyDescent="0.3">
      <c r="A605" s="5">
        <f>SALES_EDA!A592</f>
        <v>42228.083333333336</v>
      </c>
      <c r="B605" s="15">
        <f>SALES_EDA!M592</f>
        <v>38.171392614086422</v>
      </c>
      <c r="C605" s="15">
        <f>SALES_EDA!T592</f>
        <v>38.821856980909018</v>
      </c>
      <c r="D605" s="6">
        <f>SALES_EDA!D592</f>
        <v>1171</v>
      </c>
      <c r="E605" s="14">
        <f>SALES_EDA!B592</f>
        <v>44698.700751095203</v>
      </c>
      <c r="F605" s="1"/>
      <c r="G605" s="1"/>
      <c r="H605" s="1"/>
      <c r="I605" s="1"/>
      <c r="J605" s="1"/>
    </row>
    <row r="606" spans="1:10" x14ac:dyDescent="0.3">
      <c r="A606" s="5">
        <f>SALES_EDA!A593</f>
        <v>42229.083333333336</v>
      </c>
      <c r="B606" s="15">
        <f>SALES_EDA!M593</f>
        <v>38.128897642444734</v>
      </c>
      <c r="C606" s="15">
        <f>SALES_EDA!T593</f>
        <v>38.785984516368721</v>
      </c>
      <c r="D606" s="6">
        <f>SALES_EDA!D593</f>
        <v>1035</v>
      </c>
      <c r="E606" s="14">
        <f>SALES_EDA!B593</f>
        <v>39463.409059930302</v>
      </c>
      <c r="F606" s="1"/>
      <c r="G606" s="1"/>
      <c r="H606" s="1"/>
      <c r="I606" s="1"/>
      <c r="J606" s="1"/>
    </row>
    <row r="607" spans="1:10" x14ac:dyDescent="0.3">
      <c r="A607" s="5">
        <f>SALES_EDA!A594</f>
        <v>42230.083333333336</v>
      </c>
      <c r="B607" s="15">
        <f>SALES_EDA!M594</f>
        <v>38.181618559243567</v>
      </c>
      <c r="C607" s="15">
        <f>SALES_EDA!T594</f>
        <v>38.752584146241887</v>
      </c>
      <c r="D607" s="6">
        <f>SALES_EDA!D594</f>
        <v>2247</v>
      </c>
      <c r="E607" s="14">
        <f>SALES_EDA!B594</f>
        <v>85794.096902620295</v>
      </c>
      <c r="F607" s="1"/>
      <c r="G607" s="1"/>
      <c r="H607" s="1"/>
      <c r="I607" s="1"/>
      <c r="J607" s="1"/>
    </row>
    <row r="608" spans="1:10" x14ac:dyDescent="0.3">
      <c r="A608" s="5">
        <f>SALES_EDA!A595</f>
        <v>42231.083333333336</v>
      </c>
      <c r="B608" s="15">
        <f>SALES_EDA!M595</f>
        <v>38.22946872679335</v>
      </c>
      <c r="C608" s="15">
        <f>SALES_EDA!T595</f>
        <v>38.730477096445242</v>
      </c>
      <c r="D608" s="6">
        <f>SALES_EDA!D595</f>
        <v>3068</v>
      </c>
      <c r="E608" s="14">
        <f>SALES_EDA!B595</f>
        <v>117288.01005380201</v>
      </c>
      <c r="F608" s="1"/>
      <c r="G608" s="1"/>
      <c r="H608" s="1"/>
      <c r="I608" s="1"/>
      <c r="J608" s="1"/>
    </row>
    <row r="609" spans="1:10" x14ac:dyDescent="0.3">
      <c r="A609" s="5">
        <f>SALES_EDA!A596</f>
        <v>42232.083333333336</v>
      </c>
      <c r="B609" s="15">
        <f>SALES_EDA!M596</f>
        <v>38.079346733001344</v>
      </c>
      <c r="C609" s="15">
        <f>SALES_EDA!T596</f>
        <v>38.705496476853142</v>
      </c>
      <c r="D609" s="6">
        <f>SALES_EDA!D596</f>
        <v>1866</v>
      </c>
      <c r="E609" s="14">
        <f>SALES_EDA!B596</f>
        <v>71056.061003780502</v>
      </c>
      <c r="F609" s="1"/>
      <c r="G609" s="1"/>
      <c r="H609" s="1"/>
      <c r="I609" s="1"/>
      <c r="J609" s="1"/>
    </row>
    <row r="610" spans="1:10" x14ac:dyDescent="0.3">
      <c r="A610" s="5">
        <f>SALES_EDA!A597</f>
        <v>42233.083333333336</v>
      </c>
      <c r="B610" s="15">
        <f>SALES_EDA!M597</f>
        <v>38.103002635106748</v>
      </c>
      <c r="C610" s="15">
        <f>SALES_EDA!T597</f>
        <v>38.676767760187367</v>
      </c>
      <c r="D610" s="6">
        <f>SALES_EDA!D597</f>
        <v>1690</v>
      </c>
      <c r="E610" s="14">
        <f>SALES_EDA!B597</f>
        <v>64394.074453330402</v>
      </c>
      <c r="F610" s="1"/>
      <c r="G610" s="1"/>
      <c r="H610" s="1"/>
      <c r="I610" s="1"/>
      <c r="J610" s="1"/>
    </row>
    <row r="611" spans="1:10" x14ac:dyDescent="0.3">
      <c r="A611" s="5">
        <f>SALES_EDA!A598</f>
        <v>42234.083333333336</v>
      </c>
      <c r="B611" s="15">
        <f>SALES_EDA!M598</f>
        <v>38.140967551762692</v>
      </c>
      <c r="C611" s="15">
        <f>SALES_EDA!T598</f>
        <v>38.642284876777907</v>
      </c>
      <c r="D611" s="6">
        <f>SALES_EDA!D598</f>
        <v>922</v>
      </c>
      <c r="E611" s="14">
        <f>SALES_EDA!B598</f>
        <v>35165.972082725202</v>
      </c>
      <c r="F611" s="1"/>
      <c r="G611" s="1"/>
      <c r="H611" s="1"/>
      <c r="I611" s="1"/>
      <c r="J611" s="1"/>
    </row>
    <row r="612" spans="1:10" x14ac:dyDescent="0.3">
      <c r="A612" s="5">
        <f>SALES_EDA!A599</f>
        <v>42235.083333333336</v>
      </c>
      <c r="B612" s="15">
        <f>SALES_EDA!M599</f>
        <v>38.467190720414074</v>
      </c>
      <c r="C612" s="15">
        <f>SALES_EDA!T599</f>
        <v>38.620166232027486</v>
      </c>
      <c r="D612" s="6">
        <f>SALES_EDA!D599</f>
        <v>604</v>
      </c>
      <c r="E612" s="14">
        <f>SALES_EDA!B599</f>
        <v>23234.183195130099</v>
      </c>
      <c r="F612" s="1"/>
      <c r="G612" s="1"/>
      <c r="H612" s="1"/>
      <c r="I612" s="1"/>
      <c r="J612" s="1"/>
    </row>
    <row r="613" spans="1:10" x14ac:dyDescent="0.3">
      <c r="A613" s="5">
        <f>SALES_EDA!A600</f>
        <v>42236.083333333336</v>
      </c>
      <c r="B613" s="15">
        <f>SALES_EDA!M600</f>
        <v>38.499155803732656</v>
      </c>
      <c r="C613" s="15">
        <f>SALES_EDA!T600</f>
        <v>38.603849823817853</v>
      </c>
      <c r="D613" s="6">
        <f>SALES_EDA!D600</f>
        <v>643</v>
      </c>
      <c r="E613" s="14">
        <f>SALES_EDA!B600</f>
        <v>24754.957181800099</v>
      </c>
      <c r="F613" s="1"/>
      <c r="G613" s="1"/>
      <c r="H613" s="1"/>
      <c r="I613" s="1"/>
      <c r="J613" s="1"/>
    </row>
    <row r="614" spans="1:10" x14ac:dyDescent="0.3">
      <c r="A614" s="5">
        <f>SALES_EDA!A601</f>
        <v>42237.083333333336</v>
      </c>
      <c r="B614" s="15">
        <f>SALES_EDA!M601</f>
        <v>38.230948668522181</v>
      </c>
      <c r="C614" s="15">
        <f>SALES_EDA!T601</f>
        <v>38.58501868012965</v>
      </c>
      <c r="D614" s="6">
        <f>SALES_EDA!D601</f>
        <v>2006</v>
      </c>
      <c r="E614" s="14">
        <f>SALES_EDA!B601</f>
        <v>76691.283029055499</v>
      </c>
      <c r="F614" s="1"/>
      <c r="G614" s="1"/>
      <c r="H614" s="1"/>
      <c r="I614" s="1"/>
      <c r="J614" s="1"/>
    </row>
    <row r="615" spans="1:10" x14ac:dyDescent="0.3">
      <c r="A615" s="5">
        <f>SALES_EDA!A602</f>
        <v>42238.083333333336</v>
      </c>
      <c r="B615" s="15">
        <f>SALES_EDA!M602</f>
        <v>38.188723120044074</v>
      </c>
      <c r="C615" s="15">
        <f>SALES_EDA!T602</f>
        <v>38.573859936563061</v>
      </c>
      <c r="D615" s="6">
        <f>SALES_EDA!D602</f>
        <v>2677</v>
      </c>
      <c r="E615" s="14">
        <f>SALES_EDA!B602</f>
        <v>102231.21179235799</v>
      </c>
      <c r="F615" s="1"/>
      <c r="G615" s="1"/>
      <c r="H615" s="1"/>
      <c r="I615" s="1"/>
      <c r="J615" s="1"/>
    </row>
    <row r="616" spans="1:10" x14ac:dyDescent="0.3">
      <c r="A616" s="5">
        <f>SALES_EDA!A603</f>
        <v>42239.083333333336</v>
      </c>
      <c r="B616" s="15">
        <f>SALES_EDA!M603</f>
        <v>38.837674182542877</v>
      </c>
      <c r="C616" s="15">
        <f>SALES_EDA!T603</f>
        <v>38.582885070244167</v>
      </c>
      <c r="D616" s="6">
        <f>SALES_EDA!D603</f>
        <v>1467</v>
      </c>
      <c r="E616" s="14">
        <f>SALES_EDA!B603</f>
        <v>56974.868025790398</v>
      </c>
      <c r="F616" s="1"/>
      <c r="G616" s="1"/>
      <c r="H616" s="1"/>
      <c r="I616" s="1"/>
      <c r="J616" s="1"/>
    </row>
    <row r="617" spans="1:10" x14ac:dyDescent="0.3">
      <c r="A617" s="5">
        <f>SALES_EDA!A604</f>
        <v>42240.083333333336</v>
      </c>
      <c r="B617" s="15">
        <f>SALES_EDA!M604</f>
        <v>38.902310939244373</v>
      </c>
      <c r="C617" s="15">
        <f>SALES_EDA!T604</f>
        <v>38.586002928319431</v>
      </c>
      <c r="D617" s="6">
        <f>SALES_EDA!D604</f>
        <v>1528</v>
      </c>
      <c r="E617" s="14">
        <f>SALES_EDA!B604</f>
        <v>59442.731115165399</v>
      </c>
      <c r="F617" s="1"/>
      <c r="G617" s="1"/>
      <c r="H617" s="1"/>
      <c r="I617" s="1"/>
      <c r="J617" s="1"/>
    </row>
    <row r="618" spans="1:10" x14ac:dyDescent="0.3">
      <c r="A618" s="5">
        <f>SALES_EDA!A605</f>
        <v>42241.083333333336</v>
      </c>
      <c r="B618" s="15">
        <f>SALES_EDA!M605</f>
        <v>34.226943752205187</v>
      </c>
      <c r="C618" s="15">
        <f>SALES_EDA!T605</f>
        <v>38.435371966435767</v>
      </c>
      <c r="D618" s="6">
        <f>SALES_EDA!D605</f>
        <v>6360</v>
      </c>
      <c r="E618" s="14">
        <f>SALES_EDA!B605</f>
        <v>217683.362264025</v>
      </c>
      <c r="F618" s="1"/>
      <c r="G618" s="1"/>
      <c r="H618" s="1"/>
      <c r="I618" s="1"/>
      <c r="J618" s="1"/>
    </row>
    <row r="619" spans="1:10" x14ac:dyDescent="0.3">
      <c r="A619" s="5">
        <f>SALES_EDA!A606</f>
        <v>42242.083333333336</v>
      </c>
      <c r="B619" s="15">
        <f>SALES_EDA!M606</f>
        <v>34.282365512905535</v>
      </c>
      <c r="C619" s="15">
        <f>SALES_EDA!T606</f>
        <v>38.286965813031863</v>
      </c>
      <c r="D619" s="6">
        <f>SALES_EDA!D606</f>
        <v>8035</v>
      </c>
      <c r="E619" s="14">
        <f>SALES_EDA!B606</f>
        <v>275458.80689619598</v>
      </c>
      <c r="F619" s="1"/>
      <c r="G619" s="1"/>
      <c r="H619" s="1"/>
      <c r="I619" s="1"/>
      <c r="J619" s="1"/>
    </row>
    <row r="620" spans="1:10" x14ac:dyDescent="0.3">
      <c r="A620" s="5">
        <f>SALES_EDA!A607</f>
        <v>42243.083333333336</v>
      </c>
      <c r="B620" s="15">
        <f>SALES_EDA!M607</f>
        <v>34.266946140303673</v>
      </c>
      <c r="C620" s="15">
        <f>SALES_EDA!T607</f>
        <v>38.14071283534998</v>
      </c>
      <c r="D620" s="6">
        <f>SALES_EDA!D607</f>
        <v>6675</v>
      </c>
      <c r="E620" s="14">
        <f>SALES_EDA!B607</f>
        <v>228731.86548652701</v>
      </c>
      <c r="F620" s="1"/>
      <c r="G620" s="1"/>
      <c r="H620" s="1"/>
      <c r="I620" s="1"/>
      <c r="J620" s="1"/>
    </row>
    <row r="621" spans="1:10" x14ac:dyDescent="0.3">
      <c r="A621" s="5">
        <f>SALES_EDA!A608</f>
        <v>42244.083333333336</v>
      </c>
      <c r="B621" s="15">
        <f>SALES_EDA!M608</f>
        <v>34.213514563064606</v>
      </c>
      <c r="C621" s="15">
        <f>SALES_EDA!T608</f>
        <v>37.991429600594046</v>
      </c>
      <c r="D621" s="6">
        <f>SALES_EDA!D608</f>
        <v>11330</v>
      </c>
      <c r="E621" s="14">
        <f>SALES_EDA!B608</f>
        <v>387639.11999952199</v>
      </c>
      <c r="F621" s="1"/>
      <c r="G621" s="1"/>
      <c r="H621" s="1"/>
      <c r="I621" s="1"/>
      <c r="J621" s="1"/>
    </row>
    <row r="622" spans="1:10" x14ac:dyDescent="0.3">
      <c r="A622" s="5">
        <f>SALES_EDA!A609</f>
        <v>42245.083333333336</v>
      </c>
      <c r="B622" s="15">
        <f>SALES_EDA!M609</f>
        <v>34.20261086114914</v>
      </c>
      <c r="C622" s="15">
        <f>SALES_EDA!T609</f>
        <v>37.840017875061953</v>
      </c>
      <c r="D622" s="6">
        <f>SALES_EDA!D609</f>
        <v>13484</v>
      </c>
      <c r="E622" s="14">
        <f>SALES_EDA!B609</f>
        <v>461188.00485173502</v>
      </c>
      <c r="F622" s="1"/>
      <c r="G622" s="1"/>
      <c r="H622" s="1"/>
      <c r="I622" s="1"/>
      <c r="J622" s="1"/>
    </row>
    <row r="623" spans="1:10" x14ac:dyDescent="0.3">
      <c r="A623" s="5">
        <f>SALES_EDA!A610</f>
        <v>42246.083333333336</v>
      </c>
      <c r="B623" s="15">
        <f>SALES_EDA!M610</f>
        <v>34.204241023072044</v>
      </c>
      <c r="C623" s="15">
        <f>SALES_EDA!T610</f>
        <v>37.687524565201208</v>
      </c>
      <c r="D623" s="6">
        <f>SALES_EDA!D610</f>
        <v>5913</v>
      </c>
      <c r="E623" s="14">
        <f>SALES_EDA!B610</f>
        <v>202249.67716942501</v>
      </c>
      <c r="F623" s="1"/>
      <c r="G623" s="1"/>
      <c r="H623" s="1"/>
      <c r="I623" s="1"/>
      <c r="J623" s="1"/>
    </row>
    <row r="624" spans="1:10" x14ac:dyDescent="0.3">
      <c r="A624" s="5">
        <f>SALES_EDA!A611</f>
        <v>42247.083333333336</v>
      </c>
      <c r="B624" s="15">
        <f>SALES_EDA!M611</f>
        <v>34.210447997025618</v>
      </c>
      <c r="C624" s="15">
        <f>SALES_EDA!T611</f>
        <v>37.530568344232655</v>
      </c>
      <c r="D624" s="6">
        <f>SALES_EDA!D611</f>
        <v>9721</v>
      </c>
      <c r="E624" s="14">
        <f>SALES_EDA!B611</f>
        <v>332559.764979086</v>
      </c>
      <c r="F624" s="1"/>
      <c r="G624" s="1"/>
      <c r="H624" s="1"/>
      <c r="I624" s="1"/>
      <c r="J624" s="1"/>
    </row>
    <row r="625" spans="1:10" x14ac:dyDescent="0.3">
      <c r="A625" s="5">
        <f>SALES_EDA!A612</f>
        <v>42248.083333333336</v>
      </c>
      <c r="B625" s="15">
        <f>SALES_EDA!M612</f>
        <v>34.183776457491163</v>
      </c>
      <c r="C625" s="15">
        <f>SALES_EDA!T612</f>
        <v>37.368664425257535</v>
      </c>
      <c r="D625" s="6">
        <f>SALES_EDA!D612</f>
        <v>11257</v>
      </c>
      <c r="E625" s="14">
        <f>SALES_EDA!B612</f>
        <v>384806.77158197801</v>
      </c>
      <c r="F625" s="1"/>
      <c r="G625" s="1"/>
      <c r="H625" s="1"/>
      <c r="I625" s="1"/>
      <c r="J625" s="1"/>
    </row>
    <row r="626" spans="1:10" x14ac:dyDescent="0.3">
      <c r="A626" s="5">
        <f>SALES_EDA!A613</f>
        <v>42249.083333333336</v>
      </c>
      <c r="B626" s="15">
        <f>SALES_EDA!M613</f>
        <v>34.228494385307464</v>
      </c>
      <c r="C626" s="15">
        <f>SALES_EDA!T613</f>
        <v>37.205499357873052</v>
      </c>
      <c r="D626" s="6">
        <f>SALES_EDA!D613</f>
        <v>10102</v>
      </c>
      <c r="E626" s="14">
        <f>SALES_EDA!B613</f>
        <v>345776.250280376</v>
      </c>
      <c r="F626" s="1"/>
      <c r="G626" s="1"/>
      <c r="H626" s="1"/>
      <c r="I626" s="1"/>
      <c r="J626" s="1"/>
    </row>
    <row r="627" spans="1:10" x14ac:dyDescent="0.3">
      <c r="A627" s="5">
        <f>SALES_EDA!A614</f>
        <v>42250.083333333336</v>
      </c>
      <c r="B627" s="15">
        <f>SALES_EDA!M614</f>
        <v>34.209006689437636</v>
      </c>
      <c r="C627" s="15">
        <f>SALES_EDA!T614</f>
        <v>37.055766649817272</v>
      </c>
      <c r="D627" s="6">
        <f>SALES_EDA!D614</f>
        <v>7938</v>
      </c>
      <c r="E627" s="14">
        <f>SALES_EDA!B614</f>
        <v>271551.09510075598</v>
      </c>
      <c r="F627" s="1"/>
      <c r="G627" s="1"/>
      <c r="H627" s="1"/>
      <c r="I627" s="1"/>
      <c r="J627" s="1"/>
    </row>
    <row r="628" spans="1:10" x14ac:dyDescent="0.3">
      <c r="A628" s="5">
        <f>SALES_EDA!A615</f>
        <v>42251.083333333336</v>
      </c>
      <c r="B628" s="15">
        <f>SALES_EDA!M615</f>
        <v>34.263305702705921</v>
      </c>
      <c r="C628" s="15">
        <f>SALES_EDA!T615</f>
        <v>36.906237165809237</v>
      </c>
      <c r="D628" s="6">
        <f>SALES_EDA!D615</f>
        <v>9936</v>
      </c>
      <c r="E628" s="14">
        <f>SALES_EDA!B615</f>
        <v>340440.20546208601</v>
      </c>
      <c r="F628" s="1"/>
      <c r="G628" s="1"/>
      <c r="H628" s="1"/>
      <c r="I628" s="1"/>
      <c r="J628" s="1"/>
    </row>
    <row r="629" spans="1:10" x14ac:dyDescent="0.3">
      <c r="A629" s="5">
        <f>SALES_EDA!A616</f>
        <v>42252.083333333336</v>
      </c>
      <c r="B629" s="15">
        <f>SALES_EDA!M616</f>
        <v>34.240038671628113</v>
      </c>
      <c r="C629" s="15">
        <f>SALES_EDA!T616</f>
        <v>36.758037100336274</v>
      </c>
      <c r="D629" s="6">
        <f>SALES_EDA!D616</f>
        <v>10643</v>
      </c>
      <c r="E629" s="14">
        <f>SALES_EDA!B616</f>
        <v>364416.73158213799</v>
      </c>
      <c r="F629" s="1"/>
      <c r="G629" s="1"/>
      <c r="H629" s="1"/>
      <c r="I629" s="1"/>
      <c r="J629" s="1"/>
    </row>
    <row r="630" spans="1:10" x14ac:dyDescent="0.3">
      <c r="A630" s="5">
        <f>SALES_EDA!A617</f>
        <v>42253.083333333336</v>
      </c>
      <c r="B630" s="15">
        <f>SALES_EDA!M617</f>
        <v>34.316584269086455</v>
      </c>
      <c r="C630" s="15">
        <f>SALES_EDA!T617</f>
        <v>36.603057997683429</v>
      </c>
      <c r="D630" s="6">
        <f>SALES_EDA!D617</f>
        <v>4800</v>
      </c>
      <c r="E630" s="14">
        <f>SALES_EDA!B617</f>
        <v>164719.604491615</v>
      </c>
      <c r="F630" s="1"/>
      <c r="G630" s="1"/>
      <c r="H630" s="1"/>
      <c r="I630" s="1"/>
      <c r="J630" s="1"/>
    </row>
    <row r="631" spans="1:10" x14ac:dyDescent="0.3">
      <c r="A631" s="5">
        <f>SALES_EDA!A618</f>
        <v>42254.083333333336</v>
      </c>
      <c r="B631" s="15">
        <f>SALES_EDA!M618</f>
        <v>34.223622675733743</v>
      </c>
      <c r="C631" s="15">
        <f>SALES_EDA!T618</f>
        <v>36.446442886716987</v>
      </c>
      <c r="D631" s="6">
        <f>SALES_EDA!D618</f>
        <v>5228</v>
      </c>
      <c r="E631" s="14">
        <f>SALES_EDA!B618</f>
        <v>178921.099348736</v>
      </c>
      <c r="F631" s="1"/>
      <c r="G631" s="1"/>
      <c r="H631" s="1"/>
      <c r="I631" s="1"/>
      <c r="J631" s="1"/>
    </row>
    <row r="632" spans="1:10" x14ac:dyDescent="0.3">
      <c r="A632" s="5">
        <f>SALES_EDA!A619</f>
        <v>42255.083333333336</v>
      </c>
      <c r="B632" s="15">
        <f>SALES_EDA!M619</f>
        <v>38.832595475563807</v>
      </c>
      <c r="C632" s="15">
        <f>SALES_EDA!T619</f>
        <v>36.446212483114017</v>
      </c>
      <c r="D632" s="6">
        <f>SALES_EDA!D619</f>
        <v>1810</v>
      </c>
      <c r="E632" s="14">
        <f>SALES_EDA!B619</f>
        <v>70286.997810770496</v>
      </c>
      <c r="F632" s="1"/>
      <c r="G632" s="1"/>
      <c r="H632" s="1"/>
      <c r="I632" s="1"/>
      <c r="J632" s="1"/>
    </row>
    <row r="633" spans="1:10" x14ac:dyDescent="0.3">
      <c r="A633" s="5">
        <f>SALES_EDA!A620</f>
        <v>42256.083333333336</v>
      </c>
      <c r="B633" s="15">
        <f>SALES_EDA!M620</f>
        <v>38.762711831570883</v>
      </c>
      <c r="C633" s="15">
        <f>SALES_EDA!T620</f>
        <v>36.451178563682923</v>
      </c>
      <c r="D633" s="6">
        <f>SALES_EDA!D620</f>
        <v>1961</v>
      </c>
      <c r="E633" s="14">
        <f>SALES_EDA!B620</f>
        <v>76013.6779017105</v>
      </c>
      <c r="F633" s="1"/>
      <c r="G633" s="1"/>
      <c r="H633" s="1"/>
      <c r="I633" s="1"/>
      <c r="J633" s="1"/>
    </row>
    <row r="634" spans="1:10" x14ac:dyDescent="0.3">
      <c r="A634" s="5">
        <f>SALES_EDA!A621</f>
        <v>42257.083333333336</v>
      </c>
      <c r="B634" s="15">
        <f>SALES_EDA!M621</f>
        <v>39.29122333339302</v>
      </c>
      <c r="C634" s="15">
        <f>SALES_EDA!T621</f>
        <v>36.477304241286106</v>
      </c>
      <c r="D634" s="6">
        <f>SALES_EDA!D621</f>
        <v>1232</v>
      </c>
      <c r="E634" s="14">
        <f>SALES_EDA!B621</f>
        <v>48406.7871467402</v>
      </c>
      <c r="F634" s="1"/>
      <c r="G634" s="1"/>
      <c r="H634" s="1"/>
      <c r="I634" s="1"/>
      <c r="J634" s="1"/>
    </row>
    <row r="635" spans="1:10" x14ac:dyDescent="0.3">
      <c r="A635" s="5">
        <f>SALES_EDA!A622</f>
        <v>42258.083333333336</v>
      </c>
      <c r="B635" s="15">
        <f>SALES_EDA!M622</f>
        <v>39.17047718358706</v>
      </c>
      <c r="C635" s="15">
        <f>SALES_EDA!T622</f>
        <v>36.510607060269457</v>
      </c>
      <c r="D635" s="6">
        <f>SALES_EDA!D622</f>
        <v>2194</v>
      </c>
      <c r="E635" s="14">
        <f>SALES_EDA!B622</f>
        <v>85940.026940790005</v>
      </c>
      <c r="F635" s="1"/>
      <c r="G635" s="1"/>
      <c r="H635" s="1"/>
      <c r="I635" s="1"/>
      <c r="J635" s="1"/>
    </row>
    <row r="636" spans="1:10" x14ac:dyDescent="0.3">
      <c r="A636" s="5">
        <f>SALES_EDA!A623</f>
        <v>42259.083333333336</v>
      </c>
      <c r="B636" s="15">
        <f>SALES_EDA!M623</f>
        <v>39.061777708771551</v>
      </c>
      <c r="C636" s="15">
        <f>SALES_EDA!T623</f>
        <v>36.541703062480352</v>
      </c>
      <c r="D636" s="6">
        <f>SALES_EDA!D623</f>
        <v>1469</v>
      </c>
      <c r="E636" s="14">
        <f>SALES_EDA!B623</f>
        <v>57381.751454185403</v>
      </c>
      <c r="F636" s="1"/>
      <c r="G636" s="1"/>
      <c r="H636" s="1"/>
      <c r="I636" s="1"/>
      <c r="J636" s="1"/>
    </row>
    <row r="637" spans="1:10" x14ac:dyDescent="0.3">
      <c r="A637" s="5">
        <f>SALES_EDA!A624</f>
        <v>42260.083333333336</v>
      </c>
      <c r="B637" s="15">
        <f>SALES_EDA!M624</f>
        <v>39.179489015989262</v>
      </c>
      <c r="C637" s="15">
        <f>SALES_EDA!T624</f>
        <v>36.574965411038541</v>
      </c>
      <c r="D637" s="6">
        <f>SALES_EDA!D624</f>
        <v>829</v>
      </c>
      <c r="E637" s="14">
        <f>SALES_EDA!B624</f>
        <v>32479.7963942551</v>
      </c>
      <c r="F637" s="1"/>
      <c r="G637" s="1"/>
      <c r="H637" s="1"/>
      <c r="I637" s="1"/>
      <c r="J637" s="1"/>
    </row>
    <row r="638" spans="1:10" x14ac:dyDescent="0.3">
      <c r="A638" s="5">
        <f>SALES_EDA!A625</f>
        <v>42261.083333333336</v>
      </c>
      <c r="B638" s="15">
        <f>SALES_EDA!M625</f>
        <v>39.247692952156058</v>
      </c>
      <c r="C638" s="15">
        <f>SALES_EDA!T625</f>
        <v>36.608906218550636</v>
      </c>
      <c r="D638" s="6">
        <f>SALES_EDA!D625</f>
        <v>1329</v>
      </c>
      <c r="E638" s="14">
        <f>SALES_EDA!B625</f>
        <v>52160.183933415399</v>
      </c>
      <c r="F638" s="1"/>
      <c r="G638" s="1"/>
      <c r="H638" s="1"/>
      <c r="I638" s="1"/>
      <c r="J638" s="1"/>
    </row>
    <row r="639" spans="1:10" x14ac:dyDescent="0.3">
      <c r="A639" s="5">
        <f>SALES_EDA!A626</f>
        <v>42262.083333333336</v>
      </c>
      <c r="B639" s="15">
        <f>SALES_EDA!M626</f>
        <v>39.232953514996304</v>
      </c>
      <c r="C639" s="15">
        <f>SALES_EDA!T626</f>
        <v>36.647359777950463</v>
      </c>
      <c r="D639" s="6">
        <f>SALES_EDA!D626</f>
        <v>1300</v>
      </c>
      <c r="E639" s="14">
        <f>SALES_EDA!B626</f>
        <v>51002.839569495198</v>
      </c>
      <c r="F639" s="1"/>
      <c r="G639" s="1"/>
      <c r="H639" s="1"/>
      <c r="I639" s="1"/>
      <c r="J639" s="1"/>
    </row>
    <row r="640" spans="1:10" x14ac:dyDescent="0.3">
      <c r="A640" s="5">
        <f>SALES_EDA!A627</f>
        <v>42263.083333333336</v>
      </c>
      <c r="B640" s="15">
        <f>SALES_EDA!M627</f>
        <v>39.06172827453441</v>
      </c>
      <c r="C640" s="15">
        <f>SALES_EDA!T627</f>
        <v>36.679317299264717</v>
      </c>
      <c r="D640" s="6">
        <f>SALES_EDA!D627</f>
        <v>773</v>
      </c>
      <c r="E640" s="14">
        <f>SALES_EDA!B627</f>
        <v>30194.715956215099</v>
      </c>
      <c r="F640" s="1"/>
      <c r="G640" s="1"/>
      <c r="H640" s="1"/>
      <c r="I640" s="1"/>
      <c r="J640" s="1"/>
    </row>
    <row r="641" spans="1:10" x14ac:dyDescent="0.3">
      <c r="A641" s="5">
        <f>SALES_EDA!A628</f>
        <v>42264.083333333336</v>
      </c>
      <c r="B641" s="15">
        <f>SALES_EDA!M628</f>
        <v>39.14634553362513</v>
      </c>
      <c r="C641" s="15">
        <f>SALES_EDA!T628</f>
        <v>36.712829898660139</v>
      </c>
      <c r="D641" s="6">
        <f>SALES_EDA!D628</f>
        <v>760</v>
      </c>
      <c r="E641" s="14">
        <f>SALES_EDA!B628</f>
        <v>29751.2226055551</v>
      </c>
      <c r="F641" s="1"/>
      <c r="G641" s="1"/>
      <c r="H641" s="1"/>
      <c r="I641" s="1"/>
      <c r="J641" s="1"/>
    </row>
    <row r="642" spans="1:10" x14ac:dyDescent="0.3">
      <c r="A642" s="5">
        <f>SALES_EDA!A629</f>
        <v>42265.083333333336</v>
      </c>
      <c r="B642" s="15">
        <f>SALES_EDA!M629</f>
        <v>39.033982585490257</v>
      </c>
      <c r="C642" s="15">
        <f>SALES_EDA!T629</f>
        <v>36.731722960829337</v>
      </c>
      <c r="D642" s="6">
        <f>SALES_EDA!D629</f>
        <v>1755</v>
      </c>
      <c r="E642" s="14">
        <f>SALES_EDA!B629</f>
        <v>68504.639437535399</v>
      </c>
      <c r="F642" s="1"/>
      <c r="G642" s="1"/>
      <c r="H642" s="1"/>
      <c r="I642" s="1"/>
      <c r="J642" s="1"/>
    </row>
    <row r="643" spans="1:10" x14ac:dyDescent="0.3">
      <c r="A643" s="5">
        <f>SALES_EDA!A630</f>
        <v>42266.083333333336</v>
      </c>
      <c r="B643" s="15">
        <f>SALES_EDA!M630</f>
        <v>39.069400768567668</v>
      </c>
      <c r="C643" s="15">
        <f>SALES_EDA!T630</f>
        <v>36.750731126323849</v>
      </c>
      <c r="D643" s="6">
        <f>SALES_EDA!D630</f>
        <v>1766</v>
      </c>
      <c r="E643" s="14">
        <f>SALES_EDA!B630</f>
        <v>68996.561757290503</v>
      </c>
      <c r="F643" s="1"/>
      <c r="G643" s="1"/>
      <c r="H643" s="1"/>
      <c r="I643" s="1"/>
      <c r="J643" s="1"/>
    </row>
    <row r="644" spans="1:10" x14ac:dyDescent="0.3">
      <c r="A644" s="5">
        <f>SALES_EDA!A631</f>
        <v>42267.083333333336</v>
      </c>
      <c r="B644" s="15">
        <f>SALES_EDA!M631</f>
        <v>38.827392170130054</v>
      </c>
      <c r="C644" s="15">
        <f>SALES_EDA!T631</f>
        <v>36.770612576377424</v>
      </c>
      <c r="D644" s="6">
        <f>SALES_EDA!D631</f>
        <v>1078</v>
      </c>
      <c r="E644" s="14">
        <f>SALES_EDA!B631</f>
        <v>41855.928759400202</v>
      </c>
      <c r="F644" s="1"/>
      <c r="G644" s="1"/>
      <c r="H644" s="1"/>
      <c r="I644" s="1"/>
      <c r="J644" s="1"/>
    </row>
    <row r="645" spans="1:10" x14ac:dyDescent="0.3">
      <c r="A645" s="5">
        <f>SALES_EDA!A632</f>
        <v>42268.083333333336</v>
      </c>
      <c r="B645" s="15">
        <f>SALES_EDA!M632</f>
        <v>39.415895450089145</v>
      </c>
      <c r="C645" s="15">
        <f>SALES_EDA!T632</f>
        <v>36.811518320712267</v>
      </c>
      <c r="D645" s="6">
        <f>SALES_EDA!D632</f>
        <v>1124</v>
      </c>
      <c r="E645" s="14">
        <f>SALES_EDA!B632</f>
        <v>44303.4664859002</v>
      </c>
      <c r="F645" s="1"/>
      <c r="G645" s="1"/>
      <c r="H645" s="1"/>
      <c r="I645" s="1"/>
      <c r="J645" s="1"/>
    </row>
    <row r="646" spans="1:10" x14ac:dyDescent="0.3">
      <c r="A646" s="5">
        <f>SALES_EDA!A633</f>
        <v>42269.083333333336</v>
      </c>
      <c r="B646" s="15">
        <f>SALES_EDA!M633</f>
        <v>39.424110093748055</v>
      </c>
      <c r="C646" s="15">
        <f>SALES_EDA!T633</f>
        <v>36.831066184419107</v>
      </c>
      <c r="D646" s="6">
        <f>SALES_EDA!D633</f>
        <v>1182</v>
      </c>
      <c r="E646" s="14">
        <f>SALES_EDA!B633</f>
        <v>46599.298130810203</v>
      </c>
      <c r="F646" s="1"/>
      <c r="G646" s="1"/>
      <c r="H646" s="1"/>
      <c r="I646" s="1"/>
      <c r="J646" s="1"/>
    </row>
    <row r="647" spans="1:10" x14ac:dyDescent="0.3">
      <c r="A647" s="5">
        <f>SALES_EDA!A634</f>
        <v>42270.083333333336</v>
      </c>
      <c r="B647" s="15">
        <f>SALES_EDA!M634</f>
        <v>33.606109306133689</v>
      </c>
      <c r="C647" s="15">
        <f>SALES_EDA!T634</f>
        <v>36.654526129982081</v>
      </c>
      <c r="D647" s="6">
        <f>SALES_EDA!D634</f>
        <v>3725</v>
      </c>
      <c r="E647" s="14">
        <f>SALES_EDA!B634</f>
        <v>125182.757165348</v>
      </c>
      <c r="F647" s="1"/>
      <c r="G647" s="1"/>
      <c r="H647" s="1"/>
      <c r="I647" s="1"/>
      <c r="J647" s="1"/>
    </row>
    <row r="648" spans="1:10" x14ac:dyDescent="0.3">
      <c r="A648" s="5">
        <f>SALES_EDA!A635</f>
        <v>42271.083333333336</v>
      </c>
      <c r="B648" s="15">
        <f>SALES_EDA!M635</f>
        <v>33.400891594304987</v>
      </c>
      <c r="C648" s="15">
        <f>SALES_EDA!T635</f>
        <v>36.626991058052077</v>
      </c>
      <c r="D648" s="6">
        <f>SALES_EDA!D635</f>
        <v>4492</v>
      </c>
      <c r="E648" s="14">
        <f>SALES_EDA!B635</f>
        <v>150036.805041618</v>
      </c>
      <c r="F648" s="1"/>
      <c r="G648" s="1"/>
      <c r="H648" s="1"/>
      <c r="I648" s="1"/>
      <c r="J648" s="1"/>
    </row>
    <row r="649" spans="1:10" x14ac:dyDescent="0.3">
      <c r="A649" s="5">
        <f>SALES_EDA!A636</f>
        <v>42272.083333333336</v>
      </c>
      <c r="B649" s="15">
        <f>SALES_EDA!M636</f>
        <v>33.366971164520308</v>
      </c>
      <c r="C649" s="15">
        <f>SALES_EDA!T636</f>
        <v>36.5964779131059</v>
      </c>
      <c r="D649" s="6">
        <f>SALES_EDA!D636</f>
        <v>11030</v>
      </c>
      <c r="E649" s="14">
        <f>SALES_EDA!B636</f>
        <v>368037.69194465899</v>
      </c>
      <c r="F649" s="1"/>
      <c r="G649" s="1"/>
      <c r="H649" s="1"/>
      <c r="I649" s="1"/>
      <c r="J649" s="1"/>
    </row>
    <row r="650" spans="1:10" x14ac:dyDescent="0.3">
      <c r="A650" s="5">
        <f>SALES_EDA!A637</f>
        <v>42273.083333333336</v>
      </c>
      <c r="B650" s="15">
        <f>SALES_EDA!M637</f>
        <v>33.370026412336628</v>
      </c>
      <c r="C650" s="15">
        <f>SALES_EDA!T637</f>
        <v>36.566580588840324</v>
      </c>
      <c r="D650" s="6">
        <f>SALES_EDA!D637</f>
        <v>10528</v>
      </c>
      <c r="E650" s="14">
        <f>SALES_EDA!B637</f>
        <v>351319.63806908001</v>
      </c>
      <c r="F650" s="1"/>
      <c r="G650" s="1"/>
      <c r="H650" s="1"/>
      <c r="I650" s="1"/>
      <c r="J650" s="1"/>
    </row>
    <row r="651" spans="1:10" x14ac:dyDescent="0.3">
      <c r="A651" s="5">
        <f>SALES_EDA!A638</f>
        <v>42274.083333333336</v>
      </c>
      <c r="B651" s="15">
        <f>SALES_EDA!M638</f>
        <v>33.358516173402251</v>
      </c>
      <c r="C651" s="15">
        <f>SALES_EDA!T638</f>
        <v>36.538080642518253</v>
      </c>
      <c r="D651" s="6">
        <f>SALES_EDA!D638</f>
        <v>4895</v>
      </c>
      <c r="E651" s="14">
        <f>SALES_EDA!B638</f>
        <v>163289.936668804</v>
      </c>
      <c r="F651" s="1"/>
      <c r="G651" s="1"/>
      <c r="H651" s="1"/>
      <c r="I651" s="1"/>
      <c r="J651" s="1"/>
    </row>
    <row r="652" spans="1:10" x14ac:dyDescent="0.3">
      <c r="A652" s="5">
        <f>SALES_EDA!A639</f>
        <v>42275.083333333336</v>
      </c>
      <c r="B652" s="15">
        <f>SALES_EDA!M639</f>
        <v>33.372807515310491</v>
      </c>
      <c r="C652" s="15">
        <f>SALES_EDA!T639</f>
        <v>36.510420530990309</v>
      </c>
      <c r="D652" s="6">
        <f>SALES_EDA!D639</f>
        <v>5720</v>
      </c>
      <c r="E652" s="14">
        <f>SALES_EDA!B639</f>
        <v>190892.45898757601</v>
      </c>
      <c r="F652" s="1"/>
      <c r="G652" s="1"/>
      <c r="H652" s="1"/>
      <c r="I652" s="1"/>
      <c r="J652" s="1"/>
    </row>
    <row r="653" spans="1:10" x14ac:dyDescent="0.3">
      <c r="A653" s="5">
        <f>SALES_EDA!A640</f>
        <v>42276.083333333336</v>
      </c>
      <c r="B653" s="15">
        <f>SALES_EDA!M640</f>
        <v>33.368034810113805</v>
      </c>
      <c r="C653" s="15">
        <f>SALES_EDA!T640</f>
        <v>36.482546990558369</v>
      </c>
      <c r="D653" s="6">
        <f>SALES_EDA!D640</f>
        <v>4288</v>
      </c>
      <c r="E653" s="14">
        <f>SALES_EDA!B640</f>
        <v>143082.133265768</v>
      </c>
      <c r="F653" s="1"/>
      <c r="G653" s="1"/>
      <c r="H653" s="1"/>
      <c r="I653" s="1"/>
      <c r="J653" s="1"/>
    </row>
    <row r="654" spans="1:10" x14ac:dyDescent="0.3">
      <c r="A654" s="5">
        <f>SALES_EDA!A641</f>
        <v>42277.083333333336</v>
      </c>
      <c r="B654" s="15">
        <f>SALES_EDA!M641</f>
        <v>33.379633275773138</v>
      </c>
      <c r="C654" s="15">
        <f>SALES_EDA!T641</f>
        <v>36.454853166516614</v>
      </c>
      <c r="D654" s="6">
        <f>SALES_EDA!D641</f>
        <v>9693</v>
      </c>
      <c r="E654" s="14">
        <f>SALES_EDA!B641</f>
        <v>323548.78534206899</v>
      </c>
      <c r="F654" s="1"/>
      <c r="G654" s="1"/>
      <c r="H654" s="1"/>
      <c r="I654" s="1"/>
      <c r="J654" s="1"/>
    </row>
    <row r="655" spans="1:10" x14ac:dyDescent="0.3">
      <c r="A655" s="5">
        <f>SALES_EDA!A642</f>
        <v>42278.083333333336</v>
      </c>
      <c r="B655" s="15">
        <f>SALES_EDA!M642</f>
        <v>33.345406809693081</v>
      </c>
      <c r="C655" s="15">
        <f>SALES_EDA!T642</f>
        <v>36.426907511590002</v>
      </c>
      <c r="D655" s="6">
        <f>SALES_EDA!D642</f>
        <v>12065</v>
      </c>
      <c r="E655" s="14">
        <f>SALES_EDA!B642</f>
        <v>402312.333158947</v>
      </c>
      <c r="F655" s="1"/>
      <c r="G655" s="1"/>
      <c r="H655" s="1"/>
      <c r="I655" s="1"/>
      <c r="J655" s="1"/>
    </row>
    <row r="656" spans="1:10" x14ac:dyDescent="0.3">
      <c r="A656" s="5">
        <f>SALES_EDA!A643</f>
        <v>42279.083333333336</v>
      </c>
      <c r="B656" s="15">
        <f>SALES_EDA!M643</f>
        <v>33.478072363913419</v>
      </c>
      <c r="C656" s="15">
        <f>SALES_EDA!T643</f>
        <v>36.401893444210216</v>
      </c>
      <c r="D656" s="6">
        <f>SALES_EDA!D643</f>
        <v>11758</v>
      </c>
      <c r="E656" s="14">
        <f>SALES_EDA!B643</f>
        <v>393635.17485489399</v>
      </c>
      <c r="F656" s="1"/>
      <c r="G656" s="1"/>
      <c r="H656" s="1"/>
      <c r="I656" s="1"/>
      <c r="J656" s="1"/>
    </row>
    <row r="657" spans="1:10" x14ac:dyDescent="0.3">
      <c r="A657" s="5">
        <f>SALES_EDA!A644</f>
        <v>42280.083333333336</v>
      </c>
      <c r="B657" s="15">
        <f>SALES_EDA!M644</f>
        <v>33.39502961777147</v>
      </c>
      <c r="C657" s="15">
        <f>SALES_EDA!T644</f>
        <v>36.374760875154685</v>
      </c>
      <c r="D657" s="6">
        <f>SALES_EDA!D644</f>
        <v>13508</v>
      </c>
      <c r="E657" s="14">
        <f>SALES_EDA!B644</f>
        <v>451100.06007685699</v>
      </c>
      <c r="F657" s="1"/>
      <c r="G657" s="1"/>
      <c r="H657" s="1"/>
      <c r="I657" s="1"/>
      <c r="J657" s="1"/>
    </row>
    <row r="658" spans="1:10" x14ac:dyDescent="0.3">
      <c r="A658" s="5">
        <f>SALES_EDA!A645</f>
        <v>42281.083333333336</v>
      </c>
      <c r="B658" s="15">
        <f>SALES_EDA!M645</f>
        <v>33.344720608270336</v>
      </c>
      <c r="C658" s="15">
        <f>SALES_EDA!T645</f>
        <v>36.344141372006817</v>
      </c>
      <c r="D658" s="6">
        <f>SALES_EDA!D645</f>
        <v>6085</v>
      </c>
      <c r="E658" s="14">
        <f>SALES_EDA!B645</f>
        <v>202902.62490132501</v>
      </c>
      <c r="F658" s="1"/>
      <c r="G658" s="1"/>
      <c r="H658" s="1"/>
      <c r="I658" s="1"/>
      <c r="J658" s="1"/>
    </row>
    <row r="659" spans="1:10" x14ac:dyDescent="0.3">
      <c r="A659" s="5">
        <f>SALES_EDA!A646</f>
        <v>42282.083333333336</v>
      </c>
      <c r="B659" s="15">
        <f>SALES_EDA!M646</f>
        <v>33.366294332376981</v>
      </c>
      <c r="C659" s="15">
        <f>SALES_EDA!T646</f>
        <v>36.315016560698453</v>
      </c>
      <c r="D659" s="6">
        <f>SALES_EDA!D646</f>
        <v>8828</v>
      </c>
      <c r="E659" s="14">
        <f>SALES_EDA!B646</f>
        <v>294557.64636622398</v>
      </c>
      <c r="F659" s="1"/>
      <c r="G659" s="1"/>
      <c r="H659" s="1"/>
      <c r="I659" s="1"/>
      <c r="J659" s="1"/>
    </row>
    <row r="660" spans="1:10" x14ac:dyDescent="0.3">
      <c r="A660" s="5">
        <f>SALES_EDA!A647</f>
        <v>42283.083333333336</v>
      </c>
      <c r="B660" s="15">
        <f>SALES_EDA!M647</f>
        <v>33.396372550863475</v>
      </c>
      <c r="C660" s="15">
        <f>SALES_EDA!T647</f>
        <v>36.284342836757681</v>
      </c>
      <c r="D660" s="6">
        <f>SALES_EDA!D647</f>
        <v>6636</v>
      </c>
      <c r="E660" s="14">
        <f>SALES_EDA!B647</f>
        <v>221618.32824753001</v>
      </c>
      <c r="F660" s="1"/>
      <c r="G660" s="1"/>
      <c r="H660" s="1"/>
      <c r="I660" s="1"/>
      <c r="J660" s="1"/>
    </row>
    <row r="661" spans="1:10" x14ac:dyDescent="0.3">
      <c r="A661" s="5">
        <f>SALES_EDA!A648</f>
        <v>42284.083333333336</v>
      </c>
      <c r="B661" s="15">
        <f>SALES_EDA!M648</f>
        <v>39.437967003813441</v>
      </c>
      <c r="C661" s="15">
        <f>SALES_EDA!T648</f>
        <v>36.458154314360335</v>
      </c>
      <c r="D661" s="6">
        <f>SALES_EDA!D648</f>
        <v>1622</v>
      </c>
      <c r="E661" s="14">
        <f>SALES_EDA!B648</f>
        <v>63968.382480185399</v>
      </c>
      <c r="F661" s="1"/>
      <c r="G661" s="1"/>
      <c r="H661" s="1"/>
      <c r="I661" s="1"/>
      <c r="J661" s="1"/>
    </row>
    <row r="662" spans="1:10" x14ac:dyDescent="0.3">
      <c r="A662" s="5">
        <f>SALES_EDA!A649</f>
        <v>42285.083333333336</v>
      </c>
      <c r="B662" s="15">
        <f>SALES_EDA!M649</f>
        <v>39.424302053756882</v>
      </c>
      <c r="C662" s="15">
        <f>SALES_EDA!T649</f>
        <v>36.477877866966779</v>
      </c>
      <c r="D662" s="6">
        <f>SALES_EDA!D649</f>
        <v>1512</v>
      </c>
      <c r="E662" s="14">
        <f>SALES_EDA!B649</f>
        <v>59609.544705280401</v>
      </c>
      <c r="F662" s="1"/>
      <c r="G662" s="1"/>
      <c r="H662" s="1"/>
      <c r="I662" s="1"/>
      <c r="J662" s="1"/>
    </row>
    <row r="663" spans="1:10" x14ac:dyDescent="0.3">
      <c r="A663" s="5">
        <f>SALES_EDA!A650</f>
        <v>42286.083333333336</v>
      </c>
      <c r="B663" s="15">
        <f>SALES_EDA!M650</f>
        <v>39.423311421524758</v>
      </c>
      <c r="C663" s="15">
        <f>SALES_EDA!T650</f>
        <v>36.49989785329857</v>
      </c>
      <c r="D663" s="6">
        <f>SALES_EDA!D650</f>
        <v>3211</v>
      </c>
      <c r="E663" s="14">
        <f>SALES_EDA!B650</f>
        <v>126588.252974516</v>
      </c>
      <c r="F663" s="1"/>
      <c r="G663" s="1"/>
      <c r="H663" s="1"/>
      <c r="I663" s="1"/>
      <c r="J663" s="1"/>
    </row>
    <row r="664" spans="1:10" x14ac:dyDescent="0.3">
      <c r="A664" s="5">
        <f>SALES_EDA!A651</f>
        <v>42287.083333333336</v>
      </c>
      <c r="B664" s="15">
        <f>SALES_EDA!M651</f>
        <v>39.432009084781363</v>
      </c>
      <c r="C664" s="15">
        <f>SALES_EDA!T651</f>
        <v>36.504590711678176</v>
      </c>
      <c r="D664" s="6">
        <f>SALES_EDA!D651</f>
        <v>3037</v>
      </c>
      <c r="E664" s="14">
        <f>SALES_EDA!B651</f>
        <v>119755.01159048099</v>
      </c>
      <c r="F664" s="1"/>
      <c r="G664" s="1"/>
      <c r="H664" s="1"/>
      <c r="I664" s="1"/>
      <c r="J664" s="1"/>
    </row>
    <row r="665" spans="1:10" x14ac:dyDescent="0.3">
      <c r="A665" s="5">
        <f>SALES_EDA!A652</f>
        <v>42288.083333333336</v>
      </c>
      <c r="B665" s="15">
        <f>SALES_EDA!M652</f>
        <v>39.432287419018131</v>
      </c>
      <c r="C665" s="15">
        <f>SALES_EDA!T652</f>
        <v>36.51331771952588</v>
      </c>
      <c r="D665" s="6">
        <f>SALES_EDA!D652</f>
        <v>1456</v>
      </c>
      <c r="E665" s="14">
        <f>SALES_EDA!B652</f>
        <v>57413.410482090403</v>
      </c>
      <c r="F665" s="1"/>
      <c r="G665" s="1"/>
      <c r="H665" s="1"/>
      <c r="I665" s="1"/>
      <c r="J665" s="1"/>
    </row>
    <row r="666" spans="1:10" x14ac:dyDescent="0.3">
      <c r="A666" s="5">
        <f>SALES_EDA!A653</f>
        <v>42289.083333333336</v>
      </c>
      <c r="B666" s="15">
        <f>SALES_EDA!M653</f>
        <v>39.419206101437133</v>
      </c>
      <c r="C666" s="15">
        <f>SALES_EDA!T653</f>
        <v>36.525231999281395</v>
      </c>
      <c r="D666" s="6">
        <f>SALES_EDA!D653</f>
        <v>1465</v>
      </c>
      <c r="E666" s="14">
        <f>SALES_EDA!B653</f>
        <v>57749.136938605399</v>
      </c>
      <c r="F666" s="1"/>
      <c r="G666" s="1"/>
      <c r="H666" s="1"/>
      <c r="I666" s="1"/>
      <c r="J666" s="1"/>
    </row>
    <row r="667" spans="1:10" x14ac:dyDescent="0.3">
      <c r="A667" s="5">
        <f>SALES_EDA!A654</f>
        <v>42290.083333333336</v>
      </c>
      <c r="B667" s="15">
        <f>SALES_EDA!M654</f>
        <v>39.431060937677017</v>
      </c>
      <c r="C667" s="15">
        <f>SALES_EDA!T654</f>
        <v>36.53361773000433</v>
      </c>
      <c r="D667" s="6">
        <f>SALES_EDA!D654</f>
        <v>1018</v>
      </c>
      <c r="E667" s="14">
        <f>SALES_EDA!B654</f>
        <v>40140.820034555203</v>
      </c>
      <c r="F667" s="1"/>
      <c r="G667" s="1"/>
      <c r="H667" s="1"/>
      <c r="I667" s="1"/>
      <c r="J667" s="1"/>
    </row>
    <row r="668" spans="1:10" x14ac:dyDescent="0.3">
      <c r="A668" s="5">
        <f>SALES_EDA!A655</f>
        <v>42291.083333333336</v>
      </c>
      <c r="B668" s="15">
        <f>SALES_EDA!M655</f>
        <v>39.4353433316357</v>
      </c>
      <c r="C668" s="15">
        <f>SALES_EDA!T655</f>
        <v>36.539872742653657</v>
      </c>
      <c r="D668" s="6">
        <f>SALES_EDA!D655</f>
        <v>1070</v>
      </c>
      <c r="E668" s="14">
        <f>SALES_EDA!B655</f>
        <v>42195.817364850198</v>
      </c>
      <c r="F668" s="1"/>
      <c r="G668" s="1"/>
      <c r="H668" s="1"/>
      <c r="I668" s="1"/>
      <c r="J668" s="1"/>
    </row>
    <row r="669" spans="1:10" x14ac:dyDescent="0.3">
      <c r="A669" s="5">
        <f>SALES_EDA!A656</f>
        <v>42292.083333333336</v>
      </c>
      <c r="B669" s="15">
        <f>SALES_EDA!M656</f>
        <v>39.418421124090202</v>
      </c>
      <c r="C669" s="15">
        <f>SALES_EDA!T656</f>
        <v>36.54605499629011</v>
      </c>
      <c r="D669" s="6">
        <f>SALES_EDA!D656</f>
        <v>1357</v>
      </c>
      <c r="E669" s="14">
        <f>SALES_EDA!B656</f>
        <v>53490.797465390402</v>
      </c>
      <c r="F669" s="1"/>
      <c r="G669" s="1"/>
      <c r="H669" s="1"/>
      <c r="I669" s="1"/>
      <c r="J669" s="1"/>
    </row>
    <row r="670" spans="1:10" x14ac:dyDescent="0.3">
      <c r="A670" s="5">
        <f>SALES_EDA!A657</f>
        <v>42293.083333333336</v>
      </c>
      <c r="B670" s="15">
        <f>SALES_EDA!M657</f>
        <v>39.433920215507833</v>
      </c>
      <c r="C670" s="15">
        <f>SALES_EDA!T657</f>
        <v>36.558461394322563</v>
      </c>
      <c r="D670" s="6">
        <f>SALES_EDA!D657</f>
        <v>2810</v>
      </c>
      <c r="E670" s="14">
        <f>SALES_EDA!B657</f>
        <v>110809.315805577</v>
      </c>
      <c r="F670" s="1"/>
      <c r="G670" s="1"/>
      <c r="H670" s="1"/>
      <c r="I670" s="1"/>
      <c r="J670" s="1"/>
    </row>
    <row r="671" spans="1:10" x14ac:dyDescent="0.3">
      <c r="A671" s="5">
        <f>SALES_EDA!A658</f>
        <v>42294.083333333336</v>
      </c>
      <c r="B671" s="15">
        <f>SALES_EDA!M658</f>
        <v>39.42276898890173</v>
      </c>
      <c r="C671" s="15">
        <f>SALES_EDA!T658</f>
        <v>36.56767550949845</v>
      </c>
      <c r="D671" s="6">
        <f>SALES_EDA!D658</f>
        <v>2829</v>
      </c>
      <c r="E671" s="14">
        <f>SALES_EDA!B658</f>
        <v>111527.013469603</v>
      </c>
      <c r="F671" s="1"/>
      <c r="G671" s="1"/>
      <c r="H671" s="1"/>
      <c r="I671" s="1"/>
      <c r="J671" s="1"/>
    </row>
    <row r="672" spans="1:10" x14ac:dyDescent="0.3">
      <c r="A672" s="5">
        <f>SALES_EDA!A659</f>
        <v>42295.083333333336</v>
      </c>
      <c r="B672" s="15">
        <f>SALES_EDA!M659</f>
        <v>39.425272688695053</v>
      </c>
      <c r="C672" s="15">
        <f>SALES_EDA!T659</f>
        <v>36.580718512938603</v>
      </c>
      <c r="D672" s="6">
        <f>SALES_EDA!D659</f>
        <v>1517</v>
      </c>
      <c r="E672" s="14">
        <f>SALES_EDA!B659</f>
        <v>59808.138668750398</v>
      </c>
      <c r="F672" s="1"/>
      <c r="G672" s="1"/>
      <c r="H672" s="1"/>
      <c r="I672" s="1"/>
      <c r="J672" s="1"/>
    </row>
    <row r="673" spans="1:10" x14ac:dyDescent="0.3">
      <c r="A673" s="5">
        <f>SALES_EDA!A660</f>
        <v>42296.083333333336</v>
      </c>
      <c r="B673" s="15">
        <f>SALES_EDA!M660</f>
        <v>39.432613458245456</v>
      </c>
      <c r="C673" s="15">
        <f>SALES_EDA!T660</f>
        <v>36.59282560259453</v>
      </c>
      <c r="D673" s="6">
        <f>SALES_EDA!D660</f>
        <v>1399</v>
      </c>
      <c r="E673" s="14">
        <f>SALES_EDA!B660</f>
        <v>55166.226228085397</v>
      </c>
      <c r="F673" s="1"/>
      <c r="G673" s="1"/>
      <c r="H673" s="1"/>
      <c r="I673" s="1"/>
      <c r="J673" s="1"/>
    </row>
    <row r="674" spans="1:10" x14ac:dyDescent="0.3">
      <c r="A674" s="5">
        <f>SALES_EDA!A661</f>
        <v>42297.083333333336</v>
      </c>
      <c r="B674" s="15">
        <f>SALES_EDA!M661</f>
        <v>39.413946084306659</v>
      </c>
      <c r="C674" s="15">
        <f>SALES_EDA!T661</f>
        <v>36.612377399733752</v>
      </c>
      <c r="D674" s="6">
        <f>SALES_EDA!D661</f>
        <v>1067</v>
      </c>
      <c r="E674" s="14">
        <f>SALES_EDA!B661</f>
        <v>42054.680471955202</v>
      </c>
      <c r="F674" s="1"/>
      <c r="G674" s="1"/>
      <c r="H674" s="1"/>
      <c r="I674" s="1"/>
      <c r="J674" s="1"/>
    </row>
    <row r="675" spans="1:10" x14ac:dyDescent="0.3">
      <c r="A675" s="5">
        <f>SALES_EDA!A662</f>
        <v>42298.083333333336</v>
      </c>
      <c r="B675" s="15">
        <f>SALES_EDA!M662</f>
        <v>39.440249161851725</v>
      </c>
      <c r="C675" s="15">
        <f>SALES_EDA!T662</f>
        <v>36.61318919012583</v>
      </c>
      <c r="D675" s="6">
        <f>SALES_EDA!D662</f>
        <v>1361</v>
      </c>
      <c r="E675" s="14">
        <f>SALES_EDA!B662</f>
        <v>53678.179109280201</v>
      </c>
      <c r="F675" s="1"/>
      <c r="G675" s="1"/>
      <c r="H675" s="1"/>
      <c r="I675" s="1"/>
      <c r="J675" s="1"/>
    </row>
    <row r="676" spans="1:10" x14ac:dyDescent="0.3">
      <c r="A676" s="5">
        <f>SALES_EDA!A663</f>
        <v>42299.083333333336</v>
      </c>
      <c r="B676" s="15">
        <f>SALES_EDA!M663</f>
        <v>39.415199889432976</v>
      </c>
      <c r="C676" s="15">
        <f>SALES_EDA!T663</f>
        <v>36.612892183315331</v>
      </c>
      <c r="D676" s="6">
        <f>SALES_EDA!D663</f>
        <v>1419</v>
      </c>
      <c r="E676" s="14">
        <f>SALES_EDA!B663</f>
        <v>55930.168643105397</v>
      </c>
      <c r="F676" s="1"/>
      <c r="G676" s="1"/>
      <c r="H676" s="1"/>
      <c r="I676" s="1"/>
      <c r="J676" s="1"/>
    </row>
    <row r="677" spans="1:10" x14ac:dyDescent="0.3">
      <c r="A677" s="5">
        <f>SALES_EDA!A664</f>
        <v>42300.083333333336</v>
      </c>
      <c r="B677" s="15">
        <f>SALES_EDA!M664</f>
        <v>36.844704772523599</v>
      </c>
      <c r="C677" s="15">
        <f>SALES_EDA!T664</f>
        <v>36.720845365528326</v>
      </c>
      <c r="D677" s="6">
        <f>SALES_EDA!D664</f>
        <v>5042</v>
      </c>
      <c r="E677" s="14">
        <f>SALES_EDA!B664</f>
        <v>185771.00146306399</v>
      </c>
      <c r="F677" s="1"/>
      <c r="G677" s="1"/>
      <c r="H677" s="1"/>
      <c r="I677" s="1"/>
      <c r="J677" s="1"/>
    </row>
    <row r="678" spans="1:10" x14ac:dyDescent="0.3">
      <c r="A678" s="5">
        <f>SALES_EDA!A665</f>
        <v>42301.083333333336</v>
      </c>
      <c r="B678" s="15">
        <f>SALES_EDA!M665</f>
        <v>36.833078172080903</v>
      </c>
      <c r="C678" s="15">
        <f>SALES_EDA!T665</f>
        <v>36.835251584787521</v>
      </c>
      <c r="D678" s="6">
        <f>SALES_EDA!D665</f>
        <v>6872</v>
      </c>
      <c r="E678" s="14">
        <f>SALES_EDA!B665</f>
        <v>253116.91319853999</v>
      </c>
      <c r="F678" s="1"/>
      <c r="G678" s="1"/>
      <c r="H678" s="1"/>
      <c r="I678" s="1"/>
      <c r="J678" s="1"/>
    </row>
    <row r="679" spans="1:10" x14ac:dyDescent="0.3">
      <c r="A679" s="5">
        <f>SALES_EDA!A666</f>
        <v>42302.083333333336</v>
      </c>
      <c r="B679" s="15">
        <f>SALES_EDA!M666</f>
        <v>36.860924083950593</v>
      </c>
      <c r="C679" s="15">
        <f>SALES_EDA!T666</f>
        <v>36.951716682101861</v>
      </c>
      <c r="D679" s="6">
        <f>SALES_EDA!D666</f>
        <v>3218</v>
      </c>
      <c r="E679" s="14">
        <f>SALES_EDA!B666</f>
        <v>118618.453702153</v>
      </c>
      <c r="F679" s="1"/>
      <c r="G679" s="1"/>
      <c r="H679" s="1"/>
      <c r="I679" s="1"/>
      <c r="J679" s="1"/>
    </row>
    <row r="680" spans="1:10" x14ac:dyDescent="0.3">
      <c r="A680" s="5">
        <f>SALES_EDA!A667</f>
        <v>42303.083333333336</v>
      </c>
      <c r="B680" s="15">
        <f>SALES_EDA!M667</f>
        <v>36.845170015648044</v>
      </c>
      <c r="C680" s="15">
        <f>SALES_EDA!T667</f>
        <v>37.06755480221225</v>
      </c>
      <c r="D680" s="6">
        <f>SALES_EDA!D667</f>
        <v>3347</v>
      </c>
      <c r="E680" s="14">
        <f>SALES_EDA!B667</f>
        <v>123320.784042374</v>
      </c>
      <c r="F680" s="1"/>
      <c r="G680" s="1"/>
      <c r="H680" s="1"/>
      <c r="I680" s="1"/>
      <c r="J680" s="1"/>
    </row>
    <row r="681" spans="1:10" x14ac:dyDescent="0.3">
      <c r="A681" s="5">
        <f>SALES_EDA!A668</f>
        <v>42304.083333333336</v>
      </c>
      <c r="B681" s="15">
        <f>SALES_EDA!M668</f>
        <v>36.843335604470568</v>
      </c>
      <c r="C681" s="15">
        <f>SALES_EDA!T668</f>
        <v>37.183715449914537</v>
      </c>
      <c r="D681" s="6">
        <f>SALES_EDA!D668</f>
        <v>3177</v>
      </c>
      <c r="E681" s="14">
        <f>SALES_EDA!B668</f>
        <v>117051.277215403</v>
      </c>
      <c r="F681" s="1"/>
      <c r="G681" s="1"/>
      <c r="H681" s="1"/>
      <c r="I681" s="1"/>
      <c r="J681" s="1"/>
    </row>
    <row r="682" spans="1:10" x14ac:dyDescent="0.3">
      <c r="A682" s="5">
        <f>SALES_EDA!A669</f>
        <v>42305.083333333336</v>
      </c>
      <c r="B682" s="15">
        <f>SALES_EDA!M669</f>
        <v>35.150041717100621</v>
      </c>
      <c r="C682" s="15">
        <f>SALES_EDA!T669</f>
        <v>37.242956589974206</v>
      </c>
      <c r="D682" s="6">
        <f>SALES_EDA!D669</f>
        <v>4532</v>
      </c>
      <c r="E682" s="14">
        <f>SALES_EDA!B669</f>
        <v>159299.98906190001</v>
      </c>
      <c r="F682" s="1"/>
      <c r="G682" s="1"/>
      <c r="H682" s="1"/>
      <c r="I682" s="1"/>
      <c r="J682" s="1"/>
    </row>
    <row r="683" spans="1:10" x14ac:dyDescent="0.3">
      <c r="A683" s="5">
        <f>SALES_EDA!A670</f>
        <v>42306.083333333336</v>
      </c>
      <c r="B683" s="15">
        <f>SALES_EDA!M670</f>
        <v>36.845376003683995</v>
      </c>
      <c r="C683" s="15">
        <f>SALES_EDA!T670</f>
        <v>37.358867963093203</v>
      </c>
      <c r="D683" s="6">
        <f>SALES_EDA!D670</f>
        <v>3231</v>
      </c>
      <c r="E683" s="14">
        <f>SALES_EDA!B670</f>
        <v>119047.409867903</v>
      </c>
      <c r="F683" s="1"/>
      <c r="G683" s="1"/>
      <c r="H683" s="1"/>
      <c r="I683" s="1"/>
      <c r="J683" s="1"/>
    </row>
    <row r="684" spans="1:10" x14ac:dyDescent="0.3">
      <c r="A684" s="5">
        <f>SALES_EDA!A671</f>
        <v>42307.083333333336</v>
      </c>
      <c r="B684" s="15">
        <f>SALES_EDA!M671</f>
        <v>36.875174534786574</v>
      </c>
      <c r="C684" s="15">
        <f>SALES_EDA!T671</f>
        <v>37.475386005060315</v>
      </c>
      <c r="D684" s="6">
        <f>SALES_EDA!D671</f>
        <v>7731</v>
      </c>
      <c r="E684" s="14">
        <f>SALES_EDA!B671</f>
        <v>285081.97432843503</v>
      </c>
      <c r="F684" s="1"/>
      <c r="G684" s="1"/>
      <c r="H684" s="1"/>
      <c r="I684" s="1"/>
      <c r="J684" s="1"/>
    </row>
    <row r="685" spans="1:10" x14ac:dyDescent="0.3">
      <c r="A685" s="5">
        <f>SALES_EDA!A672</f>
        <v>42308.083333333336</v>
      </c>
      <c r="B685" s="15">
        <f>SALES_EDA!M672</f>
        <v>35.13241949978211</v>
      </c>
      <c r="C685" s="15">
        <f>SALES_EDA!T672</f>
        <v>37.534953094729957</v>
      </c>
      <c r="D685" s="6">
        <f>SALES_EDA!D672</f>
        <v>11148</v>
      </c>
      <c r="E685" s="14">
        <f>SALES_EDA!B672</f>
        <v>391656.21258357097</v>
      </c>
      <c r="F685" s="1"/>
      <c r="G685" s="1"/>
      <c r="H685" s="1"/>
      <c r="I685" s="1"/>
      <c r="J685" s="1"/>
    </row>
    <row r="686" spans="1:10" x14ac:dyDescent="0.3">
      <c r="A686" s="5">
        <f>SALES_EDA!A673</f>
        <v>42309.083333333336</v>
      </c>
      <c r="B686" s="15">
        <f>SALES_EDA!M673</f>
        <v>36.843380889509319</v>
      </c>
      <c r="C686" s="15">
        <f>SALES_EDA!T673</f>
        <v>37.647130045583154</v>
      </c>
      <c r="D686" s="6">
        <f>SALES_EDA!D673</f>
        <v>7459</v>
      </c>
      <c r="E686" s="14">
        <f>SALES_EDA!B673</f>
        <v>274814.77805485</v>
      </c>
      <c r="F686" s="1"/>
      <c r="G686" s="1"/>
      <c r="H686" s="1"/>
      <c r="I686" s="1"/>
      <c r="J686" s="1"/>
    </row>
    <row r="687" spans="1:10" x14ac:dyDescent="0.3">
      <c r="A687" s="5">
        <f>SALES_EDA!A674</f>
        <v>42310.083333333336</v>
      </c>
      <c r="B687" s="15">
        <f>SALES_EDA!M674</f>
        <v>36.844590366452707</v>
      </c>
      <c r="C687" s="15">
        <f>SALES_EDA!T674</f>
        <v>37.762115403872528</v>
      </c>
      <c r="D687" s="6">
        <f>SALES_EDA!D674</f>
        <v>7316</v>
      </c>
      <c r="E687" s="14">
        <f>SALES_EDA!B674</f>
        <v>269555.02312096802</v>
      </c>
      <c r="F687" s="1"/>
      <c r="G687" s="1"/>
      <c r="H687" s="1"/>
      <c r="I687" s="1"/>
      <c r="J687" s="1"/>
    </row>
    <row r="688" spans="1:10" x14ac:dyDescent="0.3">
      <c r="A688" s="5">
        <f>SALES_EDA!A675</f>
        <v>42311.083333333336</v>
      </c>
      <c r="B688" s="15">
        <f>SALES_EDA!M675</f>
        <v>36.845333835184995</v>
      </c>
      <c r="C688" s="15">
        <f>SALES_EDA!T675</f>
        <v>37.878802511436348</v>
      </c>
      <c r="D688" s="6">
        <f>SALES_EDA!D675</f>
        <v>5211</v>
      </c>
      <c r="E688" s="14">
        <f>SALES_EDA!B675</f>
        <v>192001.03461514899</v>
      </c>
      <c r="F688" s="1"/>
      <c r="G688" s="1"/>
      <c r="H688" s="1"/>
      <c r="I688" s="1"/>
      <c r="J688" s="1"/>
    </row>
    <row r="689" spans="1:10" x14ac:dyDescent="0.3">
      <c r="A689" s="5">
        <f>SALES_EDA!A676</f>
        <v>42312.083333333336</v>
      </c>
      <c r="B689" s="15">
        <f>SALES_EDA!M676</f>
        <v>35.136588200488745</v>
      </c>
      <c r="C689" s="15">
        <f>SALES_EDA!T676</f>
        <v>37.937812307040076</v>
      </c>
      <c r="D689" s="6">
        <f>SALES_EDA!D676</f>
        <v>5731</v>
      </c>
      <c r="E689" s="14">
        <f>SALES_EDA!B676</f>
        <v>201367.786977001</v>
      </c>
      <c r="F689" s="1"/>
      <c r="G689" s="1"/>
      <c r="H689" s="1"/>
      <c r="I689" s="1"/>
      <c r="J689" s="1"/>
    </row>
    <row r="690" spans="1:10" x14ac:dyDescent="0.3">
      <c r="A690" s="5">
        <f>SALES_EDA!A677</f>
        <v>42313.083333333336</v>
      </c>
      <c r="B690" s="15">
        <f>SALES_EDA!M677</f>
        <v>36.849327724951586</v>
      </c>
      <c r="C690" s="15">
        <f>SALES_EDA!T677</f>
        <v>38.052910812843017</v>
      </c>
      <c r="D690" s="6">
        <f>SALES_EDA!D677</f>
        <v>3036</v>
      </c>
      <c r="E690" s="14">
        <f>SALES_EDA!B677</f>
        <v>111874.558972953</v>
      </c>
      <c r="F690" s="1"/>
      <c r="G690" s="1"/>
      <c r="H690" s="1"/>
      <c r="I690" s="1"/>
      <c r="J690" s="1"/>
    </row>
    <row r="691" spans="1:10" x14ac:dyDescent="0.3">
      <c r="A691" s="5">
        <f>SALES_EDA!A678</f>
        <v>42314.083333333336</v>
      </c>
      <c r="B691" s="15">
        <f>SALES_EDA!M678</f>
        <v>36.849936978847133</v>
      </c>
      <c r="C691" s="15">
        <f>SALES_EDA!T678</f>
        <v>37.966643145344143</v>
      </c>
      <c r="D691" s="6">
        <f>SALES_EDA!D678</f>
        <v>5822</v>
      </c>
      <c r="E691" s="14">
        <f>SALES_EDA!B678</f>
        <v>214540.333090848</v>
      </c>
      <c r="F691" s="1"/>
      <c r="G691" s="1"/>
      <c r="H691" s="1"/>
      <c r="I691" s="1"/>
      <c r="J691" s="1"/>
    </row>
    <row r="692" spans="1:10" x14ac:dyDescent="0.3">
      <c r="A692" s="5">
        <f>SALES_EDA!A679</f>
        <v>42315.083333333336</v>
      </c>
      <c r="B692" s="15">
        <f>SALES_EDA!M679</f>
        <v>35.090051892484787</v>
      </c>
      <c r="C692" s="15">
        <f>SALES_EDA!T679</f>
        <v>37.822168139968404</v>
      </c>
      <c r="D692" s="6">
        <f>SALES_EDA!D679</f>
        <v>7987</v>
      </c>
      <c r="E692" s="14">
        <f>SALES_EDA!B679</f>
        <v>280264.24446527602</v>
      </c>
      <c r="F692" s="1"/>
      <c r="G692" s="1"/>
      <c r="H692" s="1"/>
      <c r="I692" s="1"/>
      <c r="J692" s="1"/>
    </row>
    <row r="693" spans="1:10" x14ac:dyDescent="0.3">
      <c r="A693" s="5">
        <f>SALES_EDA!A680</f>
        <v>42316.083333333336</v>
      </c>
      <c r="B693" s="15">
        <f>SALES_EDA!M680</f>
        <v>36.85074964559066</v>
      </c>
      <c r="C693" s="15">
        <f>SALES_EDA!T680</f>
        <v>37.736416080770596</v>
      </c>
      <c r="D693" s="6">
        <f>SALES_EDA!D680</f>
        <v>3640</v>
      </c>
      <c r="E693" s="14">
        <f>SALES_EDA!B680</f>
        <v>134136.72870995</v>
      </c>
      <c r="F693" s="1"/>
      <c r="G693" s="1"/>
      <c r="H693" s="1"/>
      <c r="I693" s="1"/>
      <c r="J693" s="1"/>
    </row>
    <row r="694" spans="1:10" x14ac:dyDescent="0.3">
      <c r="A694" s="5">
        <f>SALES_EDA!A681</f>
        <v>42317.083333333336</v>
      </c>
      <c r="B694" s="15">
        <f>SALES_EDA!M681</f>
        <v>40.309437779270148</v>
      </c>
      <c r="C694" s="15">
        <f>SALES_EDA!T681</f>
        <v>37.765663703920232</v>
      </c>
      <c r="D694" s="6">
        <f>SALES_EDA!D681</f>
        <v>2338</v>
      </c>
      <c r="E694" s="14">
        <f>SALES_EDA!B681</f>
        <v>94243.4655279336</v>
      </c>
      <c r="F694" s="1"/>
      <c r="G694" s="1"/>
      <c r="H694" s="1"/>
      <c r="I694" s="1"/>
      <c r="J694" s="1"/>
    </row>
    <row r="695" spans="1:10" x14ac:dyDescent="0.3">
      <c r="A695" s="5">
        <f>SALES_EDA!A682</f>
        <v>42318.083333333336</v>
      </c>
      <c r="B695" s="15">
        <f>SALES_EDA!M682</f>
        <v>35.105822076585468</v>
      </c>
      <c r="C695" s="15">
        <f>SALES_EDA!T682</f>
        <v>37.621448192505795</v>
      </c>
      <c r="D695" s="6">
        <f>SALES_EDA!D682</f>
        <v>3744</v>
      </c>
      <c r="E695" s="14">
        <f>SALES_EDA!B682</f>
        <v>131436.197854736</v>
      </c>
      <c r="F695" s="1"/>
      <c r="G695" s="1"/>
      <c r="H695" s="1"/>
      <c r="I695" s="1"/>
      <c r="J695" s="1"/>
    </row>
    <row r="696" spans="1:10" x14ac:dyDescent="0.3">
      <c r="A696" s="5">
        <f>SALES_EDA!A683</f>
        <v>42319.083333333336</v>
      </c>
      <c r="B696" s="15">
        <f>SALES_EDA!M683</f>
        <v>35.079208128789368</v>
      </c>
      <c r="C696" s="15">
        <f>SALES_EDA!T683</f>
        <v>37.476781593417542</v>
      </c>
      <c r="D696" s="6">
        <f>SALES_EDA!D683</f>
        <v>4216</v>
      </c>
      <c r="E696" s="14">
        <f>SALES_EDA!B683</f>
        <v>147893.94147097599</v>
      </c>
      <c r="F696" s="1"/>
      <c r="G696" s="1"/>
      <c r="H696" s="1"/>
      <c r="I696" s="1"/>
      <c r="J696" s="1"/>
    </row>
    <row r="697" spans="1:10" x14ac:dyDescent="0.3">
      <c r="A697" s="5">
        <f>SALES_EDA!A684</f>
        <v>42320.083333333336</v>
      </c>
      <c r="B697" s="15">
        <f>SALES_EDA!M684</f>
        <v>35.059597627617755</v>
      </c>
      <c r="C697" s="15">
        <f>SALES_EDA!T684</f>
        <v>37.331066149748899</v>
      </c>
      <c r="D697" s="6">
        <f>SALES_EDA!D684</f>
        <v>4000</v>
      </c>
      <c r="E697" s="14">
        <f>SALES_EDA!B684</f>
        <v>140238.39051047101</v>
      </c>
      <c r="F697" s="1"/>
      <c r="G697" s="1"/>
      <c r="H697" s="1"/>
      <c r="I697" s="1"/>
      <c r="J697" s="1"/>
    </row>
    <row r="698" spans="1:10" x14ac:dyDescent="0.3">
      <c r="A698" s="5">
        <f>SALES_EDA!A685</f>
        <v>42321.083333333336</v>
      </c>
      <c r="B698" s="15">
        <f>SALES_EDA!M685</f>
        <v>35.102290670784498</v>
      </c>
      <c r="C698" s="15">
        <f>SALES_EDA!T685</f>
        <v>37.186631061053852</v>
      </c>
      <c r="D698" s="6">
        <f>SALES_EDA!D685</f>
        <v>10204</v>
      </c>
      <c r="E698" s="14">
        <f>SALES_EDA!B685</f>
        <v>358183.77400468499</v>
      </c>
      <c r="F698" s="1"/>
      <c r="G698" s="1"/>
      <c r="H698" s="1"/>
      <c r="I698" s="1"/>
      <c r="J698" s="1"/>
    </row>
    <row r="699" spans="1:10" x14ac:dyDescent="0.3">
      <c r="A699" s="5">
        <f>SALES_EDA!A686</f>
        <v>42322.083333333336</v>
      </c>
      <c r="B699" s="15">
        <f>SALES_EDA!M686</f>
        <v>35.094914912942052</v>
      </c>
      <c r="C699" s="15">
        <f>SALES_EDA!T686</f>
        <v>37.042514187348921</v>
      </c>
      <c r="D699" s="6">
        <f>SALES_EDA!D686</f>
        <v>10769</v>
      </c>
      <c r="E699" s="14">
        <f>SALES_EDA!B686</f>
        <v>377937.13869747298</v>
      </c>
      <c r="F699" s="1"/>
      <c r="G699" s="1"/>
      <c r="H699" s="1"/>
      <c r="I699" s="1"/>
      <c r="J699" s="1"/>
    </row>
    <row r="700" spans="1:10" x14ac:dyDescent="0.3">
      <c r="A700" s="5">
        <f>SALES_EDA!A687</f>
        <v>42323.083333333336</v>
      </c>
      <c r="B700" s="15">
        <f>SALES_EDA!M687</f>
        <v>35.130119176183427</v>
      </c>
      <c r="C700" s="15">
        <f>SALES_EDA!T687</f>
        <v>36.899054152704785</v>
      </c>
      <c r="D700" s="6">
        <f>SALES_EDA!D687</f>
        <v>4803</v>
      </c>
      <c r="E700" s="14">
        <f>SALES_EDA!B687</f>
        <v>168729.96240320901</v>
      </c>
      <c r="F700" s="1"/>
      <c r="G700" s="1"/>
      <c r="H700" s="1"/>
      <c r="I700" s="1"/>
      <c r="J700" s="1"/>
    </row>
    <row r="701" spans="1:10" x14ac:dyDescent="0.3">
      <c r="A701" s="5">
        <f>SALES_EDA!A688</f>
        <v>42324.083333333336</v>
      </c>
      <c r="B701" s="15">
        <f>SALES_EDA!M688</f>
        <v>35.143310158095993</v>
      </c>
      <c r="C701" s="15">
        <f>SALES_EDA!T688</f>
        <v>36.756405525011253</v>
      </c>
      <c r="D701" s="6">
        <f>SALES_EDA!D688</f>
        <v>5042</v>
      </c>
      <c r="E701" s="14">
        <f>SALES_EDA!B688</f>
        <v>177192.56981712001</v>
      </c>
      <c r="F701" s="1"/>
      <c r="G701" s="1"/>
      <c r="H701" s="1"/>
      <c r="I701" s="1"/>
      <c r="J701" s="1"/>
    </row>
    <row r="702" spans="1:10" x14ac:dyDescent="0.3">
      <c r="A702" s="5">
        <f>SALES_EDA!A689</f>
        <v>42325.083333333336</v>
      </c>
      <c r="B702" s="15">
        <f>SALES_EDA!M689</f>
        <v>35.091835350632429</v>
      </c>
      <c r="C702" s="15">
        <f>SALES_EDA!T689</f>
        <v>36.611957613742497</v>
      </c>
      <c r="D702" s="6">
        <f>SALES_EDA!D689</f>
        <v>4342</v>
      </c>
      <c r="E702" s="14">
        <f>SALES_EDA!B689</f>
        <v>152368.749092446</v>
      </c>
      <c r="F702" s="1"/>
      <c r="G702" s="1"/>
      <c r="H702" s="1"/>
      <c r="I702" s="1"/>
      <c r="J702" s="1"/>
    </row>
    <row r="703" spans="1:10" x14ac:dyDescent="0.3">
      <c r="A703" s="5">
        <f>SALES_EDA!A690</f>
        <v>42326.083333333336</v>
      </c>
      <c r="B703" s="15">
        <f>SALES_EDA!M690</f>
        <v>35.095622303549739</v>
      </c>
      <c r="C703" s="15">
        <f>SALES_EDA!T690</f>
        <v>36.467391241919316</v>
      </c>
      <c r="D703" s="6">
        <f>SALES_EDA!D690</f>
        <v>4202</v>
      </c>
      <c r="E703" s="14">
        <f>SALES_EDA!B690</f>
        <v>147471.804919516</v>
      </c>
      <c r="F703" s="1"/>
      <c r="G703" s="1"/>
      <c r="H703" s="1"/>
      <c r="I703" s="1"/>
      <c r="J703" s="1"/>
    </row>
    <row r="704" spans="1:10" x14ac:dyDescent="0.3">
      <c r="A704" s="5">
        <f>SALES_EDA!A691</f>
        <v>42327.083333333336</v>
      </c>
      <c r="B704" s="15">
        <f>SALES_EDA!M691</f>
        <v>35.099289805433877</v>
      </c>
      <c r="C704" s="15">
        <f>SALES_EDA!T691</f>
        <v>36.323569365956892</v>
      </c>
      <c r="D704" s="6">
        <f>SALES_EDA!D691</f>
        <v>4151</v>
      </c>
      <c r="E704" s="14">
        <f>SALES_EDA!B691</f>
        <v>145697.15198235601</v>
      </c>
      <c r="F704" s="1"/>
      <c r="G704" s="1"/>
      <c r="H704" s="1"/>
      <c r="I704" s="1"/>
      <c r="J704" s="1"/>
    </row>
    <row r="705" spans="1:10" x14ac:dyDescent="0.3">
      <c r="A705" s="5">
        <f>SALES_EDA!A692</f>
        <v>42328.083333333336</v>
      </c>
      <c r="B705" s="15">
        <f>SALES_EDA!M692</f>
        <v>35.138786799664061</v>
      </c>
      <c r="C705" s="15">
        <f>SALES_EDA!T692</f>
        <v>36.180187287217294</v>
      </c>
      <c r="D705" s="6">
        <f>SALES_EDA!D692</f>
        <v>8567</v>
      </c>
      <c r="E705" s="14">
        <f>SALES_EDA!B692</f>
        <v>301033.98651272198</v>
      </c>
      <c r="F705" s="1"/>
      <c r="G705" s="1"/>
      <c r="H705" s="1"/>
      <c r="I705" s="1"/>
      <c r="J705" s="1"/>
    </row>
    <row r="706" spans="1:10" x14ac:dyDescent="0.3">
      <c r="A706" s="5">
        <f>SALES_EDA!A693</f>
        <v>42329.083333333336</v>
      </c>
      <c r="B706" s="15">
        <f>SALES_EDA!M693</f>
        <v>35.128597443114856</v>
      </c>
      <c r="C706" s="15">
        <f>SALES_EDA!T693</f>
        <v>36.037300539006687</v>
      </c>
      <c r="D706" s="6">
        <f>SALES_EDA!D693</f>
        <v>8811</v>
      </c>
      <c r="E706" s="14">
        <f>SALES_EDA!B693</f>
        <v>309518.07207128499</v>
      </c>
      <c r="F706" s="1"/>
      <c r="G706" s="1"/>
      <c r="H706" s="1"/>
      <c r="I706" s="1"/>
      <c r="J706" s="1"/>
    </row>
    <row r="707" spans="1:10" x14ac:dyDescent="0.3">
      <c r="A707" s="5">
        <f>SALES_EDA!A694</f>
        <v>42330.083333333336</v>
      </c>
      <c r="B707" s="15">
        <f>SALES_EDA!M694</f>
        <v>35.098879569011274</v>
      </c>
      <c r="C707" s="15">
        <f>SALES_EDA!T694</f>
        <v>35.979106365556284</v>
      </c>
      <c r="D707" s="6">
        <f>SALES_EDA!D694</f>
        <v>4345</v>
      </c>
      <c r="E707" s="14">
        <f>SALES_EDA!B694</f>
        <v>152504.63172735399</v>
      </c>
      <c r="F707" s="1"/>
      <c r="G707" s="1"/>
      <c r="H707" s="1"/>
      <c r="I707" s="1"/>
      <c r="J707" s="1"/>
    </row>
    <row r="708" spans="1:10" x14ac:dyDescent="0.3">
      <c r="A708" s="5">
        <f>SALES_EDA!A695</f>
        <v>42331.083333333336</v>
      </c>
      <c r="B708" s="15">
        <f>SALES_EDA!M695</f>
        <v>41.152082299484</v>
      </c>
      <c r="C708" s="15">
        <f>SALES_EDA!T695</f>
        <v>36.12307316980305</v>
      </c>
      <c r="D708" s="6">
        <f>SALES_EDA!D695</f>
        <v>1937</v>
      </c>
      <c r="E708" s="14">
        <f>SALES_EDA!B695</f>
        <v>79711.583414100503</v>
      </c>
      <c r="F708" s="1"/>
      <c r="G708" s="1"/>
      <c r="H708" s="1"/>
      <c r="I708" s="1"/>
      <c r="J708" s="1"/>
    </row>
    <row r="709" spans="1:10" x14ac:dyDescent="0.3">
      <c r="A709" s="5">
        <f>SALES_EDA!A696</f>
        <v>42332.083333333336</v>
      </c>
      <c r="B709" s="15">
        <f>SALES_EDA!M696</f>
        <v>35.13334782088576</v>
      </c>
      <c r="C709" s="15">
        <f>SALES_EDA!T696</f>
        <v>36.065487294367557</v>
      </c>
      <c r="D709" s="6">
        <f>SALES_EDA!D696</f>
        <v>3160</v>
      </c>
      <c r="E709" s="14">
        <f>SALES_EDA!B696</f>
        <v>111021.37911399901</v>
      </c>
      <c r="F709" s="1"/>
      <c r="G709" s="1"/>
      <c r="H709" s="1"/>
      <c r="I709" s="1"/>
      <c r="J709" s="1"/>
    </row>
    <row r="710" spans="1:10" x14ac:dyDescent="0.3">
      <c r="A710" s="5">
        <f>SALES_EDA!A697</f>
        <v>42333.083333333336</v>
      </c>
      <c r="B710" s="15">
        <f>SALES_EDA!M697</f>
        <v>35.118610518961439</v>
      </c>
      <c r="C710" s="15">
        <f>SALES_EDA!T697</f>
        <v>36.007935311144678</v>
      </c>
      <c r="D710" s="6">
        <f>SALES_EDA!D697</f>
        <v>6924</v>
      </c>
      <c r="E710" s="14">
        <f>SALES_EDA!B697</f>
        <v>243161.25923328899</v>
      </c>
      <c r="F710" s="1"/>
      <c r="G710" s="1"/>
      <c r="H710" s="1"/>
      <c r="I710" s="1"/>
      <c r="J710" s="1"/>
    </row>
    <row r="711" spans="1:10" x14ac:dyDescent="0.3">
      <c r="A711" s="5">
        <f>SALES_EDA!A698</f>
        <v>42334.083333333336</v>
      </c>
      <c r="B711" s="15">
        <f>SALES_EDA!M698</f>
        <v>33.586021916520757</v>
      </c>
      <c r="C711" s="15">
        <f>SALES_EDA!T698</f>
        <v>35.899358188213014</v>
      </c>
      <c r="D711" s="6">
        <f>SALES_EDA!D698</f>
        <v>9273</v>
      </c>
      <c r="E711" s="14">
        <f>SALES_EDA!B698</f>
        <v>311443.18123189698</v>
      </c>
      <c r="F711" s="1"/>
      <c r="G711" s="1"/>
      <c r="H711" s="1"/>
      <c r="I711" s="1"/>
      <c r="J711" s="1"/>
    </row>
    <row r="712" spans="1:10" x14ac:dyDescent="0.3">
      <c r="A712" s="5">
        <f>SALES_EDA!A699</f>
        <v>42335.083333333336</v>
      </c>
      <c r="B712" s="15">
        <f>SALES_EDA!M699</f>
        <v>33.390424928662434</v>
      </c>
      <c r="C712" s="15">
        <f>SALES_EDA!T699</f>
        <v>35.840704295265063</v>
      </c>
      <c r="D712" s="6">
        <f>SALES_EDA!D699</f>
        <v>11257</v>
      </c>
      <c r="E712" s="14">
        <f>SALES_EDA!B699</f>
        <v>375876.01342195302</v>
      </c>
      <c r="F712" s="1"/>
      <c r="G712" s="1"/>
      <c r="H712" s="1"/>
      <c r="I712" s="1"/>
      <c r="J712" s="1"/>
    </row>
    <row r="713" spans="1:10" x14ac:dyDescent="0.3">
      <c r="A713" s="5">
        <f>SALES_EDA!A700</f>
        <v>42336.083333333336</v>
      </c>
      <c r="B713" s="15">
        <f>SALES_EDA!M700</f>
        <v>33.385026422556955</v>
      </c>
      <c r="C713" s="15">
        <f>SALES_EDA!T700</f>
        <v>35.7253593092275</v>
      </c>
      <c r="D713" s="6">
        <f>SALES_EDA!D700</f>
        <v>13019</v>
      </c>
      <c r="E713" s="14">
        <f>SALES_EDA!B700</f>
        <v>434639.65899526898</v>
      </c>
      <c r="F713" s="1"/>
      <c r="G713" s="1"/>
      <c r="H713" s="1"/>
      <c r="I713" s="1"/>
      <c r="J713" s="1"/>
    </row>
    <row r="714" spans="1:10" x14ac:dyDescent="0.3">
      <c r="A714" s="5">
        <f>SALES_EDA!A701</f>
        <v>42337.083333333336</v>
      </c>
      <c r="B714" s="15">
        <f>SALES_EDA!M701</f>
        <v>33.427345056094126</v>
      </c>
      <c r="C714" s="15">
        <f>SALES_EDA!T701</f>
        <v>35.610431659937746</v>
      </c>
      <c r="D714" s="6">
        <f>SALES_EDA!D701</f>
        <v>7139</v>
      </c>
      <c r="E714" s="14">
        <f>SALES_EDA!B701</f>
        <v>238637.81635545599</v>
      </c>
      <c r="F714" s="1"/>
      <c r="G714" s="1"/>
      <c r="H714" s="1"/>
      <c r="I714" s="1"/>
      <c r="J714" s="1"/>
    </row>
    <row r="715" spans="1:10" x14ac:dyDescent="0.3">
      <c r="A715" s="5">
        <f>SALES_EDA!A702</f>
        <v>42338.083333333336</v>
      </c>
      <c r="B715" s="15">
        <f>SALES_EDA!M702</f>
        <v>35.114329376733934</v>
      </c>
      <c r="C715" s="15">
        <f>SALES_EDA!T702</f>
        <v>35.609828655836139</v>
      </c>
      <c r="D715" s="6">
        <f>SALES_EDA!D702</f>
        <v>7423</v>
      </c>
      <c r="E715" s="14">
        <f>SALES_EDA!B702</f>
        <v>260653.66696349601</v>
      </c>
      <c r="F715" s="1"/>
      <c r="G715" s="1"/>
      <c r="H715" s="1"/>
      <c r="I715" s="1"/>
      <c r="J715" s="1"/>
    </row>
    <row r="716" spans="1:10" x14ac:dyDescent="0.3">
      <c r="A716" s="5">
        <f>SALES_EDA!A703</f>
        <v>42339.083333333336</v>
      </c>
      <c r="B716" s="15">
        <f>SALES_EDA!M703</f>
        <v>35.107677283687316</v>
      </c>
      <c r="C716" s="15">
        <f>SALES_EDA!T703</f>
        <v>35.551971868975407</v>
      </c>
      <c r="D716" s="6">
        <f>SALES_EDA!D703</f>
        <v>7474</v>
      </c>
      <c r="E716" s="14">
        <f>SALES_EDA!B703</f>
        <v>262394.78001827898</v>
      </c>
      <c r="F716" s="1"/>
      <c r="G716" s="1"/>
      <c r="H716" s="1"/>
      <c r="I716" s="1"/>
      <c r="J716" s="1"/>
    </row>
    <row r="717" spans="1:10" x14ac:dyDescent="0.3">
      <c r="A717" s="5">
        <f>SALES_EDA!A704</f>
        <v>42340.083333333336</v>
      </c>
      <c r="B717" s="15">
        <f>SALES_EDA!M704</f>
        <v>35.20942620480357</v>
      </c>
      <c r="C717" s="15">
        <f>SALES_EDA!T704</f>
        <v>35.497466396920437</v>
      </c>
      <c r="D717" s="6">
        <f>SALES_EDA!D704</f>
        <v>7056</v>
      </c>
      <c r="E717" s="14">
        <f>SALES_EDA!B704</f>
        <v>248437.71130109401</v>
      </c>
      <c r="F717" s="1"/>
      <c r="G717" s="1"/>
      <c r="H717" s="1"/>
      <c r="I717" s="1"/>
      <c r="J717" s="1"/>
    </row>
    <row r="718" spans="1:10" x14ac:dyDescent="0.3">
      <c r="A718" s="5">
        <f>SALES_EDA!A705</f>
        <v>42341.083333333336</v>
      </c>
      <c r="B718" s="15">
        <f>SALES_EDA!M705</f>
        <v>35.074813409224355</v>
      </c>
      <c r="C718" s="15">
        <f>SALES_EDA!T705</f>
        <v>35.438449049388417</v>
      </c>
      <c r="D718" s="6">
        <f>SALES_EDA!D705</f>
        <v>5732</v>
      </c>
      <c r="E718" s="14">
        <f>SALES_EDA!B705</f>
        <v>201048.83046167399</v>
      </c>
      <c r="F718" s="1"/>
      <c r="G718" s="1"/>
      <c r="H718" s="1"/>
      <c r="I718" s="1"/>
      <c r="J718" s="1"/>
    </row>
    <row r="719" spans="1:10" x14ac:dyDescent="0.3">
      <c r="A719" s="5">
        <f>SALES_EDA!A706</f>
        <v>42342.083333333336</v>
      </c>
      <c r="B719" s="15">
        <f>SALES_EDA!M706</f>
        <v>35.150559961944126</v>
      </c>
      <c r="C719" s="15">
        <f>SALES_EDA!T706</f>
        <v>35.438914774770261</v>
      </c>
      <c r="D719" s="6">
        <f>SALES_EDA!D706</f>
        <v>9038</v>
      </c>
      <c r="E719" s="14">
        <f>SALES_EDA!B706</f>
        <v>317690.76093605103</v>
      </c>
      <c r="F719" s="1"/>
      <c r="G719" s="1"/>
      <c r="H719" s="1"/>
      <c r="I719" s="1"/>
      <c r="J719" s="1"/>
    </row>
    <row r="720" spans="1:10" x14ac:dyDescent="0.3">
      <c r="A720" s="5">
        <f>SALES_EDA!A707</f>
        <v>42343.083333333336</v>
      </c>
      <c r="B720" s="15">
        <f>SALES_EDA!M707</f>
        <v>35.25452851049306</v>
      </c>
      <c r="C720" s="15">
        <f>SALES_EDA!T707</f>
        <v>35.385754800954977</v>
      </c>
      <c r="D720" s="6">
        <f>SALES_EDA!D707</f>
        <v>10737</v>
      </c>
      <c r="E720" s="14">
        <f>SALES_EDA!B707</f>
        <v>378527.87261716399</v>
      </c>
      <c r="F720" s="1"/>
      <c r="G720" s="1"/>
      <c r="H720" s="1"/>
      <c r="I720" s="1"/>
      <c r="J720" s="1"/>
    </row>
    <row r="721" spans="1:10" x14ac:dyDescent="0.3">
      <c r="A721" s="5">
        <f>SALES_EDA!A708</f>
        <v>42344.083333333336</v>
      </c>
      <c r="B721" s="15">
        <f>SALES_EDA!M708</f>
        <v>35.499616908191641</v>
      </c>
      <c r="C721" s="15">
        <f>SALES_EDA!T708</f>
        <v>35.340744131933135</v>
      </c>
      <c r="D721" s="6">
        <f>SALES_EDA!D708</f>
        <v>5505</v>
      </c>
      <c r="E721" s="14">
        <f>SALES_EDA!B708</f>
        <v>195425.39107959499</v>
      </c>
      <c r="F721" s="1"/>
      <c r="G721" s="1"/>
      <c r="H721" s="1"/>
      <c r="I721" s="1"/>
      <c r="J721" s="1"/>
    </row>
    <row r="722" spans="1:10" x14ac:dyDescent="0.3">
      <c r="A722" s="5">
        <f>SALES_EDA!A709</f>
        <v>42345.083333333336</v>
      </c>
      <c r="B722" s="15">
        <f>SALES_EDA!M709</f>
        <v>41.14722628231565</v>
      </c>
      <c r="C722" s="15">
        <f>SALES_EDA!T709</f>
        <v>35.542649944927497</v>
      </c>
      <c r="D722" s="6">
        <f>SALES_EDA!D709</f>
        <v>2198</v>
      </c>
      <c r="E722" s="14">
        <f>SALES_EDA!B709</f>
        <v>90441.603368529803</v>
      </c>
      <c r="F722" s="1"/>
      <c r="G722" s="1"/>
      <c r="H722" s="1"/>
      <c r="I722" s="1"/>
      <c r="J722" s="1"/>
    </row>
    <row r="723" spans="1:10" x14ac:dyDescent="0.3">
      <c r="A723" s="5">
        <f>SALES_EDA!A710</f>
        <v>42346.083333333336</v>
      </c>
      <c r="B723" s="15">
        <f>SALES_EDA!M710</f>
        <v>36.880564461759562</v>
      </c>
      <c r="C723" s="15">
        <f>SALES_EDA!T710</f>
        <v>35.54364377213313</v>
      </c>
      <c r="D723" s="6">
        <f>SALES_EDA!D710</f>
        <v>3190</v>
      </c>
      <c r="E723" s="14">
        <f>SALES_EDA!B710</f>
        <v>117649.000633013</v>
      </c>
      <c r="F723" s="1"/>
      <c r="G723" s="1"/>
      <c r="H723" s="1"/>
      <c r="I723" s="1"/>
      <c r="J723" s="1"/>
    </row>
    <row r="724" spans="1:10" x14ac:dyDescent="0.3">
      <c r="A724" s="5">
        <f>SALES_EDA!A711</f>
        <v>42347.083333333336</v>
      </c>
      <c r="B724" s="15">
        <f>SALES_EDA!M711</f>
        <v>37.043889736946511</v>
      </c>
      <c r="C724" s="15">
        <f>SALES_EDA!T711</f>
        <v>35.434792170722332</v>
      </c>
      <c r="D724" s="6">
        <f>SALES_EDA!D711</f>
        <v>3814</v>
      </c>
      <c r="E724" s="14">
        <f>SALES_EDA!B711</f>
        <v>141285.395456714</v>
      </c>
      <c r="F724" s="1"/>
      <c r="G724" s="1"/>
      <c r="H724" s="1"/>
      <c r="I724" s="1"/>
      <c r="J724" s="1"/>
    </row>
    <row r="725" spans="1:10" x14ac:dyDescent="0.3">
      <c r="A725" s="5">
        <f>SALES_EDA!A712</f>
        <v>42348.083333333336</v>
      </c>
      <c r="B725" s="15">
        <f>SALES_EDA!M712</f>
        <v>36.892989939111914</v>
      </c>
      <c r="C725" s="15">
        <f>SALES_EDA!T712</f>
        <v>35.494364432806556</v>
      </c>
      <c r="D725" s="6">
        <f>SALES_EDA!D712</f>
        <v>3610</v>
      </c>
      <c r="E725" s="14">
        <f>SALES_EDA!B712</f>
        <v>133183.693680194</v>
      </c>
      <c r="F725" s="1"/>
      <c r="G725" s="1"/>
      <c r="H725" s="1"/>
      <c r="I725" s="1"/>
      <c r="J725" s="1"/>
    </row>
    <row r="726" spans="1:10" x14ac:dyDescent="0.3">
      <c r="A726" s="5">
        <f>SALES_EDA!A713</f>
        <v>42349.083333333336</v>
      </c>
      <c r="B726" s="15">
        <f>SALES_EDA!M713</f>
        <v>36.883291524071304</v>
      </c>
      <c r="C726" s="15">
        <f>SALES_EDA!T713</f>
        <v>35.55450054598262</v>
      </c>
      <c r="D726" s="6">
        <f>SALES_EDA!D713</f>
        <v>6227</v>
      </c>
      <c r="E726" s="14">
        <f>SALES_EDA!B713</f>
        <v>229672.25632039201</v>
      </c>
      <c r="F726" s="1"/>
      <c r="G726" s="1"/>
      <c r="H726" s="1"/>
      <c r="I726" s="1"/>
      <c r="J726" s="1"/>
    </row>
    <row r="727" spans="1:10" x14ac:dyDescent="0.3">
      <c r="A727" s="5">
        <f>SALES_EDA!A714</f>
        <v>42350.083333333336</v>
      </c>
      <c r="B727" s="15">
        <f>SALES_EDA!M714</f>
        <v>35.394693045937167</v>
      </c>
      <c r="C727" s="15">
        <f>SALES_EDA!T714</f>
        <v>35.565670393259929</v>
      </c>
      <c r="D727" s="6">
        <f>SALES_EDA!D714</f>
        <v>9422</v>
      </c>
      <c r="E727" s="14">
        <f>SALES_EDA!B714</f>
        <v>333488.79787881998</v>
      </c>
      <c r="F727" s="1"/>
      <c r="G727" s="1"/>
      <c r="H727" s="1"/>
      <c r="I727" s="1"/>
      <c r="J727" s="1"/>
    </row>
    <row r="728" spans="1:10" x14ac:dyDescent="0.3">
      <c r="A728" s="5">
        <f>SALES_EDA!A715</f>
        <v>42351.083333333336</v>
      </c>
      <c r="B728" s="15">
        <f>SALES_EDA!M715</f>
        <v>36.981030242541685</v>
      </c>
      <c r="C728" s="15">
        <f>SALES_EDA!T715</f>
        <v>35.628295045651832</v>
      </c>
      <c r="D728" s="6">
        <f>SALES_EDA!D715</f>
        <v>5014</v>
      </c>
      <c r="E728" s="14">
        <f>SALES_EDA!B715</f>
        <v>185422.88563610401</v>
      </c>
      <c r="F728" s="1"/>
      <c r="G728" s="1"/>
      <c r="H728" s="1"/>
      <c r="I728" s="1"/>
      <c r="J728" s="1"/>
    </row>
    <row r="729" spans="1:10" x14ac:dyDescent="0.3">
      <c r="A729" s="5">
        <f>SALES_EDA!A716</f>
        <v>42352.083333333336</v>
      </c>
      <c r="B729" s="15">
        <f>SALES_EDA!M716</f>
        <v>36.868108837417608</v>
      </c>
      <c r="C729" s="15">
        <f>SALES_EDA!T716</f>
        <v>35.68740150980102</v>
      </c>
      <c r="D729" s="6">
        <f>SALES_EDA!D716</f>
        <v>4715</v>
      </c>
      <c r="E729" s="14">
        <f>SALES_EDA!B716</f>
        <v>173833.13316842401</v>
      </c>
      <c r="F729" s="1"/>
      <c r="G729" s="1"/>
      <c r="H729" s="1"/>
      <c r="I729" s="1"/>
      <c r="J729" s="1"/>
    </row>
    <row r="730" spans="1:10" x14ac:dyDescent="0.3">
      <c r="A730" s="5">
        <f>SALES_EDA!A717</f>
        <v>42353.083333333336</v>
      </c>
      <c r="B730" s="15">
        <f>SALES_EDA!M717</f>
        <v>35.459066546240344</v>
      </c>
      <c r="C730" s="15">
        <f>SALES_EDA!T717</f>
        <v>35.698366422136253</v>
      </c>
      <c r="D730" s="6">
        <f>SALES_EDA!D717</f>
        <v>6212</v>
      </c>
      <c r="E730" s="14">
        <f>SALES_EDA!B717</f>
        <v>220271.72138524501</v>
      </c>
      <c r="F730" s="1"/>
      <c r="G730" s="1"/>
      <c r="H730" s="1"/>
      <c r="I730" s="1"/>
      <c r="J730" s="1"/>
    </row>
    <row r="731" spans="1:10" x14ac:dyDescent="0.3">
      <c r="A731" s="5">
        <f>SALES_EDA!A718</f>
        <v>42354.083333333336</v>
      </c>
      <c r="B731" s="15">
        <f>SALES_EDA!M718</f>
        <v>35.606388943855123</v>
      </c>
      <c r="C731" s="15">
        <f>SALES_EDA!T718</f>
        <v>35.713802381661552</v>
      </c>
      <c r="D731" s="6">
        <f>SALES_EDA!D718</f>
        <v>6585</v>
      </c>
      <c r="E731" s="14">
        <f>SALES_EDA!B718</f>
        <v>234468.071195286</v>
      </c>
      <c r="F731" s="1"/>
      <c r="G731" s="1"/>
      <c r="H731" s="1"/>
      <c r="I731" s="1"/>
      <c r="J731" s="1"/>
    </row>
    <row r="732" spans="1:10" x14ac:dyDescent="0.3">
      <c r="A732" s="5">
        <f>SALES_EDA!A719</f>
        <v>42355.083333333336</v>
      </c>
      <c r="B732" s="15">
        <f>SALES_EDA!M719</f>
        <v>35.329389861230375</v>
      </c>
      <c r="C732" s="15">
        <f>SALES_EDA!T719</f>
        <v>35.721720865348153</v>
      </c>
      <c r="D732" s="6">
        <f>SALES_EDA!D719</f>
        <v>6051</v>
      </c>
      <c r="E732" s="14">
        <f>SALES_EDA!B719</f>
        <v>213778.13805030499</v>
      </c>
      <c r="F732" s="1"/>
      <c r="G732" s="1"/>
      <c r="H732" s="1"/>
      <c r="I732" s="1"/>
      <c r="J732" s="1"/>
    </row>
    <row r="733" spans="1:10" x14ac:dyDescent="0.3">
      <c r="A733" s="5">
        <f>SALES_EDA!A720</f>
        <v>42356.083333333336</v>
      </c>
      <c r="B733" s="15">
        <f>SALES_EDA!M720</f>
        <v>35.298453522102449</v>
      </c>
      <c r="C733" s="15">
        <f>SALES_EDA!T720</f>
        <v>35.728481905966568</v>
      </c>
      <c r="D733" s="6">
        <f>SALES_EDA!D720</f>
        <v>7750</v>
      </c>
      <c r="E733" s="14">
        <f>SALES_EDA!B720</f>
        <v>273563.01479629398</v>
      </c>
      <c r="F733" s="1"/>
      <c r="G733" s="1"/>
      <c r="H733" s="1"/>
      <c r="I733" s="1"/>
      <c r="J733" s="1"/>
    </row>
    <row r="734" spans="1:10" x14ac:dyDescent="0.3">
      <c r="A734" s="5">
        <f>SALES_EDA!A721</f>
        <v>42357.083333333336</v>
      </c>
      <c r="B734" s="15">
        <f>SALES_EDA!M721</f>
        <v>35.564466640592201</v>
      </c>
      <c r="C734" s="15">
        <f>SALES_EDA!T721</f>
        <v>35.743987800471849</v>
      </c>
      <c r="D734" s="6">
        <f>SALES_EDA!D721</f>
        <v>9490</v>
      </c>
      <c r="E734" s="14">
        <f>SALES_EDA!B721</f>
        <v>337506.78841922001</v>
      </c>
      <c r="F734" s="1"/>
      <c r="G734" s="1"/>
      <c r="H734" s="1"/>
      <c r="I734" s="1"/>
      <c r="J734" s="1"/>
    </row>
    <row r="735" spans="1:10" x14ac:dyDescent="0.3">
      <c r="A735" s="5">
        <f>SALES_EDA!A722</f>
        <v>42358.083333333336</v>
      </c>
      <c r="B735" s="15">
        <f>SALES_EDA!M722</f>
        <v>35.443355513958466</v>
      </c>
      <c r="C735" s="15">
        <f>SALES_EDA!T722</f>
        <v>35.75414009094834</v>
      </c>
      <c r="D735" s="6">
        <f>SALES_EDA!D722</f>
        <v>4382</v>
      </c>
      <c r="E735" s="14">
        <f>SALES_EDA!B722</f>
        <v>155312.78386216599</v>
      </c>
      <c r="F735" s="1"/>
      <c r="G735" s="1"/>
      <c r="H735" s="1"/>
      <c r="I735" s="1"/>
      <c r="J735" s="1"/>
    </row>
    <row r="736" spans="1:10" x14ac:dyDescent="0.3">
      <c r="A736" s="5">
        <f>SALES_EDA!A723</f>
        <v>42359.083333333336</v>
      </c>
      <c r="B736" s="15">
        <f>SALES_EDA!M723</f>
        <v>35.290798323108589</v>
      </c>
      <c r="C736" s="15">
        <f>SALES_EDA!T723</f>
        <v>35.759546786948128</v>
      </c>
      <c r="D736" s="6">
        <f>SALES_EDA!D723</f>
        <v>8196</v>
      </c>
      <c r="E736" s="14">
        <f>SALES_EDA!B723</f>
        <v>289243.38305619801</v>
      </c>
      <c r="F736" s="1"/>
      <c r="G736" s="1"/>
      <c r="H736" s="1"/>
      <c r="I736" s="1"/>
      <c r="J736" s="1"/>
    </row>
    <row r="737" spans="1:10" x14ac:dyDescent="0.3">
      <c r="A737" s="5">
        <f>SALES_EDA!A724</f>
        <v>42360.083333333336</v>
      </c>
      <c r="B737" s="15">
        <f>SALES_EDA!M724</f>
        <v>35.329497070125015</v>
      </c>
      <c r="C737" s="15">
        <f>SALES_EDA!T724</f>
        <v>35.767234036985251</v>
      </c>
      <c r="D737" s="6">
        <f>SALES_EDA!D724</f>
        <v>8863</v>
      </c>
      <c r="E737" s="14">
        <f>SALES_EDA!B724</f>
        <v>313125.33253251802</v>
      </c>
      <c r="F737" s="1"/>
      <c r="G737" s="1"/>
      <c r="H737" s="1"/>
      <c r="I737" s="1"/>
      <c r="J737" s="1"/>
    </row>
    <row r="738" spans="1:10" x14ac:dyDescent="0.3">
      <c r="A738" s="5">
        <f>SALES_EDA!A725</f>
        <v>42361.083333333336</v>
      </c>
      <c r="B738" s="15">
        <f>SALES_EDA!M725</f>
        <v>41.066787986687331</v>
      </c>
      <c r="C738" s="15">
        <f>SALES_EDA!T725</f>
        <v>35.764390893225361</v>
      </c>
      <c r="D738" s="6">
        <f>SALES_EDA!D725</f>
        <v>6534</v>
      </c>
      <c r="E738" s="14">
        <f>SALES_EDA!B725</f>
        <v>268330.39270501502</v>
      </c>
      <c r="F738" s="1"/>
      <c r="G738" s="1"/>
      <c r="H738" s="1"/>
      <c r="I738" s="1"/>
      <c r="J738" s="1"/>
    </row>
    <row r="739" spans="1:10" x14ac:dyDescent="0.3">
      <c r="A739" s="5">
        <f>SALES_EDA!A726</f>
        <v>42362.083333333336</v>
      </c>
      <c r="B739" s="15">
        <f>SALES_EDA!M726</f>
        <v>41.114060582650104</v>
      </c>
      <c r="C739" s="15">
        <f>SALES_EDA!T726</f>
        <v>35.963747985284172</v>
      </c>
      <c r="D739" s="6">
        <f>SALES_EDA!D726</f>
        <v>9540</v>
      </c>
      <c r="E739" s="14">
        <f>SALES_EDA!B726</f>
        <v>392228.13795848202</v>
      </c>
      <c r="F739" s="1"/>
      <c r="G739" s="1"/>
      <c r="H739" s="1"/>
      <c r="I739" s="1"/>
      <c r="J739" s="1"/>
    </row>
    <row r="740" spans="1:10" x14ac:dyDescent="0.3">
      <c r="A740" s="5">
        <f>SALES_EDA!A727</f>
        <v>42363.083333333336</v>
      </c>
      <c r="B740" s="15">
        <f>SALES_EDA!M727</f>
        <v>41.071555199278556</v>
      </c>
      <c r="C740" s="15">
        <f>SALES_EDA!T727</f>
        <v>36.162179474628068</v>
      </c>
      <c r="D740" s="6">
        <f>SALES_EDA!D727</f>
        <v>3256</v>
      </c>
      <c r="E740" s="14">
        <f>SALES_EDA!B727</f>
        <v>133728.98372885099</v>
      </c>
      <c r="F740" s="1"/>
      <c r="G740" s="1"/>
      <c r="H740" s="1"/>
      <c r="I740" s="1"/>
      <c r="J740" s="1"/>
    </row>
    <row r="741" spans="1:10" x14ac:dyDescent="0.3">
      <c r="A741" s="5">
        <f>SALES_EDA!A728</f>
        <v>42364.083333333336</v>
      </c>
      <c r="B741" s="15">
        <f>SALES_EDA!M728</f>
        <v>41.121929482518823</v>
      </c>
      <c r="C741" s="15">
        <f>SALES_EDA!T728</f>
        <v>36.41337639349468</v>
      </c>
      <c r="D741" s="6">
        <f>SALES_EDA!D728</f>
        <v>2013</v>
      </c>
      <c r="E741" s="14">
        <f>SALES_EDA!B728</f>
        <v>82778.444048310397</v>
      </c>
      <c r="F741" s="1"/>
      <c r="G741" s="1"/>
      <c r="H741" s="1"/>
      <c r="I741" s="1"/>
      <c r="J741" s="1"/>
    </row>
    <row r="742" spans="1:10" x14ac:dyDescent="0.3">
      <c r="A742" s="5">
        <f>SALES_EDA!A729</f>
        <v>42365.083333333336</v>
      </c>
      <c r="B742" s="15">
        <f>SALES_EDA!M729</f>
        <v>41.089147147718911</v>
      </c>
      <c r="C742" s="15">
        <f>SALES_EDA!T729</f>
        <v>36.670000467463225</v>
      </c>
      <c r="D742" s="6">
        <f>SALES_EDA!D729</f>
        <v>1692</v>
      </c>
      <c r="E742" s="14">
        <f>SALES_EDA!B729</f>
        <v>69522.836973940401</v>
      </c>
      <c r="F742" s="1"/>
      <c r="G742" s="1"/>
      <c r="H742" s="1"/>
      <c r="I742" s="1"/>
      <c r="J742" s="1"/>
    </row>
    <row r="743" spans="1:10" x14ac:dyDescent="0.3">
      <c r="A743" s="5">
        <f>SALES_EDA!A730</f>
        <v>42366.083333333336</v>
      </c>
      <c r="B743" s="15">
        <f>SALES_EDA!M730</f>
        <v>41.132118984342306</v>
      </c>
      <c r="C743" s="15">
        <f>SALES_EDA!T730</f>
        <v>36.92823688618941</v>
      </c>
      <c r="D743" s="6">
        <f>SALES_EDA!D730</f>
        <v>3234</v>
      </c>
      <c r="E743" s="14">
        <f>SALES_EDA!B730</f>
        <v>133021.27279536301</v>
      </c>
      <c r="F743" s="1"/>
      <c r="G743" s="1"/>
      <c r="H743" s="1"/>
      <c r="I743" s="1"/>
      <c r="J743" s="1"/>
    </row>
    <row r="744" spans="1:10" x14ac:dyDescent="0.3">
      <c r="A744" s="5">
        <f>SALES_EDA!A731</f>
        <v>42367.083333333336</v>
      </c>
      <c r="B744" s="15">
        <f>SALES_EDA!M731</f>
        <v>35.119233578361936</v>
      </c>
      <c r="C744" s="15">
        <f>SALES_EDA!T731</f>
        <v>36.984633170264992</v>
      </c>
      <c r="D744" s="6">
        <f>SALES_EDA!D731</f>
        <v>4592</v>
      </c>
      <c r="E744" s="14">
        <f>SALES_EDA!B731</f>
        <v>161267.52059183799</v>
      </c>
      <c r="F744" s="1"/>
      <c r="G744" s="1"/>
      <c r="H744" s="1"/>
      <c r="I744" s="1"/>
      <c r="J744" s="1"/>
    </row>
    <row r="745" spans="1:10" x14ac:dyDescent="0.3">
      <c r="A745" s="5">
        <f>SALES_EDA!A732</f>
        <v>42368.083333333336</v>
      </c>
      <c r="B745" s="15">
        <f>SALES_EDA!M732</f>
        <v>35.085486625795632</v>
      </c>
      <c r="C745" s="15">
        <f>SALES_EDA!T732</f>
        <v>36.983671745233728</v>
      </c>
      <c r="D745" s="6">
        <f>SALES_EDA!D732</f>
        <v>5945</v>
      </c>
      <c r="E745" s="14">
        <f>SALES_EDA!B732</f>
        <v>208583.21799035501</v>
      </c>
      <c r="F745" s="1"/>
      <c r="G745" s="1"/>
      <c r="H745" s="1"/>
      <c r="I745" s="1"/>
      <c r="J745" s="1"/>
    </row>
    <row r="746" spans="1:10" x14ac:dyDescent="0.3">
      <c r="A746" s="5">
        <f>SALES_EDA!A733</f>
        <v>42369.083333333336</v>
      </c>
      <c r="B746" s="15">
        <f>SALES_EDA!M733</f>
        <v>35.123842542788587</v>
      </c>
      <c r="C746" s="15">
        <f>SALES_EDA!T733</f>
        <v>36.984210587203776</v>
      </c>
      <c r="D746" s="6">
        <f>SALES_EDA!D733</f>
        <v>9266</v>
      </c>
      <c r="E746" s="14">
        <f>SALES_EDA!B733</f>
        <v>325457.52500147902</v>
      </c>
      <c r="F746" s="1"/>
      <c r="G746" s="1"/>
      <c r="H746" s="1"/>
      <c r="I746" s="1"/>
      <c r="J746" s="1"/>
    </row>
    <row r="747" spans="1:10" x14ac:dyDescent="0.3">
      <c r="A747" s="5">
        <f>SALES_EDA!A734</f>
        <v>42370.083333333336</v>
      </c>
      <c r="B747" s="15">
        <f>SALES_EDA!M734</f>
        <v>35.121182690808119</v>
      </c>
      <c r="C747" s="15">
        <f>SALES_EDA!T734</f>
        <v>36.981269136737261</v>
      </c>
      <c r="D747" s="6">
        <f>SALES_EDA!D734</f>
        <v>3179</v>
      </c>
      <c r="E747" s="14">
        <f>SALES_EDA!B734</f>
        <v>111650.239774079</v>
      </c>
      <c r="F747" s="1"/>
      <c r="G747" s="1"/>
      <c r="H747" s="1"/>
      <c r="I747" s="1"/>
      <c r="J747" s="1"/>
    </row>
    <row r="748" spans="1:10" x14ac:dyDescent="0.3">
      <c r="A748" s="5">
        <f>SALES_EDA!A735</f>
        <v>42371.083333333336</v>
      </c>
      <c r="B748" s="15">
        <f>SALES_EDA!M735</f>
        <v>35.087749948463433</v>
      </c>
      <c r="C748" s="15">
        <f>SALES_EDA!T735</f>
        <v>36.981700354711883</v>
      </c>
      <c r="D748" s="6">
        <f>SALES_EDA!D735</f>
        <v>7479</v>
      </c>
      <c r="E748" s="14">
        <f>SALES_EDA!B735</f>
        <v>262421.281864558</v>
      </c>
      <c r="F748" s="1"/>
      <c r="G748" s="1"/>
      <c r="H748" s="1"/>
      <c r="I748" s="1"/>
      <c r="J748" s="1"/>
    </row>
    <row r="749" spans="1:10" x14ac:dyDescent="0.3">
      <c r="A749" s="5">
        <f>SALES_EDA!A736</f>
        <v>42372.083333333336</v>
      </c>
      <c r="B749" s="15">
        <f>SALES_EDA!M736</f>
        <v>35.050604796198343</v>
      </c>
      <c r="C749" s="15">
        <f>SALES_EDA!T736</f>
        <v>36.978368515853688</v>
      </c>
      <c r="D749" s="6">
        <f>SALES_EDA!D736</f>
        <v>4694</v>
      </c>
      <c r="E749" s="14">
        <f>SALES_EDA!B736</f>
        <v>164527.53891335501</v>
      </c>
      <c r="F749" s="1"/>
      <c r="G749" s="1"/>
      <c r="H749" s="1"/>
      <c r="I749" s="1"/>
      <c r="J749" s="1"/>
    </row>
    <row r="750" spans="1:10" x14ac:dyDescent="0.3">
      <c r="A750" s="5">
        <f>SALES_EDA!A737</f>
        <v>42373.083333333336</v>
      </c>
      <c r="B750" s="15">
        <f>SALES_EDA!M737</f>
        <v>35.061857261149939</v>
      </c>
      <c r="C750" s="15">
        <f>SALES_EDA!T737</f>
        <v>36.971946140875595</v>
      </c>
      <c r="D750" s="6">
        <f>SALES_EDA!D737</f>
        <v>7843</v>
      </c>
      <c r="E750" s="14">
        <f>SALES_EDA!B737</f>
        <v>274990.14649919898</v>
      </c>
      <c r="F750" s="1"/>
      <c r="G750" s="1"/>
      <c r="H750" s="1"/>
      <c r="I750" s="1"/>
      <c r="J750" s="1"/>
    </row>
    <row r="751" spans="1:10" x14ac:dyDescent="0.3">
      <c r="A751" s="5">
        <f>SALES_EDA!A738</f>
        <v>42374.083333333336</v>
      </c>
      <c r="B751" s="15">
        <f>SALES_EDA!M738</f>
        <v>35.07932403231122</v>
      </c>
      <c r="C751" s="15">
        <f>SALES_EDA!T738</f>
        <v>36.957936378346247</v>
      </c>
      <c r="D751" s="6">
        <f>SALES_EDA!D738</f>
        <v>6150</v>
      </c>
      <c r="E751" s="14">
        <f>SALES_EDA!B738</f>
        <v>215737.842798714</v>
      </c>
      <c r="F751" s="1"/>
      <c r="G751" s="1"/>
      <c r="H751" s="1"/>
      <c r="I751" s="1"/>
      <c r="J751" s="1"/>
    </row>
    <row r="752" spans="1:10" x14ac:dyDescent="0.3">
      <c r="A752" s="5">
        <f>SALES_EDA!A739</f>
        <v>42375.083333333336</v>
      </c>
      <c r="B752" s="15">
        <f>SALES_EDA!M739</f>
        <v>41.085790377979507</v>
      </c>
      <c r="C752" s="15">
        <f>SALES_EDA!T739</f>
        <v>36.95588851486837</v>
      </c>
      <c r="D752" s="6">
        <f>SALES_EDA!D739</f>
        <v>2401</v>
      </c>
      <c r="E752" s="14">
        <f>SALES_EDA!B739</f>
        <v>98646.982697528802</v>
      </c>
      <c r="F752" s="1"/>
      <c r="G752" s="1"/>
      <c r="H752" s="1"/>
      <c r="I752" s="1"/>
      <c r="J752" s="1"/>
    </row>
    <row r="753" spans="1:10" x14ac:dyDescent="0.3">
      <c r="A753" s="5">
        <f>SALES_EDA!A740</f>
        <v>42376.083333333336</v>
      </c>
      <c r="B753" s="15">
        <f>SALES_EDA!M740</f>
        <v>41.151114653219302</v>
      </c>
      <c r="C753" s="15">
        <f>SALES_EDA!T740</f>
        <v>37.098240187917021</v>
      </c>
      <c r="D753" s="6">
        <f>SALES_EDA!D740</f>
        <v>1808</v>
      </c>
      <c r="E753" s="14">
        <f>SALES_EDA!B740</f>
        <v>74401.215293020505</v>
      </c>
      <c r="F753" s="1"/>
      <c r="G753" s="1"/>
      <c r="H753" s="1"/>
      <c r="I753" s="1"/>
      <c r="J753" s="1"/>
    </row>
    <row r="754" spans="1:10" x14ac:dyDescent="0.3">
      <c r="A754" s="5">
        <f>SALES_EDA!A741</f>
        <v>42377.083333333336</v>
      </c>
      <c r="B754" s="15">
        <f>SALES_EDA!M741</f>
        <v>41.091882419532766</v>
      </c>
      <c r="C754" s="15">
        <f>SALES_EDA!T741</f>
        <v>37.233173277336576</v>
      </c>
      <c r="D754" s="6">
        <f>SALES_EDA!D741</f>
        <v>2594</v>
      </c>
      <c r="E754" s="14">
        <f>SALES_EDA!B741</f>
        <v>106592.34299626799</v>
      </c>
      <c r="F754" s="1"/>
      <c r="G754" s="1"/>
      <c r="H754" s="1"/>
      <c r="I754" s="1"/>
      <c r="J754" s="1"/>
    </row>
    <row r="755" spans="1:10" x14ac:dyDescent="0.3">
      <c r="A755" s="5">
        <f>SALES_EDA!A742</f>
        <v>42378.083333333336</v>
      </c>
      <c r="B755" s="15">
        <f>SALES_EDA!M742</f>
        <v>41.120848563509462</v>
      </c>
      <c r="C755" s="15">
        <f>SALES_EDA!T742</f>
        <v>37.374101898149817</v>
      </c>
      <c r="D755" s="6">
        <f>SALES_EDA!D742</f>
        <v>3274</v>
      </c>
      <c r="E755" s="14">
        <f>SALES_EDA!B742</f>
        <v>134629.65819692999</v>
      </c>
      <c r="F755" s="1"/>
      <c r="G755" s="1"/>
      <c r="H755" s="1"/>
      <c r="I755" s="1"/>
      <c r="J755" s="1"/>
    </row>
    <row r="756" spans="1:10" x14ac:dyDescent="0.3">
      <c r="A756" s="5">
        <f>SALES_EDA!A743</f>
        <v>42379.083333333336</v>
      </c>
      <c r="B756" s="15">
        <f>SALES_EDA!M743</f>
        <v>41.129883578572318</v>
      </c>
      <c r="C756" s="15">
        <f>SALES_EDA!T743</f>
        <v>37.515654966633186</v>
      </c>
      <c r="D756" s="6">
        <f>SALES_EDA!D743</f>
        <v>2207</v>
      </c>
      <c r="E756" s="14">
        <f>SALES_EDA!B743</f>
        <v>90773.653057909105</v>
      </c>
      <c r="F756" s="1"/>
      <c r="G756" s="1"/>
      <c r="H756" s="1"/>
      <c r="I756" s="1"/>
      <c r="J756" s="1"/>
    </row>
    <row r="757" spans="1:10" x14ac:dyDescent="0.3">
      <c r="A757" s="5">
        <f>SALES_EDA!A744</f>
        <v>42380.083333333336</v>
      </c>
      <c r="B757" s="15">
        <f>SALES_EDA!M744</f>
        <v>41.15736460644829</v>
      </c>
      <c r="C757" s="15">
        <f>SALES_EDA!T744</f>
        <v>37.707744018650232</v>
      </c>
      <c r="D757" s="6">
        <f>SALES_EDA!D744</f>
        <v>2949</v>
      </c>
      <c r="E757" s="14">
        <f>SALES_EDA!B744</f>
        <v>121373.068224416</v>
      </c>
      <c r="F757" s="1"/>
      <c r="G757" s="1"/>
      <c r="H757" s="1"/>
      <c r="I757" s="1"/>
      <c r="J757" s="1"/>
    </row>
    <row r="758" spans="1:10" x14ac:dyDescent="0.3">
      <c r="A758" s="5">
        <f>SALES_EDA!A745</f>
        <v>42381.083333333336</v>
      </c>
      <c r="B758" s="15">
        <f>SALES_EDA!M745</f>
        <v>41.144210634662471</v>
      </c>
      <c r="C758" s="15">
        <f>SALES_EDA!T745</f>
        <v>37.846516698387582</v>
      </c>
      <c r="D758" s="6">
        <f>SALES_EDA!D745</f>
        <v>2417</v>
      </c>
      <c r="E758" s="14">
        <f>SALES_EDA!B745</f>
        <v>99445.557103979198</v>
      </c>
      <c r="F758" s="1"/>
      <c r="G758" s="1"/>
      <c r="H758" s="1"/>
      <c r="I758" s="1"/>
      <c r="J758" s="1"/>
    </row>
    <row r="759" spans="1:10" x14ac:dyDescent="0.3">
      <c r="A759" s="5">
        <f>SALES_EDA!A746</f>
        <v>42382.083333333336</v>
      </c>
      <c r="B759" s="15">
        <f>SALES_EDA!M746</f>
        <v>41.11164655113771</v>
      </c>
      <c r="C759" s="15">
        <f>SALES_EDA!T746</f>
        <v>37.987967955511586</v>
      </c>
      <c r="D759" s="6">
        <f>SALES_EDA!D746</f>
        <v>1644</v>
      </c>
      <c r="E759" s="14">
        <f>SALES_EDA!B746</f>
        <v>67587.546930070399</v>
      </c>
      <c r="F759" s="1"/>
      <c r="G759" s="1"/>
      <c r="H759" s="1"/>
      <c r="I759" s="1"/>
      <c r="J759" s="1"/>
    </row>
    <row r="760" spans="1:10" x14ac:dyDescent="0.3">
      <c r="A760" s="5">
        <f>SALES_EDA!A747</f>
        <v>42383.083333333336</v>
      </c>
      <c r="B760" s="15">
        <f>SALES_EDA!M747</f>
        <v>41.151391086331152</v>
      </c>
      <c r="C760" s="15">
        <f>SALES_EDA!T747</f>
        <v>38.177712106847942</v>
      </c>
      <c r="D760" s="6">
        <f>SALES_EDA!D747</f>
        <v>1499</v>
      </c>
      <c r="E760" s="14">
        <f>SALES_EDA!B747</f>
        <v>61685.935238410399</v>
      </c>
      <c r="F760" s="1"/>
      <c r="G760" s="1"/>
      <c r="H760" s="1"/>
      <c r="I760" s="1"/>
      <c r="J760" s="1"/>
    </row>
    <row r="761" spans="1:10" x14ac:dyDescent="0.3">
      <c r="A761" s="5">
        <f>SALES_EDA!A748</f>
        <v>42384.083333333336</v>
      </c>
      <c r="B761" s="15">
        <f>SALES_EDA!M748</f>
        <v>41.120320666618419</v>
      </c>
      <c r="C761" s="15">
        <f>SALES_EDA!T748</f>
        <v>38.361509830940051</v>
      </c>
      <c r="D761" s="6">
        <f>SALES_EDA!D748</f>
        <v>3648</v>
      </c>
      <c r="E761" s="14">
        <f>SALES_EDA!B748</f>
        <v>150006.92979182399</v>
      </c>
      <c r="F761" s="1"/>
      <c r="G761" s="1"/>
      <c r="H761" s="1"/>
      <c r="I761" s="1"/>
      <c r="J761" s="1"/>
    </row>
    <row r="762" spans="1:10" x14ac:dyDescent="0.3">
      <c r="A762" s="5">
        <f>SALES_EDA!A749</f>
        <v>42385.083333333336</v>
      </c>
      <c r="B762" s="15">
        <f>SALES_EDA!M749</f>
        <v>41.119379511071152</v>
      </c>
      <c r="C762" s="15">
        <f>SALES_EDA!T749</f>
        <v>38.554509485934751</v>
      </c>
      <c r="D762" s="6">
        <f>SALES_EDA!D749</f>
        <v>4652</v>
      </c>
      <c r="E762" s="14">
        <f>SALES_EDA!B749</f>
        <v>191287.353485503</v>
      </c>
      <c r="F762" s="1"/>
      <c r="G762" s="1"/>
      <c r="H762" s="1"/>
      <c r="I762" s="1"/>
      <c r="J762" s="1"/>
    </row>
    <row r="763" spans="1:10" x14ac:dyDescent="0.3">
      <c r="A763" s="5">
        <f>SALES_EDA!A750</f>
        <v>42386.083333333336</v>
      </c>
      <c r="B763" s="15">
        <f>SALES_EDA!M750</f>
        <v>41.116989714448984</v>
      </c>
      <c r="C763" s="15">
        <f>SALES_EDA!T750</f>
        <v>38.748460692346292</v>
      </c>
      <c r="D763" s="6">
        <f>SALES_EDA!D750</f>
        <v>2252</v>
      </c>
      <c r="E763" s="14">
        <f>SALES_EDA!B750</f>
        <v>92595.460836939106</v>
      </c>
      <c r="F763" s="1"/>
      <c r="G763" s="1"/>
      <c r="H763" s="1"/>
      <c r="I763" s="1"/>
      <c r="J763" s="1"/>
    </row>
    <row r="764" spans="1:10" x14ac:dyDescent="0.3">
      <c r="A764" s="5">
        <f>SALES_EDA!A751</f>
        <v>42387.083333333336</v>
      </c>
      <c r="B764" s="15">
        <f>SALES_EDA!M751</f>
        <v>41.131546155485445</v>
      </c>
      <c r="C764" s="15">
        <f>SALES_EDA!T751</f>
        <v>38.934030009509407</v>
      </c>
      <c r="D764" s="6">
        <f>SALES_EDA!D751</f>
        <v>2357</v>
      </c>
      <c r="E764" s="14">
        <f>SALES_EDA!B751</f>
        <v>96947.054288479194</v>
      </c>
      <c r="F764" s="1"/>
      <c r="G764" s="1"/>
      <c r="H764" s="1"/>
      <c r="I764" s="1"/>
      <c r="J764" s="1"/>
    </row>
    <row r="765" spans="1:10" x14ac:dyDescent="0.3">
      <c r="A765" s="5">
        <f>SALES_EDA!A752</f>
        <v>42388.083333333336</v>
      </c>
      <c r="B765" s="15">
        <f>SALES_EDA!M752</f>
        <v>41.115390379294752</v>
      </c>
      <c r="C765" s="15">
        <f>SALES_EDA!T752</f>
        <v>39.123097838353949</v>
      </c>
      <c r="D765" s="6">
        <f>SALES_EDA!D752</f>
        <v>1715</v>
      </c>
      <c r="E765" s="14">
        <f>SALES_EDA!B752</f>
        <v>70512.894500490496</v>
      </c>
      <c r="F765" s="1"/>
      <c r="G765" s="1"/>
      <c r="H765" s="1"/>
      <c r="I765" s="1"/>
      <c r="J765" s="1"/>
    </row>
    <row r="766" spans="1:10" x14ac:dyDescent="0.3">
      <c r="A766" s="5">
        <f>SALES_EDA!A753</f>
        <v>42389.083333333336</v>
      </c>
      <c r="B766" s="15">
        <f>SALES_EDA!M753</f>
        <v>33.41509423559485</v>
      </c>
      <c r="C766" s="15">
        <f>SALES_EDA!T753</f>
        <v>39.060574368770155</v>
      </c>
      <c r="D766" s="6">
        <f>SALES_EDA!D753</f>
        <v>4776</v>
      </c>
      <c r="E766" s="14">
        <f>SALES_EDA!B753</f>
        <v>159590.49006920101</v>
      </c>
      <c r="F766" s="1"/>
      <c r="G766" s="1"/>
      <c r="H766" s="1"/>
      <c r="I766" s="1"/>
      <c r="J766" s="1"/>
    </row>
    <row r="767" spans="1:10" x14ac:dyDescent="0.3">
      <c r="A767" s="5">
        <f>SALES_EDA!A754</f>
        <v>42390.083333333336</v>
      </c>
      <c r="B767" s="15">
        <f>SALES_EDA!M754</f>
        <v>41.183214628870026</v>
      </c>
      <c r="C767" s="15">
        <f>SALES_EDA!T754</f>
        <v>39.255698287394992</v>
      </c>
      <c r="D767" s="6">
        <f>SALES_EDA!D754</f>
        <v>1628</v>
      </c>
      <c r="E767" s="14">
        <f>SALES_EDA!B754</f>
        <v>67046.273415800402</v>
      </c>
      <c r="F767" s="1"/>
      <c r="G767" s="1"/>
      <c r="H767" s="1"/>
      <c r="I767" s="1"/>
      <c r="J767" s="1"/>
    </row>
    <row r="768" spans="1:10" x14ac:dyDescent="0.3">
      <c r="A768" s="5">
        <f>SALES_EDA!A755</f>
        <v>42391.083333333336</v>
      </c>
      <c r="B768" s="15">
        <f>SALES_EDA!M755</f>
        <v>34.197955264302081</v>
      </c>
      <c r="C768" s="15">
        <f>SALES_EDA!T755</f>
        <v>39.026737196648817</v>
      </c>
      <c r="D768" s="6">
        <f>SALES_EDA!D755</f>
        <v>7806</v>
      </c>
      <c r="E768" s="14">
        <f>SALES_EDA!B755</f>
        <v>266949.23879314202</v>
      </c>
      <c r="F768" s="1"/>
      <c r="G768" s="1"/>
      <c r="H768" s="1"/>
      <c r="I768" s="1"/>
      <c r="J768" s="1"/>
    </row>
    <row r="769" spans="1:10" x14ac:dyDescent="0.3">
      <c r="A769" s="5">
        <f>SALES_EDA!A756</f>
        <v>42392.083333333336</v>
      </c>
      <c r="B769" s="15">
        <f>SALES_EDA!M756</f>
        <v>34.231511918797175</v>
      </c>
      <c r="C769" s="15">
        <f>SALES_EDA!T756</f>
        <v>38.797318907853722</v>
      </c>
      <c r="D769" s="6">
        <f>SALES_EDA!D756</f>
        <v>9210</v>
      </c>
      <c r="E769" s="14">
        <f>SALES_EDA!B756</f>
        <v>315272.22477212199</v>
      </c>
      <c r="F769" s="1"/>
      <c r="G769" s="1"/>
      <c r="H769" s="1"/>
      <c r="I769" s="1"/>
      <c r="J769" s="1"/>
    </row>
    <row r="770" spans="1:10" x14ac:dyDescent="0.3">
      <c r="A770" s="5">
        <f>SALES_EDA!A757</f>
        <v>42393.083333333336</v>
      </c>
      <c r="B770" s="15">
        <f>SALES_EDA!M757</f>
        <v>34.276929790596419</v>
      </c>
      <c r="C770" s="15">
        <f>SALES_EDA!T757</f>
        <v>38.570831394230979</v>
      </c>
      <c r="D770" s="6">
        <f>SALES_EDA!D757</f>
        <v>4351</v>
      </c>
      <c r="E770" s="14">
        <f>SALES_EDA!B757</f>
        <v>149138.92151888501</v>
      </c>
      <c r="F770" s="1"/>
      <c r="G770" s="1"/>
      <c r="H770" s="1"/>
      <c r="I770" s="1"/>
      <c r="J770" s="1"/>
    </row>
    <row r="771" spans="1:10" x14ac:dyDescent="0.3">
      <c r="A771" s="5">
        <f>SALES_EDA!A758</f>
        <v>42394.083333333336</v>
      </c>
      <c r="B771" s="15">
        <f>SALES_EDA!M758</f>
        <v>34.273819401365081</v>
      </c>
      <c r="C771" s="15">
        <f>SALES_EDA!T758</f>
        <v>38.342561058192523</v>
      </c>
      <c r="D771" s="6">
        <f>SALES_EDA!D758</f>
        <v>6278</v>
      </c>
      <c r="E771" s="14">
        <f>SALES_EDA!B758</f>
        <v>215171.03820176999</v>
      </c>
      <c r="F771" s="1"/>
      <c r="G771" s="1"/>
      <c r="H771" s="1"/>
      <c r="I771" s="1"/>
      <c r="J771" s="1"/>
    </row>
    <row r="772" spans="1:10" x14ac:dyDescent="0.3">
      <c r="A772" s="5">
        <f>SALES_EDA!A759</f>
        <v>42395.083333333336</v>
      </c>
      <c r="B772" s="15">
        <f>SALES_EDA!M759</f>
        <v>34.245310139714455</v>
      </c>
      <c r="C772" s="15">
        <f>SALES_EDA!T759</f>
        <v>38.114433157925717</v>
      </c>
      <c r="D772" s="6">
        <f>SALES_EDA!D759</f>
        <v>5992</v>
      </c>
      <c r="E772" s="14">
        <f>SALES_EDA!B759</f>
        <v>205197.898357169</v>
      </c>
      <c r="F772" s="1"/>
      <c r="G772" s="1"/>
      <c r="H772" s="1"/>
      <c r="I772" s="1"/>
      <c r="J772" s="1"/>
    </row>
    <row r="773" spans="1:10" x14ac:dyDescent="0.3">
      <c r="A773" s="5">
        <f>SALES_EDA!A760</f>
        <v>42396.083333333336</v>
      </c>
      <c r="B773" s="15">
        <f>SALES_EDA!M760</f>
        <v>34.230207251188347</v>
      </c>
      <c r="C773" s="15">
        <f>SALES_EDA!T760</f>
        <v>37.884369433487251</v>
      </c>
      <c r="D773" s="6">
        <f>SALES_EDA!D760</f>
        <v>6265</v>
      </c>
      <c r="E773" s="14">
        <f>SALES_EDA!B760</f>
        <v>214452.24842869499</v>
      </c>
      <c r="F773" s="1"/>
      <c r="G773" s="1"/>
      <c r="H773" s="1"/>
      <c r="I773" s="1"/>
      <c r="J773" s="1"/>
    </row>
    <row r="774" spans="1:10" x14ac:dyDescent="0.3">
      <c r="A774" s="5">
        <f>SALES_EDA!A761</f>
        <v>42397.083333333336</v>
      </c>
      <c r="B774" s="15">
        <f>SALES_EDA!M761</f>
        <v>34.207229347202166</v>
      </c>
      <c r="C774" s="15">
        <f>SALES_EDA!T761</f>
        <v>37.853969292448603</v>
      </c>
      <c r="D774" s="6">
        <f>SALES_EDA!D761</f>
        <v>5723</v>
      </c>
      <c r="E774" s="14">
        <f>SALES_EDA!B761</f>
        <v>195767.97355403801</v>
      </c>
      <c r="F774" s="1"/>
      <c r="G774" s="1"/>
      <c r="H774" s="1"/>
      <c r="I774" s="1"/>
      <c r="J774" s="1"/>
    </row>
    <row r="775" spans="1:10" x14ac:dyDescent="0.3">
      <c r="A775" s="5">
        <f>SALES_EDA!A762</f>
        <v>42398.083333333336</v>
      </c>
      <c r="B775" s="15">
        <f>SALES_EDA!M762</f>
        <v>33.444061282595634</v>
      </c>
      <c r="C775" s="15">
        <f>SALES_EDA!T762</f>
        <v>37.799255114341932</v>
      </c>
      <c r="D775" s="6">
        <f>SALES_EDA!D762</f>
        <v>11900</v>
      </c>
      <c r="E775" s="14">
        <f>SALES_EDA!B762</f>
        <v>397984.329262888</v>
      </c>
      <c r="F775" s="1"/>
      <c r="G775" s="1"/>
      <c r="H775" s="1"/>
      <c r="I775" s="1"/>
      <c r="J775" s="1"/>
    </row>
    <row r="776" spans="1:10" x14ac:dyDescent="0.3">
      <c r="A776" s="5">
        <f>SALES_EDA!A763</f>
        <v>42399.083333333336</v>
      </c>
      <c r="B776" s="15">
        <f>SALES_EDA!M763</f>
        <v>33.40522016637491</v>
      </c>
      <c r="C776" s="15">
        <f>SALES_EDA!T763</f>
        <v>37.741967701794806</v>
      </c>
      <c r="D776" s="6">
        <f>SALES_EDA!D763</f>
        <v>15345</v>
      </c>
      <c r="E776" s="14">
        <f>SALES_EDA!B763</f>
        <v>512603.10345302301</v>
      </c>
      <c r="F776" s="1"/>
      <c r="G776" s="1"/>
      <c r="H776" s="1"/>
      <c r="I776" s="1"/>
      <c r="J776" s="1"/>
    </row>
    <row r="777" spans="1:10" x14ac:dyDescent="0.3">
      <c r="A777" s="5">
        <f>SALES_EDA!A764</f>
        <v>42400.083333333336</v>
      </c>
      <c r="B777" s="15">
        <f>SALES_EDA!M764</f>
        <v>33.425910642018543</v>
      </c>
      <c r="C777" s="15">
        <f>SALES_EDA!T764</f>
        <v>37.685458633501824</v>
      </c>
      <c r="D777" s="6">
        <f>SALES_EDA!D764</f>
        <v>6525</v>
      </c>
      <c r="E777" s="14">
        <f>SALES_EDA!B764</f>
        <v>218104.066939171</v>
      </c>
      <c r="F777" s="1"/>
      <c r="G777" s="1"/>
      <c r="H777" s="1"/>
      <c r="I777" s="1"/>
      <c r="J777" s="1"/>
    </row>
    <row r="778" spans="1:10" x14ac:dyDescent="0.3">
      <c r="A778" s="5">
        <f>SALES_EDA!A765</f>
        <v>42401.083333333336</v>
      </c>
      <c r="B778" s="15">
        <f>SALES_EDA!M765</f>
        <v>33.389573218434158</v>
      </c>
      <c r="C778" s="15">
        <f>SALES_EDA!T765</f>
        <v>37.628852742500847</v>
      </c>
      <c r="D778" s="6">
        <f>SALES_EDA!D765</f>
        <v>10153</v>
      </c>
      <c r="E778" s="14">
        <f>SALES_EDA!B765</f>
        <v>339004.336886762</v>
      </c>
      <c r="F778" s="1"/>
      <c r="G778" s="1"/>
      <c r="H778" s="1"/>
      <c r="I778" s="1"/>
      <c r="J778" s="1"/>
    </row>
    <row r="779" spans="1:10" x14ac:dyDescent="0.3">
      <c r="A779" s="5">
        <f>SALES_EDA!A766</f>
        <v>42402.083333333336</v>
      </c>
      <c r="B779" s="15">
        <f>SALES_EDA!M766</f>
        <v>34.267665023110276</v>
      </c>
      <c r="C779" s="15">
        <f>SALES_EDA!T766</f>
        <v>37.602754750064577</v>
      </c>
      <c r="D779" s="6">
        <f>SALES_EDA!D766</f>
        <v>8116</v>
      </c>
      <c r="E779" s="14">
        <f>SALES_EDA!B766</f>
        <v>278116.36932756298</v>
      </c>
      <c r="F779" s="1"/>
      <c r="G779" s="1"/>
      <c r="H779" s="1"/>
      <c r="I779" s="1"/>
      <c r="J779" s="1"/>
    </row>
    <row r="780" spans="1:10" x14ac:dyDescent="0.3">
      <c r="A780" s="5">
        <f>SALES_EDA!A767</f>
        <v>42403.083333333336</v>
      </c>
      <c r="B780" s="15">
        <f>SALES_EDA!M767</f>
        <v>34.253021344706042</v>
      </c>
      <c r="C780" s="15">
        <f>SALES_EDA!T767</f>
        <v>37.575793552849774</v>
      </c>
      <c r="D780" s="6">
        <f>SALES_EDA!D767</f>
        <v>7712</v>
      </c>
      <c r="E780" s="14">
        <f>SALES_EDA!B767</f>
        <v>264159.30061037297</v>
      </c>
      <c r="F780" s="1"/>
      <c r="G780" s="1"/>
      <c r="H780" s="1"/>
      <c r="I780" s="1"/>
      <c r="J780" s="1"/>
    </row>
    <row r="781" spans="1:10" x14ac:dyDescent="0.3">
      <c r="A781" s="5">
        <f>SALES_EDA!A768</f>
        <v>42404.083333333336</v>
      </c>
      <c r="B781" s="15">
        <f>SALES_EDA!M768</f>
        <v>34.342443782003642</v>
      </c>
      <c r="C781" s="15">
        <f>SALES_EDA!T768</f>
        <v>37.551230877839515</v>
      </c>
      <c r="D781" s="6">
        <f>SALES_EDA!D768</f>
        <v>5759</v>
      </c>
      <c r="E781" s="14">
        <f>SALES_EDA!B768</f>
        <v>197778.13374055899</v>
      </c>
      <c r="F781" s="1"/>
      <c r="G781" s="1"/>
      <c r="H781" s="1"/>
      <c r="I781" s="1"/>
      <c r="J781" s="1"/>
    </row>
    <row r="782" spans="1:10" x14ac:dyDescent="0.3">
      <c r="A782" s="5">
        <f>SALES_EDA!A769</f>
        <v>42405.083333333336</v>
      </c>
      <c r="B782" s="15">
        <f>SALES_EDA!M769</f>
        <v>34.285760331222711</v>
      </c>
      <c r="C782" s="15">
        <f>SALES_EDA!T769</f>
        <v>37.32456320961429</v>
      </c>
      <c r="D782" s="6">
        <f>SALES_EDA!D769</f>
        <v>9501</v>
      </c>
      <c r="E782" s="14">
        <f>SALES_EDA!B769</f>
        <v>325749.00890694698</v>
      </c>
      <c r="F782" s="1"/>
      <c r="G782" s="1"/>
      <c r="H782" s="1"/>
      <c r="I782" s="1"/>
      <c r="J782" s="1"/>
    </row>
    <row r="783" spans="1:10" x14ac:dyDescent="0.3">
      <c r="A783" s="5">
        <f>SALES_EDA!A770</f>
        <v>42406.083333333336</v>
      </c>
      <c r="B783" s="15">
        <f>SALES_EDA!M770</f>
        <v>34.276935091071401</v>
      </c>
      <c r="C783" s="15">
        <f>SALES_EDA!T770</f>
        <v>37.095423890876027</v>
      </c>
      <c r="D783" s="6">
        <f>SALES_EDA!D770</f>
        <v>10840</v>
      </c>
      <c r="E783" s="14">
        <f>SALES_EDA!B770</f>
        <v>371561.97638721397</v>
      </c>
      <c r="F783" s="1"/>
      <c r="G783" s="1"/>
      <c r="H783" s="1"/>
      <c r="I783" s="1"/>
      <c r="J783" s="1"/>
    </row>
    <row r="784" spans="1:10" x14ac:dyDescent="0.3">
      <c r="A784" s="5">
        <f>SALES_EDA!A771</f>
        <v>42407.083333333336</v>
      </c>
      <c r="B784" s="15">
        <f>SALES_EDA!M771</f>
        <v>34.305694015686974</v>
      </c>
      <c r="C784" s="15">
        <f>SALES_EDA!T771</f>
        <v>36.869217610747825</v>
      </c>
      <c r="D784" s="6">
        <f>SALES_EDA!D771</f>
        <v>5089</v>
      </c>
      <c r="E784" s="14">
        <f>SALES_EDA!B771</f>
        <v>174581.67684583101</v>
      </c>
      <c r="F784" s="1"/>
      <c r="G784" s="1"/>
      <c r="H784" s="1"/>
      <c r="I784" s="1"/>
      <c r="J784" s="1"/>
    </row>
    <row r="785" spans="1:10" x14ac:dyDescent="0.3">
      <c r="A785" s="5">
        <f>SALES_EDA!A772</f>
        <v>42408.083333333336</v>
      </c>
      <c r="B785" s="15">
        <f>SALES_EDA!M772</f>
        <v>34.251580321887793</v>
      </c>
      <c r="C785" s="15">
        <f>SALES_EDA!T772</f>
        <v>36.640242002693775</v>
      </c>
      <c r="D785" s="6">
        <f>SALES_EDA!D772</f>
        <v>6087</v>
      </c>
      <c r="E785" s="14">
        <f>SALES_EDA!B772</f>
        <v>208489.36941933099</v>
      </c>
      <c r="F785" s="1"/>
      <c r="G785" s="1"/>
      <c r="H785" s="1"/>
      <c r="I785" s="1"/>
      <c r="J785" s="1"/>
    </row>
    <row r="786" spans="1:10" x14ac:dyDescent="0.3">
      <c r="A786" s="5">
        <f>SALES_EDA!A773</f>
        <v>42409.083333333336</v>
      </c>
      <c r="B786" s="15">
        <f>SALES_EDA!M773</f>
        <v>41.156924825932826</v>
      </c>
      <c r="C786" s="15">
        <f>SALES_EDA!T773</f>
        <v>36.641143377605793</v>
      </c>
      <c r="D786" s="6">
        <f>SALES_EDA!D773</f>
        <v>2053</v>
      </c>
      <c r="E786" s="14">
        <f>SALES_EDA!B773</f>
        <v>84495.166667640093</v>
      </c>
      <c r="F786" s="1"/>
      <c r="G786" s="1"/>
      <c r="H786" s="1"/>
      <c r="I786" s="1"/>
      <c r="J786" s="1"/>
    </row>
    <row r="787" spans="1:10" x14ac:dyDescent="0.3">
      <c r="A787" s="5">
        <f>SALES_EDA!A774</f>
        <v>42410.083333333336</v>
      </c>
      <c r="B787" s="15">
        <f>SALES_EDA!M774</f>
        <v>42.006164400098307</v>
      </c>
      <c r="C787" s="15">
        <f>SALES_EDA!T774</f>
        <v>36.669436704060786</v>
      </c>
      <c r="D787" s="6">
        <f>SALES_EDA!D774</f>
        <v>1825</v>
      </c>
      <c r="E787" s="14">
        <f>SALES_EDA!B774</f>
        <v>76661.250030179406</v>
      </c>
      <c r="F787" s="1"/>
      <c r="G787" s="1"/>
      <c r="H787" s="1"/>
      <c r="I787" s="1"/>
      <c r="J787" s="1"/>
    </row>
    <row r="788" spans="1:10" x14ac:dyDescent="0.3">
      <c r="A788" s="5">
        <f>SALES_EDA!A775</f>
        <v>42411.083333333336</v>
      </c>
      <c r="B788" s="15">
        <f>SALES_EDA!M775</f>
        <v>41.990124891481841</v>
      </c>
      <c r="C788" s="15">
        <f>SALES_EDA!T775</f>
        <v>36.697633845954776</v>
      </c>
      <c r="D788" s="6">
        <f>SALES_EDA!D775</f>
        <v>1525</v>
      </c>
      <c r="E788" s="14">
        <f>SALES_EDA!B775</f>
        <v>64034.940459509802</v>
      </c>
      <c r="F788" s="1"/>
      <c r="G788" s="1"/>
      <c r="H788" s="1"/>
      <c r="I788" s="1"/>
      <c r="J788" s="1"/>
    </row>
    <row r="789" spans="1:10" x14ac:dyDescent="0.3">
      <c r="A789" s="5">
        <f>SALES_EDA!A776</f>
        <v>42412.083333333336</v>
      </c>
      <c r="B789" s="15">
        <f>SALES_EDA!M776</f>
        <v>42.021449708714009</v>
      </c>
      <c r="C789" s="15">
        <f>SALES_EDA!T776</f>
        <v>36.72796061787399</v>
      </c>
      <c r="D789" s="6">
        <f>SALES_EDA!D776</f>
        <v>3542</v>
      </c>
      <c r="E789" s="14">
        <f>SALES_EDA!B776</f>
        <v>148839.97486826501</v>
      </c>
      <c r="F789" s="1"/>
      <c r="G789" s="1"/>
      <c r="H789" s="1"/>
      <c r="I789" s="1"/>
      <c r="J789" s="1"/>
    </row>
    <row r="790" spans="1:10" x14ac:dyDescent="0.3">
      <c r="A790" s="5">
        <f>SALES_EDA!A777</f>
        <v>42413.083333333336</v>
      </c>
      <c r="B790" s="15">
        <f>SALES_EDA!M777</f>
        <v>42.032036036424849</v>
      </c>
      <c r="C790" s="15">
        <f>SALES_EDA!T777</f>
        <v>36.757315449543775</v>
      </c>
      <c r="D790" s="6">
        <f>SALES_EDA!D777</f>
        <v>4105</v>
      </c>
      <c r="E790" s="14">
        <f>SALES_EDA!B777</f>
        <v>172541.507929524</v>
      </c>
      <c r="F790" s="1"/>
      <c r="G790" s="1"/>
      <c r="H790" s="1"/>
      <c r="I790" s="1"/>
      <c r="J790" s="1"/>
    </row>
    <row r="791" spans="1:10" x14ac:dyDescent="0.3">
      <c r="A791" s="5">
        <f>SALES_EDA!A778</f>
        <v>42414.083333333336</v>
      </c>
      <c r="B791" s="15">
        <f>SALES_EDA!M778</f>
        <v>42.020851481431947</v>
      </c>
      <c r="C791" s="15">
        <f>SALES_EDA!T778</f>
        <v>36.787333143370894</v>
      </c>
      <c r="D791" s="6">
        <f>SALES_EDA!D778</f>
        <v>2094</v>
      </c>
      <c r="E791" s="14">
        <f>SALES_EDA!B778</f>
        <v>87991.663002118497</v>
      </c>
      <c r="F791" s="1"/>
      <c r="G791" s="1"/>
      <c r="H791" s="1"/>
      <c r="I791" s="1"/>
      <c r="J791" s="1"/>
    </row>
    <row r="792" spans="1:10" x14ac:dyDescent="0.3">
      <c r="A792" s="5">
        <f>SALES_EDA!A779</f>
        <v>42415.083333333336</v>
      </c>
      <c r="B792" s="15">
        <f>SALES_EDA!M779</f>
        <v>41.988225017152381</v>
      </c>
      <c r="C792" s="15">
        <f>SALES_EDA!T779</f>
        <v>36.816294660240267</v>
      </c>
      <c r="D792" s="6">
        <f>SALES_EDA!D779</f>
        <v>2940</v>
      </c>
      <c r="E792" s="14">
        <f>SALES_EDA!B779</f>
        <v>123445.38155042801</v>
      </c>
      <c r="F792" s="1"/>
      <c r="G792" s="1"/>
      <c r="H792" s="1"/>
      <c r="I792" s="1"/>
      <c r="J792" s="1"/>
    </row>
    <row r="793" spans="1:10" x14ac:dyDescent="0.3">
      <c r="A793" s="5">
        <f>SALES_EDA!A780</f>
        <v>42416.083333333336</v>
      </c>
      <c r="B793" s="15">
        <f>SALES_EDA!M780</f>
        <v>42.012325841210973</v>
      </c>
      <c r="C793" s="15">
        <f>SALES_EDA!T780</f>
        <v>36.846139197798998</v>
      </c>
      <c r="D793" s="6">
        <f>SALES_EDA!D780</f>
        <v>1841</v>
      </c>
      <c r="E793" s="14">
        <f>SALES_EDA!B780</f>
        <v>77344.691873669406</v>
      </c>
      <c r="F793" s="1"/>
      <c r="G793" s="1"/>
      <c r="H793" s="1"/>
      <c r="I793" s="1"/>
      <c r="J793" s="1"/>
    </row>
    <row r="794" spans="1:10" x14ac:dyDescent="0.3">
      <c r="A794" s="5">
        <f>SALES_EDA!A781</f>
        <v>42417.083333333336</v>
      </c>
      <c r="B794" s="15">
        <f>SALES_EDA!M781</f>
        <v>35.098923577344884</v>
      </c>
      <c r="C794" s="15">
        <f>SALES_EDA!T781</f>
        <v>36.645051778527652</v>
      </c>
      <c r="D794" s="6">
        <f>SALES_EDA!D781</f>
        <v>4529</v>
      </c>
      <c r="E794" s="14">
        <f>SALES_EDA!B781</f>
        <v>158963.02488179499</v>
      </c>
      <c r="F794" s="1"/>
      <c r="G794" s="1"/>
      <c r="H794" s="1"/>
      <c r="I794" s="1"/>
      <c r="J794" s="1"/>
    </row>
    <row r="795" spans="1:10" x14ac:dyDescent="0.3">
      <c r="A795" s="5">
        <f>SALES_EDA!A782</f>
        <v>42418.083333333336</v>
      </c>
      <c r="B795" s="15">
        <f>SALES_EDA!M782</f>
        <v>41.977123735186787</v>
      </c>
      <c r="C795" s="15">
        <f>SALES_EDA!T782</f>
        <v>36.673776223724055</v>
      </c>
      <c r="D795" s="6">
        <f>SALES_EDA!D782</f>
        <v>1658</v>
      </c>
      <c r="E795" s="14">
        <f>SALES_EDA!B782</f>
        <v>69598.071152939694</v>
      </c>
      <c r="F795" s="1"/>
      <c r="G795" s="1"/>
      <c r="H795" s="1"/>
      <c r="I795" s="1"/>
      <c r="J795" s="1"/>
    </row>
    <row r="796" spans="1:10" x14ac:dyDescent="0.3">
      <c r="A796" s="5">
        <f>SALES_EDA!A783</f>
        <v>42419.083333333336</v>
      </c>
      <c r="B796" s="15">
        <f>SALES_EDA!M783</f>
        <v>41.987920385005204</v>
      </c>
      <c r="C796" s="15">
        <f>SALES_EDA!T783</f>
        <v>36.959537095371068</v>
      </c>
      <c r="D796" s="6">
        <f>SALES_EDA!D783</f>
        <v>3841</v>
      </c>
      <c r="E796" s="14">
        <f>SALES_EDA!B783</f>
        <v>161275.60219880499</v>
      </c>
      <c r="F796" s="1"/>
      <c r="G796" s="1"/>
      <c r="H796" s="1"/>
      <c r="I796" s="1"/>
      <c r="J796" s="1"/>
    </row>
    <row r="797" spans="1:10" x14ac:dyDescent="0.3">
      <c r="A797" s="5">
        <f>SALES_EDA!A784</f>
        <v>42420.083333333336</v>
      </c>
      <c r="B797" s="15">
        <f>SALES_EDA!M784</f>
        <v>35.120418660084447</v>
      </c>
      <c r="C797" s="15">
        <f>SALES_EDA!T784</f>
        <v>36.757443896411552</v>
      </c>
      <c r="D797" s="6">
        <f>SALES_EDA!D784</f>
        <v>9260</v>
      </c>
      <c r="E797" s="14">
        <f>SALES_EDA!B784</f>
        <v>325215.07679238199</v>
      </c>
      <c r="F797" s="1"/>
      <c r="G797" s="1"/>
      <c r="H797" s="1"/>
      <c r="I797" s="1"/>
      <c r="J797" s="1"/>
    </row>
    <row r="798" spans="1:10" x14ac:dyDescent="0.3">
      <c r="A798" s="5">
        <f>SALES_EDA!A785</f>
        <v>42421.083333333336</v>
      </c>
      <c r="B798" s="15">
        <f>SALES_EDA!M785</f>
        <v>42.009226969002647</v>
      </c>
      <c r="C798" s="15">
        <f>SALES_EDA!T785</f>
        <v>37.017819619901552</v>
      </c>
      <c r="D798" s="6">
        <f>SALES_EDA!D785</f>
        <v>2308</v>
      </c>
      <c r="E798" s="14">
        <f>SALES_EDA!B785</f>
        <v>96957.295844458102</v>
      </c>
      <c r="F798" s="1"/>
      <c r="G798" s="1"/>
      <c r="H798" s="1"/>
      <c r="I798" s="1"/>
      <c r="J798" s="1"/>
    </row>
    <row r="799" spans="1:10" x14ac:dyDescent="0.3">
      <c r="A799" s="5">
        <f>SALES_EDA!A786</f>
        <v>42422.083333333336</v>
      </c>
      <c r="B799" s="15">
        <f>SALES_EDA!M786</f>
        <v>42.02390389113846</v>
      </c>
      <c r="C799" s="15">
        <f>SALES_EDA!T786</f>
        <v>37.277566018979606</v>
      </c>
      <c r="D799" s="6">
        <f>SALES_EDA!D786</f>
        <v>2028</v>
      </c>
      <c r="E799" s="14">
        <f>SALES_EDA!B786</f>
        <v>85224.477091228793</v>
      </c>
      <c r="F799" s="1"/>
      <c r="G799" s="1"/>
      <c r="H799" s="1"/>
      <c r="I799" s="1"/>
      <c r="J799" s="1"/>
    </row>
    <row r="800" spans="1:10" x14ac:dyDescent="0.3">
      <c r="A800" s="5">
        <f>SALES_EDA!A787</f>
        <v>42423.083333333336</v>
      </c>
      <c r="B800" s="15">
        <f>SALES_EDA!M787</f>
        <v>41.977616327086778</v>
      </c>
      <c r="C800" s="15">
        <f>SALES_EDA!T787</f>
        <v>37.534255570195938</v>
      </c>
      <c r="D800" s="6">
        <f>SALES_EDA!D787</f>
        <v>1301</v>
      </c>
      <c r="E800" s="14">
        <f>SALES_EDA!B787</f>
        <v>54612.878841539903</v>
      </c>
      <c r="F800" s="1"/>
      <c r="G800" s="1"/>
      <c r="H800" s="1"/>
      <c r="I800" s="1"/>
      <c r="J800" s="1"/>
    </row>
    <row r="801" spans="1:10" x14ac:dyDescent="0.3">
      <c r="A801" s="5">
        <f>SALES_EDA!A788</f>
        <v>42424.083333333336</v>
      </c>
      <c r="B801" s="15">
        <f>SALES_EDA!M788</f>
        <v>36.841668496305736</v>
      </c>
      <c r="C801" s="15">
        <f>SALES_EDA!T788</f>
        <v>37.619850540027301</v>
      </c>
      <c r="D801" s="6">
        <f>SALES_EDA!D788</f>
        <v>2213</v>
      </c>
      <c r="E801" s="14">
        <f>SALES_EDA!B788</f>
        <v>81530.612382324602</v>
      </c>
      <c r="F801" s="1"/>
      <c r="G801" s="1"/>
      <c r="H801" s="1"/>
      <c r="I801" s="1"/>
      <c r="J801" s="1"/>
    </row>
    <row r="802" spans="1:10" x14ac:dyDescent="0.3">
      <c r="A802" s="5">
        <f>SALES_EDA!A789</f>
        <v>42425.083333333336</v>
      </c>
      <c r="B802" s="15">
        <f>SALES_EDA!M789</f>
        <v>36.545761271613991</v>
      </c>
      <c r="C802" s="15">
        <f>SALES_EDA!T789</f>
        <v>37.696532244423956</v>
      </c>
      <c r="D802" s="6">
        <f>SALES_EDA!D789</f>
        <v>4404</v>
      </c>
      <c r="E802" s="14">
        <f>SALES_EDA!B789</f>
        <v>160947.532640188</v>
      </c>
      <c r="F802" s="1"/>
      <c r="G802" s="1"/>
      <c r="H802" s="1"/>
      <c r="I802" s="1"/>
      <c r="J802" s="1"/>
    </row>
    <row r="803" spans="1:10" x14ac:dyDescent="0.3">
      <c r="A803" s="5">
        <f>SALES_EDA!A790</f>
        <v>42426.083333333336</v>
      </c>
      <c r="B803" s="15">
        <f>SALES_EDA!M790</f>
        <v>38.244427034941232</v>
      </c>
      <c r="C803" s="15">
        <f>SALES_EDA!T790</f>
        <v>37.830339570549057</v>
      </c>
      <c r="D803" s="6">
        <f>SALES_EDA!D790</f>
        <v>4935</v>
      </c>
      <c r="E803" s="14">
        <f>SALES_EDA!B790</f>
        <v>188736.24741743499</v>
      </c>
      <c r="F803" s="1"/>
      <c r="G803" s="1"/>
      <c r="H803" s="1"/>
      <c r="I803" s="1"/>
      <c r="J803" s="1"/>
    </row>
    <row r="804" spans="1:10" x14ac:dyDescent="0.3">
      <c r="A804" s="5">
        <f>SALES_EDA!A791</f>
        <v>42427.083333333336</v>
      </c>
      <c r="B804" s="15">
        <f>SALES_EDA!M791</f>
        <v>38.500892827076839</v>
      </c>
      <c r="C804" s="15">
        <f>SALES_EDA!T791</f>
        <v>37.973461686544873</v>
      </c>
      <c r="D804" s="6">
        <f>SALES_EDA!D791</f>
        <v>5609</v>
      </c>
      <c r="E804" s="14">
        <f>SALES_EDA!B791</f>
        <v>215951.50786707399</v>
      </c>
      <c r="F804" s="1"/>
      <c r="G804" s="1"/>
      <c r="H804" s="1"/>
      <c r="I804" s="1"/>
      <c r="J804" s="1"/>
    </row>
    <row r="805" spans="1:10" x14ac:dyDescent="0.3">
      <c r="A805" s="5">
        <f>SALES_EDA!A792</f>
        <v>42428.083333333336</v>
      </c>
      <c r="B805" s="15">
        <f>SALES_EDA!M792</f>
        <v>39.106562716090096</v>
      </c>
      <c r="C805" s="15">
        <f>SALES_EDA!T792</f>
        <v>38.162211734328018</v>
      </c>
      <c r="D805" s="6">
        <f>SALES_EDA!D792</f>
        <v>3452</v>
      </c>
      <c r="E805" s="14">
        <f>SALES_EDA!B792</f>
        <v>134995.854495943</v>
      </c>
      <c r="F805" s="1"/>
      <c r="G805" s="1"/>
      <c r="H805" s="1"/>
      <c r="I805" s="1"/>
      <c r="J805" s="1"/>
    </row>
    <row r="806" spans="1:10" x14ac:dyDescent="0.3">
      <c r="A806" s="5">
        <f>SALES_EDA!A793</f>
        <v>42429.083333333336</v>
      </c>
      <c r="B806" s="15">
        <f>SALES_EDA!M793</f>
        <v>38.191891813575644</v>
      </c>
      <c r="C806" s="15">
        <f>SALES_EDA!T793</f>
        <v>38.32176745590138</v>
      </c>
      <c r="D806" s="6">
        <f>SALES_EDA!D793</f>
        <v>4270</v>
      </c>
      <c r="E806" s="14">
        <f>SALES_EDA!B793</f>
        <v>163079.378043968</v>
      </c>
      <c r="F806" s="1"/>
      <c r="G806" s="1"/>
      <c r="H806" s="1"/>
      <c r="I806" s="1"/>
      <c r="J806" s="1"/>
    </row>
    <row r="807" spans="1:10" x14ac:dyDescent="0.3">
      <c r="A807" s="5">
        <f>SALES_EDA!A794</f>
        <v>42430.083333333336</v>
      </c>
      <c r="B807" s="15">
        <f>SALES_EDA!M794</f>
        <v>38.31927825637338</v>
      </c>
      <c r="C807" s="15">
        <f>SALES_EDA!T794</f>
        <v>38.484879709713212</v>
      </c>
      <c r="D807" s="6">
        <f>SALES_EDA!D794</f>
        <v>4719</v>
      </c>
      <c r="E807" s="14">
        <f>SALES_EDA!B794</f>
        <v>180828.67409182599</v>
      </c>
      <c r="F807" s="1"/>
      <c r="G807" s="1"/>
      <c r="H807" s="1"/>
      <c r="I807" s="1"/>
      <c r="J807" s="1"/>
    </row>
    <row r="808" spans="1:10" x14ac:dyDescent="0.3">
      <c r="A808" s="5">
        <f>SALES_EDA!A795</f>
        <v>42431.083333333336</v>
      </c>
      <c r="B808" s="15">
        <f>SALES_EDA!M795</f>
        <v>38.462407367887216</v>
      </c>
      <c r="C808" s="15">
        <f>SALES_EDA!T795</f>
        <v>38.65397418136164</v>
      </c>
      <c r="D808" s="6">
        <f>SALES_EDA!D795</f>
        <v>4451</v>
      </c>
      <c r="E808" s="14">
        <f>SALES_EDA!B795</f>
        <v>171196.17519446599</v>
      </c>
      <c r="F808" s="1"/>
      <c r="G808" s="1"/>
      <c r="H808" s="1"/>
      <c r="I808" s="1"/>
      <c r="J808" s="1"/>
    </row>
    <row r="809" spans="1:10" x14ac:dyDescent="0.3">
      <c r="A809" s="5">
        <f>SALES_EDA!A796</f>
        <v>42432.083333333336</v>
      </c>
      <c r="B809" s="15">
        <f>SALES_EDA!M796</f>
        <v>38.56095437762604</v>
      </c>
      <c r="C809" s="15">
        <f>SALES_EDA!T796</f>
        <v>38.797083826512171</v>
      </c>
      <c r="D809" s="6">
        <f>SALES_EDA!D796</f>
        <v>3364</v>
      </c>
      <c r="E809" s="14">
        <f>SALES_EDA!B796</f>
        <v>129719.050526334</v>
      </c>
      <c r="F809" s="1"/>
      <c r="G809" s="1"/>
      <c r="H809" s="1"/>
      <c r="I809" s="1"/>
      <c r="J809" s="1"/>
    </row>
    <row r="810" spans="1:10" x14ac:dyDescent="0.3">
      <c r="A810" s="5">
        <f>SALES_EDA!A797</f>
        <v>42433.083333333336</v>
      </c>
      <c r="B810" s="15">
        <f>SALES_EDA!M797</f>
        <v>38.779711348052658</v>
      </c>
      <c r="C810" s="15">
        <f>SALES_EDA!T797</f>
        <v>38.947973493290391</v>
      </c>
      <c r="D810" s="6">
        <f>SALES_EDA!D797</f>
        <v>3665</v>
      </c>
      <c r="E810" s="14">
        <f>SALES_EDA!B797</f>
        <v>142127.64209061299</v>
      </c>
      <c r="F810" s="1"/>
      <c r="G810" s="1"/>
      <c r="H810" s="1"/>
      <c r="I810" s="1"/>
      <c r="J810" s="1"/>
    </row>
    <row r="811" spans="1:10" x14ac:dyDescent="0.3">
      <c r="A811" s="5">
        <f>SALES_EDA!A798</f>
        <v>42434.083333333336</v>
      </c>
      <c r="B811" s="15">
        <f>SALES_EDA!M798</f>
        <v>39.11658727033376</v>
      </c>
      <c r="C811" s="15">
        <f>SALES_EDA!T798</f>
        <v>39.107111609568065</v>
      </c>
      <c r="D811" s="6">
        <f>SALES_EDA!D798</f>
        <v>3889</v>
      </c>
      <c r="E811" s="14">
        <f>SALES_EDA!B798</f>
        <v>152124.407894328</v>
      </c>
      <c r="F811" s="1"/>
      <c r="G811" s="1"/>
      <c r="H811" s="1"/>
      <c r="I811" s="1"/>
      <c r="J811" s="1"/>
    </row>
    <row r="812" spans="1:10" x14ac:dyDescent="0.3">
      <c r="A812" s="5">
        <f>SALES_EDA!A799</f>
        <v>42435.083333333336</v>
      </c>
      <c r="B812" s="15">
        <f>SALES_EDA!M799</f>
        <v>39.390428811410359</v>
      </c>
      <c r="C812" s="15">
        <f>SALES_EDA!T799</f>
        <v>39.27726722557432</v>
      </c>
      <c r="D812" s="6">
        <f>SALES_EDA!D799</f>
        <v>1882</v>
      </c>
      <c r="E812" s="14">
        <f>SALES_EDA!B799</f>
        <v>74132.787023074299</v>
      </c>
      <c r="F812" s="1"/>
      <c r="G812" s="1"/>
      <c r="H812" s="1"/>
      <c r="I812" s="1"/>
      <c r="J812" s="1"/>
    </row>
    <row r="813" spans="1:10" x14ac:dyDescent="0.3">
      <c r="A813" s="5">
        <f>SALES_EDA!A800</f>
        <v>42436.083333333336</v>
      </c>
      <c r="B813" s="15">
        <f>SALES_EDA!M800</f>
        <v>37.897309192394722</v>
      </c>
      <c r="C813" s="15">
        <f>SALES_EDA!T800</f>
        <v>39.397946362285097</v>
      </c>
      <c r="D813" s="6">
        <f>SALES_EDA!D800</f>
        <v>2405</v>
      </c>
      <c r="E813" s="14">
        <f>SALES_EDA!B800</f>
        <v>91143.028607709304</v>
      </c>
      <c r="F813" s="1"/>
      <c r="G813" s="1"/>
      <c r="H813" s="1"/>
      <c r="I813" s="1"/>
      <c r="J813" s="1"/>
    </row>
    <row r="814" spans="1:10" x14ac:dyDescent="0.3">
      <c r="A814" s="5">
        <f>SALES_EDA!A801</f>
        <v>42437.083333333336</v>
      </c>
      <c r="B814" s="15">
        <f>SALES_EDA!M801</f>
        <v>38.381796676058975</v>
      </c>
      <c r="C814" s="15">
        <f>SALES_EDA!T801</f>
        <v>39.533816450964167</v>
      </c>
      <c r="D814" s="6">
        <f>SALES_EDA!D801</f>
        <v>1577</v>
      </c>
      <c r="E814" s="14">
        <f>SALES_EDA!B801</f>
        <v>60528.093358145001</v>
      </c>
      <c r="F814" s="1"/>
      <c r="G814" s="1"/>
      <c r="H814" s="1"/>
      <c r="I814" s="1"/>
      <c r="J814" s="1"/>
    </row>
    <row r="815" spans="1:10" x14ac:dyDescent="0.3">
      <c r="A815" s="5">
        <f>SALES_EDA!A802</f>
        <v>42438.083333333336</v>
      </c>
      <c r="B815" s="15">
        <f>SALES_EDA!M802</f>
        <v>41.994085006659581</v>
      </c>
      <c r="C815" s="15">
        <f>SALES_EDA!T802</f>
        <v>39.79189994045656</v>
      </c>
      <c r="D815" s="6">
        <f>SALES_EDA!D802</f>
        <v>913</v>
      </c>
      <c r="E815" s="14">
        <f>SALES_EDA!B802</f>
        <v>38340.599611080201</v>
      </c>
      <c r="F815" s="1"/>
      <c r="G815" s="1"/>
      <c r="H815" s="1"/>
      <c r="I815" s="1"/>
      <c r="J815" s="1"/>
    </row>
    <row r="816" spans="1:10" x14ac:dyDescent="0.3">
      <c r="A816" s="5">
        <f>SALES_EDA!A803</f>
        <v>42439.083333333336</v>
      </c>
      <c r="B816" s="15">
        <f>SALES_EDA!M803</f>
        <v>41.987675092500226</v>
      </c>
      <c r="C816" s="15">
        <f>SALES_EDA!T803</f>
        <v>39.8195916160088</v>
      </c>
      <c r="D816" s="6">
        <f>SALES_EDA!D803</f>
        <v>892</v>
      </c>
      <c r="E816" s="14">
        <f>SALES_EDA!B803</f>
        <v>37453.006182510202</v>
      </c>
      <c r="F816" s="1"/>
      <c r="G816" s="1"/>
      <c r="H816" s="1"/>
      <c r="I816" s="1"/>
      <c r="J816" s="1"/>
    </row>
    <row r="817" spans="1:10" x14ac:dyDescent="0.3">
      <c r="A817" s="5">
        <f>SALES_EDA!A804</f>
        <v>42440.083333333336</v>
      </c>
      <c r="B817" s="15">
        <f>SALES_EDA!M804</f>
        <v>42.046924535239569</v>
      </c>
      <c r="C817" s="15">
        <f>SALES_EDA!T804</f>
        <v>39.820950287180182</v>
      </c>
      <c r="D817" s="6">
        <f>SALES_EDA!D804</f>
        <v>1855</v>
      </c>
      <c r="E817" s="14">
        <f>SALES_EDA!B804</f>
        <v>77997.045012869406</v>
      </c>
      <c r="F817" s="1"/>
      <c r="G817" s="1"/>
      <c r="H817" s="1"/>
      <c r="I817" s="1"/>
      <c r="J817" s="1"/>
    </row>
    <row r="818" spans="1:10" x14ac:dyDescent="0.3">
      <c r="A818" s="5">
        <f>SALES_EDA!A805</f>
        <v>42441.083333333336</v>
      </c>
      <c r="B818" s="15">
        <f>SALES_EDA!M805</f>
        <v>42.041266567226828</v>
      </c>
      <c r="C818" s="15">
        <f>SALES_EDA!T805</f>
        <v>39.822655009705016</v>
      </c>
      <c r="D818" s="6">
        <f>SALES_EDA!D805</f>
        <v>1897</v>
      </c>
      <c r="E818" s="14">
        <f>SALES_EDA!B805</f>
        <v>79752.282678029296</v>
      </c>
      <c r="F818" s="1"/>
      <c r="G818" s="1"/>
      <c r="H818" s="1"/>
      <c r="I818" s="1"/>
      <c r="J818" s="1"/>
    </row>
    <row r="819" spans="1:10" x14ac:dyDescent="0.3">
      <c r="A819" s="5">
        <f>SALES_EDA!A806</f>
        <v>42442.083333333336</v>
      </c>
      <c r="B819" s="15">
        <f>SALES_EDA!M806</f>
        <v>42.078809155787312</v>
      </c>
      <c r="C819" s="15">
        <f>SALES_EDA!T806</f>
        <v>39.824566991274118</v>
      </c>
      <c r="D819" s="6">
        <f>SALES_EDA!D806</f>
        <v>883</v>
      </c>
      <c r="E819" s="14">
        <f>SALES_EDA!B806</f>
        <v>37155.588484560198</v>
      </c>
      <c r="F819" s="1"/>
      <c r="G819" s="1"/>
      <c r="H819" s="1"/>
      <c r="I819" s="1"/>
      <c r="J819" s="1"/>
    </row>
    <row r="820" spans="1:10" x14ac:dyDescent="0.3">
      <c r="A820" s="5">
        <f>SALES_EDA!A807</f>
        <v>42443.083333333336</v>
      </c>
      <c r="B820" s="15">
        <f>SALES_EDA!M807</f>
        <v>42.060236428039403</v>
      </c>
      <c r="C820" s="15">
        <f>SALES_EDA!T807</f>
        <v>39.825507004327939</v>
      </c>
      <c r="D820" s="6">
        <f>SALES_EDA!D807</f>
        <v>1071</v>
      </c>
      <c r="E820" s="14">
        <f>SALES_EDA!B807</f>
        <v>45046.513214430197</v>
      </c>
      <c r="F820" s="1"/>
      <c r="G820" s="1"/>
      <c r="H820" s="1"/>
      <c r="I820" s="1"/>
      <c r="J820" s="1"/>
    </row>
    <row r="821" spans="1:10" x14ac:dyDescent="0.3">
      <c r="A821" s="5">
        <f>SALES_EDA!A808</f>
        <v>42444.083333333336</v>
      </c>
      <c r="B821" s="15">
        <f>SALES_EDA!M808</f>
        <v>42.037373301363786</v>
      </c>
      <c r="C821" s="15">
        <f>SALES_EDA!T808</f>
        <v>39.826057731658992</v>
      </c>
      <c r="D821" s="6">
        <f>SALES_EDA!D808</f>
        <v>1320</v>
      </c>
      <c r="E821" s="14">
        <f>SALES_EDA!B808</f>
        <v>55489.332757800199</v>
      </c>
      <c r="F821" s="1"/>
      <c r="G821" s="1"/>
      <c r="H821" s="1"/>
      <c r="I821" s="1"/>
      <c r="J821" s="1"/>
    </row>
    <row r="822" spans="1:10" x14ac:dyDescent="0.3">
      <c r="A822" s="5">
        <f>SALES_EDA!A809</f>
        <v>42445.083333333336</v>
      </c>
      <c r="B822" s="15">
        <f>SALES_EDA!M809</f>
        <v>42.019361241725377</v>
      </c>
      <c r="C822" s="15">
        <f>SALES_EDA!T809</f>
        <v>39.827095605811422</v>
      </c>
      <c r="D822" s="6">
        <f>SALES_EDA!D809</f>
        <v>997</v>
      </c>
      <c r="E822" s="14">
        <f>SALES_EDA!B809</f>
        <v>41893.303158000199</v>
      </c>
      <c r="F822" s="1"/>
      <c r="G822" s="1"/>
      <c r="H822" s="1"/>
      <c r="I822" s="1"/>
      <c r="J822" s="1"/>
    </row>
    <row r="823" spans="1:10" x14ac:dyDescent="0.3">
      <c r="A823" s="5">
        <f>SALES_EDA!A810</f>
        <v>42446.083333333336</v>
      </c>
      <c r="B823" s="15">
        <f>SALES_EDA!M810</f>
        <v>42.042232790342837</v>
      </c>
      <c r="C823" s="15">
        <f>SALES_EDA!T810</f>
        <v>39.828092504115816</v>
      </c>
      <c r="D823" s="6">
        <f>SALES_EDA!D810</f>
        <v>817</v>
      </c>
      <c r="E823" s="14">
        <f>SALES_EDA!B810</f>
        <v>34348.504189710096</v>
      </c>
      <c r="F823" s="1"/>
      <c r="G823" s="1"/>
      <c r="H823" s="1"/>
      <c r="I823" s="1"/>
      <c r="J823" s="1"/>
    </row>
    <row r="824" spans="1:10" x14ac:dyDescent="0.3">
      <c r="A824" s="5">
        <f>SALES_EDA!A811</f>
        <v>42447.083333333336</v>
      </c>
      <c r="B824" s="15">
        <f>SALES_EDA!M811</f>
        <v>41.94899850853939</v>
      </c>
      <c r="C824" s="15">
        <f>SALES_EDA!T811</f>
        <v>40.05642833515563</v>
      </c>
      <c r="D824" s="6">
        <f>SALES_EDA!D811</f>
        <v>1866</v>
      </c>
      <c r="E824" s="14">
        <f>SALES_EDA!B811</f>
        <v>78276.831216934501</v>
      </c>
      <c r="F824" s="1"/>
      <c r="G824" s="1"/>
      <c r="H824" s="1"/>
      <c r="I824" s="1"/>
      <c r="J824" s="1"/>
    </row>
    <row r="825" spans="1:10" x14ac:dyDescent="0.3">
      <c r="A825" s="5">
        <f>SALES_EDA!A812</f>
        <v>42448.083333333336</v>
      </c>
      <c r="B825" s="15">
        <f>SALES_EDA!M812</f>
        <v>41.995206992346816</v>
      </c>
      <c r="C825" s="15">
        <f>SALES_EDA!T812</f>
        <v>40.057031110394306</v>
      </c>
      <c r="D825" s="6">
        <f>SALES_EDA!D812</f>
        <v>2211</v>
      </c>
      <c r="E825" s="14">
        <f>SALES_EDA!B812</f>
        <v>92851.402660078806</v>
      </c>
      <c r="F825" s="1"/>
      <c r="G825" s="1"/>
      <c r="H825" s="1"/>
      <c r="I825" s="1"/>
      <c r="J825" s="1"/>
    </row>
    <row r="826" spans="1:10" x14ac:dyDescent="0.3">
      <c r="A826" s="5">
        <f>SALES_EDA!A813</f>
        <v>42449.083333333336</v>
      </c>
      <c r="B826" s="15">
        <f>SALES_EDA!M813</f>
        <v>42.059654369839116</v>
      </c>
      <c r="C826" s="15">
        <f>SALES_EDA!T813</f>
        <v>40.059422243222109</v>
      </c>
      <c r="D826" s="6">
        <f>SALES_EDA!D813</f>
        <v>1304</v>
      </c>
      <c r="E826" s="14">
        <f>SALES_EDA!B813</f>
        <v>54845.789298270203</v>
      </c>
      <c r="F826" s="1"/>
      <c r="G826" s="1"/>
      <c r="H826" s="1"/>
      <c r="I826" s="1"/>
      <c r="J826" s="1"/>
    </row>
    <row r="827" spans="1:10" x14ac:dyDescent="0.3">
      <c r="A827" s="5">
        <f>SALES_EDA!A814</f>
        <v>42450.083333333336</v>
      </c>
      <c r="B827" s="15">
        <f>SALES_EDA!M814</f>
        <v>42.027821436903061</v>
      </c>
      <c r="C827" s="15">
        <f>SALES_EDA!T814</f>
        <v>40.289669002449394</v>
      </c>
      <c r="D827" s="6">
        <f>SALES_EDA!D814</f>
        <v>1143</v>
      </c>
      <c r="E827" s="14">
        <f>SALES_EDA!B814</f>
        <v>48037.799902380197</v>
      </c>
      <c r="F827" s="1"/>
      <c r="G827" s="1"/>
      <c r="H827" s="1"/>
      <c r="I827" s="1"/>
      <c r="J827" s="1"/>
    </row>
    <row r="828" spans="1:10" x14ac:dyDescent="0.3">
      <c r="A828" s="5">
        <f>SALES_EDA!A815</f>
        <v>42451.083333333336</v>
      </c>
      <c r="B828" s="15">
        <f>SALES_EDA!M815</f>
        <v>41.898107604678955</v>
      </c>
      <c r="C828" s="15">
        <f>SALES_EDA!T815</f>
        <v>40.285965023638603</v>
      </c>
      <c r="D828" s="6">
        <f>SALES_EDA!D815</f>
        <v>1573</v>
      </c>
      <c r="E828" s="14">
        <f>SALES_EDA!B815</f>
        <v>65905.723262159998</v>
      </c>
      <c r="F828" s="1"/>
      <c r="G828" s="1"/>
      <c r="H828" s="1"/>
      <c r="I828" s="1"/>
      <c r="J828" s="1"/>
    </row>
    <row r="829" spans="1:10" x14ac:dyDescent="0.3">
      <c r="A829" s="5">
        <f>SALES_EDA!A816</f>
        <v>42452.083333333336</v>
      </c>
      <c r="B829" s="15">
        <f>SALES_EDA!M816</f>
        <v>41.09929845078441</v>
      </c>
      <c r="C829" s="15">
        <f>SALES_EDA!T816</f>
        <v>40.255144842293461</v>
      </c>
      <c r="D829" s="6">
        <f>SALES_EDA!D816</f>
        <v>2065</v>
      </c>
      <c r="E829" s="14">
        <f>SALES_EDA!B816</f>
        <v>84870.051300869804</v>
      </c>
      <c r="F829" s="1"/>
      <c r="G829" s="1"/>
      <c r="H829" s="1"/>
      <c r="I829" s="1"/>
      <c r="J829" s="1"/>
    </row>
    <row r="830" spans="1:10" x14ac:dyDescent="0.3">
      <c r="A830" s="5">
        <f>SALES_EDA!A817</f>
        <v>42453.083333333336</v>
      </c>
      <c r="B830" s="15">
        <f>SALES_EDA!M817</f>
        <v>39.839026363282336</v>
      </c>
      <c r="C830" s="15">
        <f>SALES_EDA!T817</f>
        <v>40.183858510166644</v>
      </c>
      <c r="D830" s="6">
        <f>SALES_EDA!D817</f>
        <v>6588</v>
      </c>
      <c r="E830" s="14">
        <f>SALES_EDA!B817</f>
        <v>262459.50568130403</v>
      </c>
      <c r="F830" s="1"/>
      <c r="G830" s="1"/>
      <c r="H830" s="1"/>
      <c r="I830" s="1"/>
      <c r="J830" s="1"/>
    </row>
    <row r="831" spans="1:10" x14ac:dyDescent="0.3">
      <c r="A831" s="5">
        <f>SALES_EDA!A818</f>
        <v>42454.083333333336</v>
      </c>
      <c r="B831" s="15">
        <f>SALES_EDA!M818</f>
        <v>40.361712319404454</v>
      </c>
      <c r="C831" s="15">
        <f>SALES_EDA!T818</f>
        <v>40.301193304269937</v>
      </c>
      <c r="D831" s="6">
        <f>SALES_EDA!D818</f>
        <v>5652</v>
      </c>
      <c r="E831" s="14">
        <f>SALES_EDA!B818</f>
        <v>228124.39802927399</v>
      </c>
      <c r="F831" s="1"/>
      <c r="G831" s="1"/>
      <c r="H831" s="1"/>
      <c r="I831" s="1"/>
      <c r="J831" s="1"/>
    </row>
    <row r="832" spans="1:10" x14ac:dyDescent="0.3">
      <c r="A832" s="5">
        <f>SALES_EDA!A819</f>
        <v>42455.083333333336</v>
      </c>
      <c r="B832" s="15">
        <f>SALES_EDA!M819</f>
        <v>39.709844539148428</v>
      </c>
      <c r="C832" s="15">
        <f>SALES_EDA!T819</f>
        <v>40.406662746521086</v>
      </c>
      <c r="D832" s="6">
        <f>SALES_EDA!D819</f>
        <v>4103</v>
      </c>
      <c r="E832" s="14">
        <f>SALES_EDA!B819</f>
        <v>162929.49214412601</v>
      </c>
      <c r="F832" s="1"/>
      <c r="G832" s="1"/>
      <c r="H832" s="1"/>
      <c r="I832" s="1"/>
      <c r="J832" s="1"/>
    </row>
    <row r="833" spans="1:10" x14ac:dyDescent="0.3">
      <c r="A833" s="5">
        <f>SALES_EDA!A820</f>
        <v>42456.083333333336</v>
      </c>
      <c r="B833" s="15">
        <f>SALES_EDA!M820</f>
        <v>39.80888962129611</v>
      </c>
      <c r="C833" s="15">
        <f>SALES_EDA!T820</f>
        <v>40.45881149939958</v>
      </c>
      <c r="D833" s="6">
        <f>SALES_EDA!D820</f>
        <v>1466</v>
      </c>
      <c r="E833" s="14">
        <f>SALES_EDA!B820</f>
        <v>58359.832184820101</v>
      </c>
      <c r="F833" s="1"/>
      <c r="G833" s="1"/>
      <c r="H833" s="1"/>
      <c r="I833" s="1"/>
      <c r="J833" s="1"/>
    </row>
    <row r="834" spans="1:10" x14ac:dyDescent="0.3">
      <c r="A834" s="5">
        <f>SALES_EDA!A821</f>
        <v>42457.083333333336</v>
      </c>
      <c r="B834" s="15">
        <f>SALES_EDA!M821</f>
        <v>39.595435670952455</v>
      </c>
      <c r="C834" s="15">
        <f>SALES_EDA!T821</f>
        <v>40.495296260862112</v>
      </c>
      <c r="D834" s="6">
        <f>SALES_EDA!D821</f>
        <v>2162</v>
      </c>
      <c r="E834" s="14">
        <f>SALES_EDA!B821</f>
        <v>85605.331920599201</v>
      </c>
      <c r="F834" s="1"/>
      <c r="G834" s="1"/>
      <c r="H834" s="1"/>
      <c r="I834" s="1"/>
      <c r="J834" s="1"/>
    </row>
    <row r="835" spans="1:10" x14ac:dyDescent="0.3">
      <c r="A835" s="5">
        <f>SALES_EDA!A822</f>
        <v>42458.083333333336</v>
      </c>
      <c r="B835" s="15">
        <f>SALES_EDA!M822</f>
        <v>39.367245634398749</v>
      </c>
      <c r="C835" s="15">
        <f>SALES_EDA!T822</f>
        <v>40.503985691472401</v>
      </c>
      <c r="D835" s="6">
        <f>SALES_EDA!D822</f>
        <v>2155</v>
      </c>
      <c r="E835" s="14">
        <f>SALES_EDA!B822</f>
        <v>84836.414342129297</v>
      </c>
      <c r="F835" s="1"/>
      <c r="G835" s="1"/>
      <c r="H835" s="1"/>
      <c r="I835" s="1"/>
      <c r="J835" s="1"/>
    </row>
    <row r="836" spans="1:10" x14ac:dyDescent="0.3">
      <c r="A836" s="5">
        <f>SALES_EDA!A823</f>
        <v>42459.083333333336</v>
      </c>
      <c r="B836" s="15">
        <f>SALES_EDA!M823</f>
        <v>36.832138726529493</v>
      </c>
      <c r="C836" s="15">
        <f>SALES_EDA!T823</f>
        <v>40.458660588570865</v>
      </c>
      <c r="D836" s="6">
        <f>SALES_EDA!D823</f>
        <v>1746</v>
      </c>
      <c r="E836" s="14">
        <f>SALES_EDA!B823</f>
        <v>64308.914216520498</v>
      </c>
      <c r="F836" s="1"/>
      <c r="G836" s="1"/>
      <c r="H836" s="1"/>
      <c r="I836" s="1"/>
      <c r="J836" s="1"/>
    </row>
    <row r="837" spans="1:10" x14ac:dyDescent="0.3">
      <c r="A837" s="5">
        <f>SALES_EDA!A824</f>
        <v>42460.083333333336</v>
      </c>
      <c r="B837" s="15">
        <f>SALES_EDA!M824</f>
        <v>36.907283489855935</v>
      </c>
      <c r="C837" s="15">
        <f>SALES_EDA!T824</f>
        <v>40.411594096353618</v>
      </c>
      <c r="D837" s="6">
        <f>SALES_EDA!D824</f>
        <v>3554</v>
      </c>
      <c r="E837" s="14">
        <f>SALES_EDA!B824</f>
        <v>131168.485522948</v>
      </c>
      <c r="F837" s="1"/>
      <c r="G837" s="1"/>
      <c r="H837" s="1"/>
      <c r="I837" s="1"/>
      <c r="J837" s="1"/>
    </row>
    <row r="838" spans="1:10" x14ac:dyDescent="0.3">
      <c r="A838" s="5">
        <f>SALES_EDA!A825</f>
        <v>42461.083333333336</v>
      </c>
      <c r="B838" s="15">
        <f>SALES_EDA!M825</f>
        <v>36.9962110757426</v>
      </c>
      <c r="C838" s="15">
        <f>SALES_EDA!T825</f>
        <v>40.362720886615456</v>
      </c>
      <c r="D838" s="6">
        <f>SALES_EDA!D825</f>
        <v>6282</v>
      </c>
      <c r="E838" s="14">
        <f>SALES_EDA!B825</f>
        <v>232410.197977815</v>
      </c>
      <c r="F838" s="1"/>
      <c r="G838" s="1"/>
      <c r="H838" s="1"/>
      <c r="I838" s="1"/>
      <c r="J838" s="1"/>
    </row>
    <row r="839" spans="1:10" x14ac:dyDescent="0.3">
      <c r="A839" s="5">
        <f>SALES_EDA!A826</f>
        <v>42462.083333333336</v>
      </c>
      <c r="B839" s="15">
        <f>SALES_EDA!M826</f>
        <v>37.237326004395896</v>
      </c>
      <c r="C839" s="15">
        <f>SALES_EDA!T826</f>
        <v>40.318599940841118</v>
      </c>
      <c r="D839" s="6">
        <f>SALES_EDA!D826</f>
        <v>5259</v>
      </c>
      <c r="E839" s="14">
        <f>SALES_EDA!B826</f>
        <v>195831.09745711801</v>
      </c>
      <c r="F839" s="1"/>
      <c r="G839" s="1"/>
      <c r="H839" s="1"/>
      <c r="I839" s="1"/>
      <c r="J839" s="1"/>
    </row>
    <row r="840" spans="1:10" x14ac:dyDescent="0.3">
      <c r="A840" s="5">
        <f>SALES_EDA!A827</f>
        <v>42463.083333333336</v>
      </c>
      <c r="B840" s="15">
        <f>SALES_EDA!M827</f>
        <v>37.087713773156132</v>
      </c>
      <c r="C840" s="15">
        <f>SALES_EDA!T827</f>
        <v>40.262200021677906</v>
      </c>
      <c r="D840" s="6">
        <f>SALES_EDA!D827</f>
        <v>2446</v>
      </c>
      <c r="E840" s="14">
        <f>SALES_EDA!B827</f>
        <v>90716.547889139896</v>
      </c>
      <c r="F840" s="1"/>
      <c r="G840" s="1"/>
      <c r="H840" s="1"/>
      <c r="I840" s="1"/>
      <c r="J840" s="1"/>
    </row>
    <row r="841" spans="1:10" x14ac:dyDescent="0.3">
      <c r="A841" s="5">
        <f>SALES_EDA!A828</f>
        <v>42464.083333333336</v>
      </c>
      <c r="B841" s="15">
        <f>SALES_EDA!M828</f>
        <v>39.353668043998802</v>
      </c>
      <c r="C841" s="15">
        <f>SALES_EDA!T828</f>
        <v>40.270102714133408</v>
      </c>
      <c r="D841" s="6">
        <f>SALES_EDA!D828</f>
        <v>3345</v>
      </c>
      <c r="E841" s="14">
        <f>SALES_EDA!B828</f>
        <v>131638.01960717599</v>
      </c>
      <c r="F841" s="1"/>
      <c r="G841" s="1"/>
      <c r="H841" s="1"/>
      <c r="I841" s="1"/>
      <c r="J841" s="1"/>
    </row>
    <row r="842" spans="1:10" x14ac:dyDescent="0.3">
      <c r="A842" s="5">
        <f>SALES_EDA!A829</f>
        <v>42465.083333333336</v>
      </c>
      <c r="B842" s="15">
        <f>SALES_EDA!M829</f>
        <v>39.995543270990915</v>
      </c>
      <c r="C842" s="15">
        <f>SALES_EDA!T829</f>
        <v>40.290273196119422</v>
      </c>
      <c r="D842" s="6">
        <f>SALES_EDA!D829</f>
        <v>2048</v>
      </c>
      <c r="E842" s="14">
        <f>SALES_EDA!B829</f>
        <v>81910.872618989393</v>
      </c>
      <c r="F842" s="1"/>
      <c r="G842" s="1"/>
      <c r="H842" s="1"/>
      <c r="I842" s="1"/>
      <c r="J842" s="1"/>
    </row>
    <row r="843" spans="1:10" x14ac:dyDescent="0.3">
      <c r="A843" s="5">
        <f>SALES_EDA!A830</f>
        <v>42466.083333333336</v>
      </c>
      <c r="B843" s="15">
        <f>SALES_EDA!M830</f>
        <v>42.073605919961551</v>
      </c>
      <c r="C843" s="15">
        <f>SALES_EDA!T830</f>
        <v>40.429483087038321</v>
      </c>
      <c r="D843" s="6">
        <f>SALES_EDA!D830</f>
        <v>1303</v>
      </c>
      <c r="E843" s="14">
        <f>SALES_EDA!B830</f>
        <v>54821.908513709903</v>
      </c>
      <c r="F843" s="1"/>
      <c r="G843" s="1"/>
      <c r="H843" s="1"/>
      <c r="I843" s="1"/>
      <c r="J843" s="1"/>
    </row>
    <row r="844" spans="1:10" x14ac:dyDescent="0.3">
      <c r="A844" s="5">
        <f>SALES_EDA!A831</f>
        <v>42467.083333333336</v>
      </c>
      <c r="B844" s="15">
        <f>SALES_EDA!M831</f>
        <v>35.26295477327578</v>
      </c>
      <c r="C844" s="15">
        <f>SALES_EDA!T831</f>
        <v>40.325521690278869</v>
      </c>
      <c r="D844" s="6">
        <f>SALES_EDA!D831</f>
        <v>4413</v>
      </c>
      <c r="E844" s="14">
        <f>SALES_EDA!B831</f>
        <v>155615.41941446601</v>
      </c>
      <c r="F844" s="1"/>
      <c r="G844" s="1"/>
      <c r="H844" s="1"/>
      <c r="I844" s="1"/>
      <c r="J844" s="1"/>
    </row>
    <row r="845" spans="1:10" x14ac:dyDescent="0.3">
      <c r="A845" s="5">
        <f>SALES_EDA!A832</f>
        <v>42468.083333333336</v>
      </c>
      <c r="B845" s="15">
        <f>SALES_EDA!M832</f>
        <v>35.239777659507602</v>
      </c>
      <c r="C845" s="15">
        <f>SALES_EDA!T832</f>
        <v>40.100378112040488</v>
      </c>
      <c r="D845" s="6">
        <f>SALES_EDA!D832</f>
        <v>7494</v>
      </c>
      <c r="E845" s="14">
        <f>SALES_EDA!B832</f>
        <v>264086.89378034999</v>
      </c>
      <c r="F845" s="1"/>
      <c r="G845" s="1"/>
      <c r="H845" s="1"/>
      <c r="I845" s="1"/>
      <c r="J845" s="1"/>
    </row>
    <row r="846" spans="1:10" x14ac:dyDescent="0.3">
      <c r="A846" s="5">
        <f>SALES_EDA!A833</f>
        <v>42469.083333333336</v>
      </c>
      <c r="B846" s="15">
        <f>SALES_EDA!M833</f>
        <v>35.249586138884595</v>
      </c>
      <c r="C846" s="15">
        <f>SALES_EDA!T833</f>
        <v>39.875775146919956</v>
      </c>
      <c r="D846" s="6">
        <f>SALES_EDA!D833</f>
        <v>7738</v>
      </c>
      <c r="E846" s="14">
        <f>SALES_EDA!B833</f>
        <v>272761.29754268902</v>
      </c>
      <c r="F846" s="1"/>
      <c r="G846" s="1"/>
      <c r="H846" s="1"/>
      <c r="I846" s="1"/>
      <c r="J846" s="1"/>
    </row>
    <row r="847" spans="1:10" x14ac:dyDescent="0.3">
      <c r="A847" s="5">
        <f>SALES_EDA!A834</f>
        <v>42470.083333333336</v>
      </c>
      <c r="B847" s="15">
        <f>SALES_EDA!M834</f>
        <v>35.391963461277548</v>
      </c>
      <c r="C847" s="15">
        <f>SALES_EDA!T834</f>
        <v>39.653943111121215</v>
      </c>
      <c r="D847" s="6">
        <f>SALES_EDA!D834</f>
        <v>2958</v>
      </c>
      <c r="E847" s="14">
        <f>SALES_EDA!B834</f>
        <v>104689.427918459</v>
      </c>
      <c r="F847" s="1"/>
      <c r="G847" s="1"/>
      <c r="H847" s="1"/>
      <c r="I847" s="1"/>
      <c r="J847" s="1"/>
    </row>
    <row r="848" spans="1:10" x14ac:dyDescent="0.3">
      <c r="A848" s="5">
        <f>SALES_EDA!A835</f>
        <v>42471.083333333336</v>
      </c>
      <c r="B848" s="15">
        <f>SALES_EDA!M835</f>
        <v>35.327389424663615</v>
      </c>
      <c r="C848" s="15">
        <f>SALES_EDA!T835</f>
        <v>39.430147206369114</v>
      </c>
      <c r="D848" s="6">
        <f>SALES_EDA!D835</f>
        <v>3713</v>
      </c>
      <c r="E848" s="14">
        <f>SALES_EDA!B835</f>
        <v>131170.59693377599</v>
      </c>
      <c r="F848" s="1"/>
      <c r="G848" s="1"/>
      <c r="H848" s="1"/>
      <c r="I848" s="1"/>
      <c r="J848" s="1"/>
    </row>
    <row r="849" spans="1:10" x14ac:dyDescent="0.3">
      <c r="A849" s="5">
        <f>SALES_EDA!A836</f>
        <v>42472.083333333336</v>
      </c>
      <c r="B849" s="15">
        <f>SALES_EDA!M836</f>
        <v>35.153963869974028</v>
      </c>
      <c r="C849" s="15">
        <f>SALES_EDA!T836</f>
        <v>39.199319030175324</v>
      </c>
      <c r="D849" s="6">
        <f>SALES_EDA!D836</f>
        <v>3504</v>
      </c>
      <c r="E849" s="14">
        <f>SALES_EDA!B836</f>
        <v>123179.48940038899</v>
      </c>
      <c r="F849" s="1"/>
      <c r="G849" s="1"/>
      <c r="H849" s="1"/>
      <c r="I849" s="1"/>
      <c r="J849" s="1"/>
    </row>
    <row r="850" spans="1:10" x14ac:dyDescent="0.3">
      <c r="A850" s="5">
        <f>SALES_EDA!A837</f>
        <v>42473.083333333336</v>
      </c>
      <c r="B850" s="15">
        <f>SALES_EDA!M837</f>
        <v>35.209690540941992</v>
      </c>
      <c r="C850" s="15">
        <f>SALES_EDA!T837</f>
        <v>38.970967500605418</v>
      </c>
      <c r="D850" s="6">
        <f>SALES_EDA!D837</f>
        <v>3534</v>
      </c>
      <c r="E850" s="14">
        <f>SALES_EDA!B837</f>
        <v>124431.04637168899</v>
      </c>
      <c r="F850" s="1"/>
      <c r="G850" s="1"/>
      <c r="H850" s="1"/>
      <c r="I850" s="1"/>
      <c r="J850" s="1"/>
    </row>
    <row r="851" spans="1:10" x14ac:dyDescent="0.3">
      <c r="A851" s="5">
        <f>SALES_EDA!A838</f>
        <v>42474.083333333336</v>
      </c>
      <c r="B851" s="15">
        <f>SALES_EDA!M838</f>
        <v>35.245997824576179</v>
      </c>
      <c r="C851" s="15">
        <f>SALES_EDA!T838</f>
        <v>38.744588318045821</v>
      </c>
      <c r="D851" s="6">
        <f>SALES_EDA!D838</f>
        <v>4601</v>
      </c>
      <c r="E851" s="14">
        <f>SALES_EDA!B838</f>
        <v>162166.835990875</v>
      </c>
      <c r="F851" s="1"/>
      <c r="G851" s="1"/>
      <c r="H851" s="1"/>
      <c r="I851" s="1"/>
      <c r="J851" s="1"/>
    </row>
    <row r="852" spans="1:10" x14ac:dyDescent="0.3">
      <c r="A852" s="5">
        <f>SALES_EDA!A839</f>
        <v>42475.083333333336</v>
      </c>
      <c r="B852" s="15">
        <f>SALES_EDA!M839</f>
        <v>35.245597136866998</v>
      </c>
      <c r="C852" s="15">
        <f>SALES_EDA!T839</f>
        <v>38.518796181217212</v>
      </c>
      <c r="D852" s="6">
        <f>SALES_EDA!D839</f>
        <v>10045</v>
      </c>
      <c r="E852" s="14">
        <f>SALES_EDA!B839</f>
        <v>354042.023239829</v>
      </c>
      <c r="F852" s="1"/>
      <c r="G852" s="1"/>
      <c r="H852" s="1"/>
      <c r="I852" s="1"/>
      <c r="J852" s="1"/>
    </row>
    <row r="853" spans="1:10" x14ac:dyDescent="0.3">
      <c r="A853" s="5">
        <f>SALES_EDA!A840</f>
        <v>42476.083333333336</v>
      </c>
      <c r="B853" s="15">
        <f>SALES_EDA!M840</f>
        <v>35.195383442206108</v>
      </c>
      <c r="C853" s="15">
        <f>SALES_EDA!T840</f>
        <v>38.290567869612659</v>
      </c>
      <c r="D853" s="6">
        <f>SALES_EDA!D840</f>
        <v>9301</v>
      </c>
      <c r="E853" s="14">
        <f>SALES_EDA!B840</f>
        <v>327352.26139595901</v>
      </c>
      <c r="F853" s="1"/>
      <c r="G853" s="1"/>
      <c r="H853" s="1"/>
      <c r="I853" s="1"/>
      <c r="J853" s="1"/>
    </row>
    <row r="854" spans="1:10" x14ac:dyDescent="0.3">
      <c r="A854" s="5">
        <f>SALES_EDA!A841</f>
        <v>42477.083333333336</v>
      </c>
      <c r="B854" s="15">
        <f>SALES_EDA!M841</f>
        <v>35.230718907279602</v>
      </c>
      <c r="C854" s="15">
        <f>SALES_EDA!T841</f>
        <v>38.066625216237334</v>
      </c>
      <c r="D854" s="6">
        <f>SALES_EDA!D841</f>
        <v>4678</v>
      </c>
      <c r="E854" s="14">
        <f>SALES_EDA!B841</f>
        <v>164809.30304825399</v>
      </c>
      <c r="F854" s="1"/>
      <c r="G854" s="1"/>
      <c r="H854" s="1"/>
      <c r="I854" s="1"/>
      <c r="J854" s="1"/>
    </row>
    <row r="855" spans="1:10" x14ac:dyDescent="0.3">
      <c r="A855" s="5">
        <f>SALES_EDA!A842</f>
        <v>42478.083333333336</v>
      </c>
      <c r="B855" s="15">
        <f>SALES_EDA!M842</f>
        <v>35.202094622430138</v>
      </c>
      <c r="C855" s="15">
        <f>SALES_EDA!T842</f>
        <v>37.840188137240119</v>
      </c>
      <c r="D855" s="6">
        <f>SALES_EDA!D842</f>
        <v>4294</v>
      </c>
      <c r="E855" s="14">
        <f>SALES_EDA!B842</f>
        <v>151157.79430871501</v>
      </c>
      <c r="F855" s="1"/>
      <c r="G855" s="1"/>
      <c r="H855" s="1"/>
      <c r="I855" s="1"/>
      <c r="J855" s="1"/>
    </row>
    <row r="856" spans="1:10" x14ac:dyDescent="0.3">
      <c r="A856" s="5">
        <f>SALES_EDA!A843</f>
        <v>42479.083333333336</v>
      </c>
      <c r="B856" s="15">
        <f>SALES_EDA!M843</f>
        <v>35.190220881180807</v>
      </c>
      <c r="C856" s="15">
        <f>SALES_EDA!T843</f>
        <v>37.611207020951504</v>
      </c>
      <c r="D856" s="6">
        <f>SALES_EDA!D843</f>
        <v>3606</v>
      </c>
      <c r="E856" s="14">
        <f>SALES_EDA!B843</f>
        <v>126895.936497538</v>
      </c>
      <c r="F856" s="1"/>
      <c r="G856" s="1"/>
      <c r="H856" s="1"/>
      <c r="I856" s="1"/>
      <c r="J856" s="1"/>
    </row>
    <row r="857" spans="1:10" x14ac:dyDescent="0.3">
      <c r="A857" s="5">
        <f>SALES_EDA!A844</f>
        <v>42480.083333333336</v>
      </c>
      <c r="B857" s="15">
        <f>SALES_EDA!M844</f>
        <v>34.3934365086482</v>
      </c>
      <c r="C857" s="15">
        <f>SALES_EDA!T844</f>
        <v>37.356727523343011</v>
      </c>
      <c r="D857" s="6">
        <f>SALES_EDA!D844</f>
        <v>4838</v>
      </c>
      <c r="E857" s="14">
        <f>SALES_EDA!B844</f>
        <v>166395.44582883999</v>
      </c>
      <c r="F857" s="1"/>
      <c r="G857" s="1"/>
      <c r="H857" s="1"/>
      <c r="I857" s="1"/>
      <c r="J857" s="1"/>
    </row>
    <row r="858" spans="1:10" x14ac:dyDescent="0.3">
      <c r="A858" s="5">
        <f>SALES_EDA!A845</f>
        <v>42481.083333333336</v>
      </c>
      <c r="B858" s="15">
        <f>SALES_EDA!M845</f>
        <v>34.146592344322549</v>
      </c>
      <c r="C858" s="15">
        <f>SALES_EDA!T845</f>
        <v>37.09834368133113</v>
      </c>
      <c r="D858" s="6">
        <f>SALES_EDA!D845</f>
        <v>4914</v>
      </c>
      <c r="E858" s="14">
        <f>SALES_EDA!B845</f>
        <v>167796.35478000101</v>
      </c>
      <c r="F858" s="1"/>
      <c r="G858" s="1"/>
      <c r="H858" s="1"/>
      <c r="I858" s="1"/>
      <c r="J858" s="1"/>
    </row>
    <row r="859" spans="1:10" x14ac:dyDescent="0.3">
      <c r="A859" s="5">
        <f>SALES_EDA!A846</f>
        <v>42482.083333333336</v>
      </c>
      <c r="B859" s="15">
        <f>SALES_EDA!M846</f>
        <v>34.194762586351544</v>
      </c>
      <c r="C859" s="15">
        <f>SALES_EDA!T846</f>
        <v>36.868192485850045</v>
      </c>
      <c r="D859" s="6">
        <f>SALES_EDA!D846</f>
        <v>10269</v>
      </c>
      <c r="E859" s="14">
        <f>SALES_EDA!B846</f>
        <v>351146.01699924399</v>
      </c>
      <c r="F859" s="1"/>
      <c r="G859" s="1"/>
      <c r="H859" s="1"/>
      <c r="I859" s="1"/>
      <c r="J859" s="1"/>
    </row>
    <row r="860" spans="1:10" x14ac:dyDescent="0.3">
      <c r="A860" s="5">
        <f>SALES_EDA!A847</f>
        <v>42483.083333333336</v>
      </c>
      <c r="B860" s="15">
        <f>SALES_EDA!M847</f>
        <v>34.159196375712028</v>
      </c>
      <c r="C860" s="15">
        <f>SALES_EDA!T847</f>
        <v>36.678864819597706</v>
      </c>
      <c r="D860" s="6">
        <f>SALES_EDA!D847</f>
        <v>12317</v>
      </c>
      <c r="E860" s="14">
        <f>SALES_EDA!B847</f>
        <v>420738.82175964501</v>
      </c>
      <c r="F860" s="1"/>
      <c r="G860" s="1"/>
      <c r="H860" s="1"/>
      <c r="I860" s="1"/>
      <c r="J860" s="1"/>
    </row>
    <row r="861" spans="1:10" x14ac:dyDescent="0.3">
      <c r="A861" s="5">
        <f>SALES_EDA!A848</f>
        <v>42484.083333333336</v>
      </c>
      <c r="B861" s="15">
        <f>SALES_EDA!M848</f>
        <v>34.140134015484868</v>
      </c>
      <c r="C861" s="15">
        <f>SALES_EDA!T848</f>
        <v>36.471478876133709</v>
      </c>
      <c r="D861" s="6">
        <f>SALES_EDA!D848</f>
        <v>5453</v>
      </c>
      <c r="E861" s="14">
        <f>SALES_EDA!B848</f>
        <v>186166.15078643899</v>
      </c>
      <c r="F861" s="1"/>
      <c r="G861" s="1"/>
      <c r="H861" s="1"/>
      <c r="I861" s="1"/>
      <c r="J861" s="1"/>
    </row>
    <row r="862" spans="1:10" x14ac:dyDescent="0.3">
      <c r="A862" s="5">
        <f>SALES_EDA!A849</f>
        <v>42485.083333333336</v>
      </c>
      <c r="B862" s="15">
        <f>SALES_EDA!M849</f>
        <v>34.108726212586951</v>
      </c>
      <c r="C862" s="15">
        <f>SALES_EDA!T849</f>
        <v>36.284774931914995</v>
      </c>
      <c r="D862" s="6">
        <f>SALES_EDA!D849</f>
        <v>7372</v>
      </c>
      <c r="E862" s="14">
        <f>SALES_EDA!B849</f>
        <v>251449.52963919099</v>
      </c>
      <c r="F862" s="1"/>
      <c r="G862" s="1"/>
      <c r="H862" s="1"/>
      <c r="I862" s="1"/>
      <c r="J862" s="1"/>
    </row>
    <row r="863" spans="1:10" x14ac:dyDescent="0.3">
      <c r="A863" s="5">
        <f>SALES_EDA!A850</f>
        <v>42486.083333333336</v>
      </c>
      <c r="B863" s="15">
        <f>SALES_EDA!M850</f>
        <v>34.139789397974177</v>
      </c>
      <c r="C863" s="15">
        <f>SALES_EDA!T850</f>
        <v>36.095804924470933</v>
      </c>
      <c r="D863" s="6">
        <f>SALES_EDA!D850</f>
        <v>8211</v>
      </c>
      <c r="E863" s="14">
        <f>SALES_EDA!B850</f>
        <v>280321.81074676599</v>
      </c>
      <c r="F863" s="1"/>
      <c r="G863" s="1"/>
      <c r="H863" s="1"/>
      <c r="I863" s="1"/>
      <c r="J863" s="1"/>
    </row>
    <row r="864" spans="1:10" x14ac:dyDescent="0.3">
      <c r="A864" s="5">
        <f>SALES_EDA!A851</f>
        <v>42487.083333333336</v>
      </c>
      <c r="B864" s="15">
        <f>SALES_EDA!M851</f>
        <v>34.135801929172835</v>
      </c>
      <c r="C864" s="15">
        <f>SALES_EDA!T851</f>
        <v>35.913817133078275</v>
      </c>
      <c r="D864" s="6">
        <f>SALES_EDA!D851</f>
        <v>9182</v>
      </c>
      <c r="E864" s="14">
        <f>SALES_EDA!B851</f>
        <v>313434.93331366498</v>
      </c>
      <c r="F864" s="1"/>
      <c r="G864" s="1"/>
      <c r="H864" s="1"/>
      <c r="I864" s="1"/>
      <c r="J864" s="1"/>
    </row>
    <row r="865" spans="1:10" x14ac:dyDescent="0.3">
      <c r="A865" s="5">
        <f>SALES_EDA!A852</f>
        <v>42488.083333333336</v>
      </c>
      <c r="B865" s="15">
        <f>SALES_EDA!M852</f>
        <v>34.218697218210103</v>
      </c>
      <c r="C865" s="15">
        <f>SALES_EDA!T852</f>
        <v>35.74219885253865</v>
      </c>
      <c r="D865" s="6">
        <f>SALES_EDA!D852</f>
        <v>7520</v>
      </c>
      <c r="E865" s="14">
        <f>SALES_EDA!B852</f>
        <v>257324.60308094</v>
      </c>
      <c r="F865" s="1"/>
      <c r="G865" s="1"/>
      <c r="H865" s="1"/>
      <c r="I865" s="1"/>
      <c r="J865" s="1"/>
    </row>
    <row r="866" spans="1:10" x14ac:dyDescent="0.3">
      <c r="A866" s="5">
        <f>SALES_EDA!A853</f>
        <v>42489.083333333336</v>
      </c>
      <c r="B866" s="15">
        <f>SALES_EDA!M853</f>
        <v>34.198208546522707</v>
      </c>
      <c r="C866" s="15">
        <f>SALES_EDA!T853</f>
        <v>35.654401179871762</v>
      </c>
      <c r="D866" s="6">
        <f>SALES_EDA!D853</f>
        <v>13321</v>
      </c>
      <c r="E866" s="14">
        <f>SALES_EDA!B853</f>
        <v>455554.33604822902</v>
      </c>
      <c r="F866" s="1"/>
      <c r="G866" s="1"/>
      <c r="H866" s="1"/>
      <c r="I866" s="1"/>
      <c r="J866" s="1"/>
    </row>
    <row r="867" spans="1:10" x14ac:dyDescent="0.3">
      <c r="A867" s="5">
        <f>SALES_EDA!A854</f>
        <v>42490.083333333336</v>
      </c>
      <c r="B867" s="15">
        <f>SALES_EDA!M854</f>
        <v>34.21388567676653</v>
      </c>
      <c r="C867" s="15">
        <f>SALES_EDA!T854</f>
        <v>35.564621252768781</v>
      </c>
      <c r="D867" s="6">
        <f>SALES_EDA!D854</f>
        <v>16276</v>
      </c>
      <c r="E867" s="14">
        <f>SALES_EDA!B854</f>
        <v>556865.20327505202</v>
      </c>
      <c r="F867" s="1"/>
      <c r="G867" s="1"/>
      <c r="H867" s="1"/>
      <c r="I867" s="1"/>
      <c r="J867" s="1"/>
    </row>
    <row r="868" spans="1:10" x14ac:dyDescent="0.3">
      <c r="A868" s="5">
        <f>SALES_EDA!A855</f>
        <v>42491.083333333336</v>
      </c>
      <c r="B868" s="15">
        <f>SALES_EDA!M855</f>
        <v>34.160189153069602</v>
      </c>
      <c r="C868" s="15">
        <f>SALES_EDA!T855</f>
        <v>35.470087188679678</v>
      </c>
      <c r="D868" s="6">
        <f>SALES_EDA!D855</f>
        <v>10388</v>
      </c>
      <c r="E868" s="14">
        <f>SALES_EDA!B855</f>
        <v>354856.04492208699</v>
      </c>
      <c r="F868" s="1"/>
      <c r="G868" s="1"/>
      <c r="H868" s="1"/>
      <c r="I868" s="1"/>
      <c r="J868" s="1"/>
    </row>
    <row r="869" spans="1:10" x14ac:dyDescent="0.3">
      <c r="A869" s="5">
        <f>SALES_EDA!A856</f>
        <v>42492.083333333336</v>
      </c>
      <c r="B869" s="15">
        <f>SALES_EDA!M856</f>
        <v>34.138898680883464</v>
      </c>
      <c r="C869" s="15">
        <f>SALES_EDA!T856</f>
        <v>35.366806277895918</v>
      </c>
      <c r="D869" s="6">
        <f>SALES_EDA!D856</f>
        <v>8298</v>
      </c>
      <c r="E869" s="14">
        <f>SALES_EDA!B856</f>
        <v>283284.58125397097</v>
      </c>
      <c r="F869" s="1"/>
      <c r="G869" s="1"/>
      <c r="H869" s="1"/>
      <c r="I869" s="1"/>
      <c r="J869" s="1"/>
    </row>
    <row r="870" spans="1:10" x14ac:dyDescent="0.3">
      <c r="A870" s="5">
        <f>SALES_EDA!A857</f>
        <v>42493.083333333336</v>
      </c>
      <c r="B870" s="15">
        <f>SALES_EDA!M857</f>
        <v>34.128791323703801</v>
      </c>
      <c r="C870" s="15">
        <f>SALES_EDA!T857</f>
        <v>35.268175529580844</v>
      </c>
      <c r="D870" s="6">
        <f>SALES_EDA!D857</f>
        <v>8717</v>
      </c>
      <c r="E870" s="14">
        <f>SALES_EDA!B857</f>
        <v>297500.67396872601</v>
      </c>
      <c r="F870" s="1"/>
      <c r="G870" s="1"/>
      <c r="H870" s="1"/>
      <c r="I870" s="1"/>
      <c r="J870" s="1"/>
    </row>
    <row r="871" spans="1:10" x14ac:dyDescent="0.3">
      <c r="A871" s="5">
        <f>SALES_EDA!A858</f>
        <v>42494.083333333336</v>
      </c>
      <c r="B871" s="15">
        <f>SALES_EDA!M858</f>
        <v>34.190397869741751</v>
      </c>
      <c r="C871" s="15">
        <f>SALES_EDA!T858</f>
        <v>35.096066523772279</v>
      </c>
      <c r="D871" s="6">
        <f>SALES_EDA!D858</f>
        <v>8364</v>
      </c>
      <c r="E871" s="14">
        <f>SALES_EDA!B858</f>
        <v>285968.48778252001</v>
      </c>
      <c r="F871" s="1"/>
      <c r="G871" s="1"/>
      <c r="H871" s="1"/>
      <c r="I871" s="1"/>
      <c r="J871" s="1"/>
    </row>
    <row r="872" spans="1:10" x14ac:dyDescent="0.3">
      <c r="A872" s="5">
        <f>SALES_EDA!A859</f>
        <v>42495.083333333336</v>
      </c>
      <c r="B872" s="15">
        <f>SALES_EDA!M859</f>
        <v>34.148483448947189</v>
      </c>
      <c r="C872" s="15">
        <f>SALES_EDA!T859</f>
        <v>34.901164529704154</v>
      </c>
      <c r="D872" s="6">
        <f>SALES_EDA!D859</f>
        <v>6968</v>
      </c>
      <c r="E872" s="14">
        <f>SALES_EDA!B859</f>
        <v>237946.63267226401</v>
      </c>
      <c r="F872" s="1"/>
      <c r="G872" s="1"/>
      <c r="H872" s="1"/>
      <c r="I872" s="1"/>
      <c r="J872" s="1"/>
    </row>
    <row r="873" spans="1:10" x14ac:dyDescent="0.3">
      <c r="A873" s="5">
        <f>SALES_EDA!A860</f>
        <v>42496.083333333336</v>
      </c>
      <c r="B873" s="15">
        <f>SALES_EDA!M860</f>
        <v>34.177429646531635</v>
      </c>
      <c r="C873" s="15">
        <f>SALES_EDA!T860</f>
        <v>34.637958653923164</v>
      </c>
      <c r="D873" s="6">
        <f>SALES_EDA!D860</f>
        <v>9973</v>
      </c>
      <c r="E873" s="14">
        <f>SALES_EDA!B860</f>
        <v>340851.50586486002</v>
      </c>
      <c r="F873" s="1"/>
      <c r="G873" s="1"/>
      <c r="H873" s="1"/>
      <c r="I873" s="1"/>
      <c r="J873" s="1"/>
    </row>
    <row r="874" spans="1:10" x14ac:dyDescent="0.3">
      <c r="A874" s="5">
        <f>SALES_EDA!A861</f>
        <v>42497.083333333336</v>
      </c>
      <c r="B874" s="15">
        <f>SALES_EDA!M861</f>
        <v>34.162422021783684</v>
      </c>
      <c r="C874" s="15">
        <f>SALES_EDA!T861</f>
        <v>34.601274228873422</v>
      </c>
      <c r="D874" s="6">
        <f>SALES_EDA!D861</f>
        <v>11363</v>
      </c>
      <c r="E874" s="14">
        <f>SALES_EDA!B861</f>
        <v>388187.60143352801</v>
      </c>
      <c r="F874" s="1"/>
      <c r="G874" s="1"/>
      <c r="H874" s="1"/>
      <c r="I874" s="1"/>
      <c r="J874" s="1"/>
    </row>
    <row r="875" spans="1:10" x14ac:dyDescent="0.3">
      <c r="A875" s="5">
        <f>SALES_EDA!A862</f>
        <v>42498.083333333336</v>
      </c>
      <c r="B875" s="15">
        <f>SALES_EDA!M862</f>
        <v>34.162735409731226</v>
      </c>
      <c r="C875" s="15">
        <f>SALES_EDA!T862</f>
        <v>34.565372820547537</v>
      </c>
      <c r="D875" s="6">
        <f>SALES_EDA!D862</f>
        <v>4074</v>
      </c>
      <c r="E875" s="14">
        <f>SALES_EDA!B862</f>
        <v>139178.98405924501</v>
      </c>
      <c r="F875" s="1"/>
      <c r="G875" s="1"/>
      <c r="H875" s="1"/>
      <c r="I875" s="1"/>
      <c r="J875" s="1"/>
    </row>
    <row r="876" spans="1:10" x14ac:dyDescent="0.3">
      <c r="A876" s="5">
        <f>SALES_EDA!A863</f>
        <v>42499.083333333336</v>
      </c>
      <c r="B876" s="15">
        <f>SALES_EDA!M863</f>
        <v>42.052123525819823</v>
      </c>
      <c r="C876" s="15">
        <f>SALES_EDA!T863</f>
        <v>34.792124066778719</v>
      </c>
      <c r="D876" s="6">
        <f>SALES_EDA!D863</f>
        <v>1579</v>
      </c>
      <c r="E876" s="14">
        <f>SALES_EDA!B863</f>
        <v>66400.303047269495</v>
      </c>
      <c r="F876" s="1"/>
      <c r="G876" s="1"/>
      <c r="H876" s="1"/>
      <c r="I876" s="1"/>
      <c r="J876" s="1"/>
    </row>
    <row r="877" spans="1:10" x14ac:dyDescent="0.3">
      <c r="A877" s="5">
        <f>SALES_EDA!A864</f>
        <v>42500.083333333336</v>
      </c>
      <c r="B877" s="15">
        <f>SALES_EDA!M864</f>
        <v>42.050713049025788</v>
      </c>
      <c r="C877" s="15">
        <f>SALES_EDA!T864</f>
        <v>35.014082386370333</v>
      </c>
      <c r="D877" s="6">
        <f>SALES_EDA!D864</f>
        <v>1016</v>
      </c>
      <c r="E877" s="14">
        <f>SALES_EDA!B864</f>
        <v>42723.524457810199</v>
      </c>
      <c r="F877" s="1"/>
      <c r="G877" s="1"/>
      <c r="H877" s="1"/>
      <c r="I877" s="1"/>
      <c r="J877" s="1"/>
    </row>
    <row r="878" spans="1:10" x14ac:dyDescent="0.3">
      <c r="A878" s="5">
        <f>SALES_EDA!A865</f>
        <v>42501.083333333336</v>
      </c>
      <c r="B878" s="15">
        <f>SALES_EDA!M865</f>
        <v>42.084614760973793</v>
      </c>
      <c r="C878" s="15">
        <f>SALES_EDA!T865</f>
        <v>35.239323230914003</v>
      </c>
      <c r="D878" s="6">
        <f>SALES_EDA!D865</f>
        <v>832</v>
      </c>
      <c r="E878" s="14">
        <f>SALES_EDA!B865</f>
        <v>35014.399481130196</v>
      </c>
      <c r="F878" s="1"/>
      <c r="G878" s="1"/>
      <c r="H878" s="1"/>
      <c r="I878" s="1"/>
      <c r="J878" s="1"/>
    </row>
    <row r="879" spans="1:10" x14ac:dyDescent="0.3">
      <c r="A879" s="5">
        <f>SALES_EDA!A866</f>
        <v>42502.083333333336</v>
      </c>
      <c r="B879" s="15">
        <f>SALES_EDA!M866</f>
        <v>42.056269909799227</v>
      </c>
      <c r="C879" s="15">
        <f>SALES_EDA!T866</f>
        <v>35.469400098908181</v>
      </c>
      <c r="D879" s="6">
        <f>SALES_EDA!D866</f>
        <v>647</v>
      </c>
      <c r="E879" s="14">
        <f>SALES_EDA!B866</f>
        <v>27210.4066316401</v>
      </c>
      <c r="F879" s="1"/>
      <c r="G879" s="1"/>
      <c r="H879" s="1"/>
      <c r="I879" s="1"/>
      <c r="J879" s="1"/>
    </row>
    <row r="880" spans="1:10" x14ac:dyDescent="0.3">
      <c r="A880" s="5">
        <f>SALES_EDA!A867</f>
        <v>42503.083333333336</v>
      </c>
      <c r="B880" s="15">
        <f>SALES_EDA!M867</f>
        <v>42.065378422365335</v>
      </c>
      <c r="C880" s="15">
        <f>SALES_EDA!T867</f>
        <v>35.697923028288955</v>
      </c>
      <c r="D880" s="6">
        <f>SALES_EDA!D867</f>
        <v>1898</v>
      </c>
      <c r="E880" s="14">
        <f>SALES_EDA!B867</f>
        <v>79840.0882456494</v>
      </c>
      <c r="F880" s="1"/>
      <c r="G880" s="1"/>
      <c r="H880" s="1"/>
      <c r="I880" s="1"/>
      <c r="J880" s="1"/>
    </row>
    <row r="881" spans="1:10" x14ac:dyDescent="0.3">
      <c r="A881" s="5">
        <f>SALES_EDA!A868</f>
        <v>42504.083333333336</v>
      </c>
      <c r="B881" s="15">
        <f>SALES_EDA!M868</f>
        <v>42.062441760351454</v>
      </c>
      <c r="C881" s="15">
        <f>SALES_EDA!T868</f>
        <v>35.925137826148131</v>
      </c>
      <c r="D881" s="6">
        <f>SALES_EDA!D868</f>
        <v>1961</v>
      </c>
      <c r="E881" s="14">
        <f>SALES_EDA!B868</f>
        <v>82484.448292049201</v>
      </c>
      <c r="F881" s="1"/>
      <c r="G881" s="1"/>
      <c r="H881" s="1"/>
      <c r="I881" s="1"/>
      <c r="J881" s="1"/>
    </row>
    <row r="882" spans="1:10" x14ac:dyDescent="0.3">
      <c r="A882" s="5">
        <f>SALES_EDA!A869</f>
        <v>42505.083333333336</v>
      </c>
      <c r="B882" s="15">
        <f>SALES_EDA!M869</f>
        <v>42.072906320612745</v>
      </c>
      <c r="C882" s="15">
        <f>SALES_EDA!T869</f>
        <v>36.152714798939655</v>
      </c>
      <c r="D882" s="6">
        <f>SALES_EDA!D869</f>
        <v>1224</v>
      </c>
      <c r="E882" s="14">
        <f>SALES_EDA!B869</f>
        <v>51497.23733643</v>
      </c>
      <c r="F882" s="1"/>
      <c r="G882" s="1"/>
      <c r="H882" s="1"/>
      <c r="I882" s="1"/>
      <c r="J882" s="1"/>
    </row>
    <row r="883" spans="1:10" x14ac:dyDescent="0.3">
      <c r="A883" s="5">
        <f>SALES_EDA!A870</f>
        <v>42506.083333333336</v>
      </c>
      <c r="B883" s="15">
        <f>SALES_EDA!M870</f>
        <v>42.072456199019044</v>
      </c>
      <c r="C883" s="15">
        <f>SALES_EDA!T870</f>
        <v>36.38195055750009</v>
      </c>
      <c r="D883" s="6">
        <f>SALES_EDA!D870</f>
        <v>1019</v>
      </c>
      <c r="E883" s="14">
        <f>SALES_EDA!B870</f>
        <v>42871.832866800403</v>
      </c>
      <c r="F883" s="1"/>
      <c r="G883" s="1"/>
      <c r="H883" s="1"/>
      <c r="I883" s="1"/>
      <c r="J883" s="1"/>
    </row>
    <row r="884" spans="1:10" x14ac:dyDescent="0.3">
      <c r="A884" s="5">
        <f>SALES_EDA!A871</f>
        <v>42507.083333333336</v>
      </c>
      <c r="B884" s="15">
        <f>SALES_EDA!M871</f>
        <v>42.047999034903441</v>
      </c>
      <c r="C884" s="15">
        <f>SALES_EDA!T871</f>
        <v>36.609193228420885</v>
      </c>
      <c r="D884" s="6">
        <f>SALES_EDA!D871</f>
        <v>930</v>
      </c>
      <c r="E884" s="14">
        <f>SALES_EDA!B871</f>
        <v>39104.639102460198</v>
      </c>
      <c r="F884" s="1"/>
      <c r="G884" s="1"/>
      <c r="H884" s="1"/>
      <c r="I884" s="1"/>
      <c r="J884" s="1"/>
    </row>
    <row r="885" spans="1:10" x14ac:dyDescent="0.3">
      <c r="A885" s="5">
        <f>SALES_EDA!A872</f>
        <v>42508.083333333336</v>
      </c>
      <c r="B885" s="15">
        <f>SALES_EDA!M872</f>
        <v>42.062041571772859</v>
      </c>
      <c r="C885" s="15">
        <f>SALES_EDA!T872</f>
        <v>36.837858126732307</v>
      </c>
      <c r="D885" s="6">
        <f>SALES_EDA!D872</f>
        <v>818</v>
      </c>
      <c r="E885" s="14">
        <f>SALES_EDA!B872</f>
        <v>34406.750005710201</v>
      </c>
      <c r="F885" s="1"/>
      <c r="G885" s="1"/>
      <c r="H885" s="1"/>
      <c r="I885" s="1"/>
      <c r="J885" s="1"/>
    </row>
    <row r="886" spans="1:10" x14ac:dyDescent="0.3">
      <c r="A886" s="5">
        <f>SALES_EDA!A873</f>
        <v>42509.083333333336</v>
      </c>
      <c r="B886" s="15">
        <f>SALES_EDA!M873</f>
        <v>42.052997396318254</v>
      </c>
      <c r="C886" s="15">
        <f>SALES_EDA!T873</f>
        <v>37.066617343903559</v>
      </c>
      <c r="D886" s="6">
        <f>SALES_EDA!D873</f>
        <v>937</v>
      </c>
      <c r="E886" s="14">
        <f>SALES_EDA!B873</f>
        <v>39403.658560350203</v>
      </c>
      <c r="F886" s="1"/>
      <c r="G886" s="1"/>
      <c r="H886" s="1"/>
      <c r="I886" s="1"/>
      <c r="J886" s="1"/>
    </row>
    <row r="887" spans="1:10" x14ac:dyDescent="0.3">
      <c r="A887" s="5">
        <f>SALES_EDA!A874</f>
        <v>42510.083333333336</v>
      </c>
      <c r="B887" s="15">
        <f>SALES_EDA!M874</f>
        <v>42.063815127601387</v>
      </c>
      <c r="C887" s="15">
        <f>SALES_EDA!T874</f>
        <v>37.322296631202001</v>
      </c>
      <c r="D887" s="6">
        <f>SALES_EDA!D874</f>
        <v>2302</v>
      </c>
      <c r="E887" s="14">
        <f>SALES_EDA!B874</f>
        <v>96830.9024237384</v>
      </c>
      <c r="F887" s="1"/>
      <c r="G887" s="1"/>
      <c r="H887" s="1"/>
      <c r="I887" s="1"/>
      <c r="J887" s="1"/>
    </row>
    <row r="888" spans="1:10" x14ac:dyDescent="0.3">
      <c r="A888" s="5">
        <f>SALES_EDA!A875</f>
        <v>42511.083333333336</v>
      </c>
      <c r="B888" s="15">
        <f>SALES_EDA!M875</f>
        <v>42.056874565098731</v>
      </c>
      <c r="C888" s="15">
        <f>SALES_EDA!T875</f>
        <v>37.585972705227867</v>
      </c>
      <c r="D888" s="6">
        <f>SALES_EDA!D875</f>
        <v>2363</v>
      </c>
      <c r="E888" s="14">
        <f>SALES_EDA!B875</f>
        <v>99380.394597328297</v>
      </c>
      <c r="F888" s="1"/>
      <c r="G888" s="1"/>
      <c r="H888" s="1"/>
      <c r="I888" s="1"/>
      <c r="J888" s="1"/>
    </row>
    <row r="889" spans="1:10" x14ac:dyDescent="0.3">
      <c r="A889" s="5">
        <f>SALES_EDA!A876</f>
        <v>42512.083333333336</v>
      </c>
      <c r="B889" s="15">
        <f>SALES_EDA!M876</f>
        <v>42.057422465259073</v>
      </c>
      <c r="C889" s="15">
        <f>SALES_EDA!T876</f>
        <v>37.848061367858122</v>
      </c>
      <c r="D889" s="6">
        <f>SALES_EDA!D876</f>
        <v>1466</v>
      </c>
      <c r="E889" s="14">
        <f>SALES_EDA!B876</f>
        <v>61656.181334069799</v>
      </c>
      <c r="F889" s="1"/>
      <c r="G889" s="1"/>
      <c r="H889" s="1"/>
      <c r="I889" s="1"/>
      <c r="J889" s="1"/>
    </row>
    <row r="890" spans="1:10" x14ac:dyDescent="0.3">
      <c r="A890" s="5">
        <f>SALES_EDA!A877</f>
        <v>42513.083333333336</v>
      </c>
      <c r="B890" s="15">
        <f>SALES_EDA!M877</f>
        <v>42.070290368357362</v>
      </c>
      <c r="C890" s="15">
        <f>SALES_EDA!T877</f>
        <v>38.111764500946293</v>
      </c>
      <c r="D890" s="6">
        <f>SALES_EDA!D877</f>
        <v>1644</v>
      </c>
      <c r="E890" s="14">
        <f>SALES_EDA!B877</f>
        <v>69163.557365579501</v>
      </c>
      <c r="F890" s="1"/>
      <c r="G890" s="1"/>
      <c r="H890" s="1"/>
      <c r="I890" s="1"/>
      <c r="J890" s="1"/>
    </row>
    <row r="891" spans="1:10" x14ac:dyDescent="0.3">
      <c r="A891" s="5">
        <f>SALES_EDA!A878</f>
        <v>42514.083333333336</v>
      </c>
      <c r="B891" s="15">
        <f>SALES_EDA!M878</f>
        <v>35.084635552453477</v>
      </c>
      <c r="C891" s="15">
        <f>SALES_EDA!T878</f>
        <v>38.143247885511911</v>
      </c>
      <c r="D891" s="6">
        <f>SALES_EDA!D878</f>
        <v>3224</v>
      </c>
      <c r="E891" s="14">
        <f>SALES_EDA!B878</f>
        <v>113112.86502111</v>
      </c>
      <c r="F891" s="1"/>
      <c r="G891" s="1"/>
      <c r="H891" s="1"/>
      <c r="I891" s="1"/>
      <c r="J891" s="1"/>
    </row>
    <row r="892" spans="1:10" x14ac:dyDescent="0.3">
      <c r="A892" s="5">
        <f>SALES_EDA!A879</f>
        <v>42515.083333333336</v>
      </c>
      <c r="B892" s="15">
        <f>SALES_EDA!M879</f>
        <v>34.319034422833603</v>
      </c>
      <c r="C892" s="15">
        <f>SALES_EDA!T879</f>
        <v>38.150258159186798</v>
      </c>
      <c r="D892" s="6">
        <f>SALES_EDA!D879</f>
        <v>7392</v>
      </c>
      <c r="E892" s="14">
        <f>SALES_EDA!B879</f>
        <v>253686.30245358599</v>
      </c>
      <c r="F892" s="1"/>
      <c r="G892" s="1"/>
      <c r="H892" s="1"/>
      <c r="I892" s="1"/>
      <c r="J892" s="1"/>
    </row>
    <row r="893" spans="1:10" x14ac:dyDescent="0.3">
      <c r="A893" s="5">
        <f>SALES_EDA!A880</f>
        <v>42516.083333333336</v>
      </c>
      <c r="B893" s="15">
        <f>SALES_EDA!M880</f>
        <v>34.262836745525576</v>
      </c>
      <c r="C893" s="15">
        <f>SALES_EDA!T880</f>
        <v>38.154359737438519</v>
      </c>
      <c r="D893" s="6">
        <f>SALES_EDA!D880</f>
        <v>6138</v>
      </c>
      <c r="E893" s="14">
        <f>SALES_EDA!B880</f>
        <v>210305.291944036</v>
      </c>
      <c r="F893" s="1"/>
      <c r="G893" s="1"/>
      <c r="H893" s="1"/>
      <c r="I893" s="1"/>
      <c r="J893" s="1"/>
    </row>
    <row r="894" spans="1:10" x14ac:dyDescent="0.3">
      <c r="A894" s="5">
        <f>SALES_EDA!A881</f>
        <v>42517.083333333336</v>
      </c>
      <c r="B894" s="15">
        <f>SALES_EDA!M881</f>
        <v>34.270277136665193</v>
      </c>
      <c r="C894" s="15">
        <f>SALES_EDA!T881</f>
        <v>38.158842244354929</v>
      </c>
      <c r="D894" s="6">
        <f>SALES_EDA!D881</f>
        <v>10624</v>
      </c>
      <c r="E894" s="14">
        <f>SALES_EDA!B881</f>
        <v>364087.42429993098</v>
      </c>
      <c r="F894" s="1"/>
      <c r="G894" s="1"/>
      <c r="H894" s="1"/>
      <c r="I894" s="1"/>
      <c r="J894" s="1"/>
    </row>
    <row r="895" spans="1:10" x14ac:dyDescent="0.3">
      <c r="A895" s="5">
        <f>SALES_EDA!A882</f>
        <v>42518.083333333336</v>
      </c>
      <c r="B895" s="15">
        <f>SALES_EDA!M882</f>
        <v>34.295113845947029</v>
      </c>
      <c r="C895" s="15">
        <f>SALES_EDA!T882</f>
        <v>38.161389465279505</v>
      </c>
      <c r="D895" s="6">
        <f>SALES_EDA!D882</f>
        <v>11590</v>
      </c>
      <c r="E895" s="14">
        <f>SALES_EDA!B882</f>
        <v>397480.36947452603</v>
      </c>
      <c r="F895" s="1"/>
      <c r="G895" s="1"/>
      <c r="H895" s="1"/>
      <c r="I895" s="1"/>
      <c r="J895" s="1"/>
    </row>
    <row r="896" spans="1:10" x14ac:dyDescent="0.3">
      <c r="A896" s="5">
        <f>SALES_EDA!A883</f>
        <v>42519.083333333336</v>
      </c>
      <c r="B896" s="15">
        <f>SALES_EDA!M883</f>
        <v>34.238660304976001</v>
      </c>
      <c r="C896" s="15">
        <f>SALES_EDA!T883</f>
        <v>38.162737857227953</v>
      </c>
      <c r="D896" s="6">
        <f>SALES_EDA!D883</f>
        <v>5959</v>
      </c>
      <c r="E896" s="14">
        <f>SALES_EDA!B883</f>
        <v>204028.17675735199</v>
      </c>
      <c r="F896" s="1"/>
      <c r="G896" s="1"/>
      <c r="H896" s="1"/>
      <c r="I896" s="1"/>
      <c r="J896" s="1"/>
    </row>
    <row r="897" spans="1:10" x14ac:dyDescent="0.3">
      <c r="A897" s="5">
        <f>SALES_EDA!A884</f>
        <v>42520.083333333336</v>
      </c>
      <c r="B897" s="15">
        <f>SALES_EDA!M884</f>
        <v>34.230969717604204</v>
      </c>
      <c r="C897" s="15">
        <f>SALES_EDA!T884</f>
        <v>38.163307325255865</v>
      </c>
      <c r="D897" s="6">
        <f>SALES_EDA!D884</f>
        <v>5048</v>
      </c>
      <c r="E897" s="14">
        <f>SALES_EDA!B884</f>
        <v>172797.93513446601</v>
      </c>
      <c r="F897" s="1"/>
      <c r="G897" s="1"/>
      <c r="H897" s="1"/>
      <c r="I897" s="1"/>
      <c r="J897" s="1"/>
    </row>
    <row r="898" spans="1:10" x14ac:dyDescent="0.3">
      <c r="A898" s="5">
        <f>SALES_EDA!A885</f>
        <v>42521.083333333336</v>
      </c>
      <c r="B898" s="15">
        <f>SALES_EDA!M885</f>
        <v>34.337132605434235</v>
      </c>
      <c r="C898" s="15">
        <f>SALES_EDA!T885</f>
        <v>38.169205440334672</v>
      </c>
      <c r="D898" s="6">
        <f>SALES_EDA!D885</f>
        <v>7542</v>
      </c>
      <c r="E898" s="14">
        <f>SALES_EDA!B885</f>
        <v>258970.65411018499</v>
      </c>
      <c r="F898" s="1"/>
      <c r="G898" s="1"/>
      <c r="H898" s="1"/>
      <c r="I898" s="1"/>
      <c r="J898" s="1"/>
    </row>
    <row r="899" spans="1:10" x14ac:dyDescent="0.3">
      <c r="A899" s="5">
        <f>SALES_EDA!A886</f>
        <v>42522.083333333336</v>
      </c>
      <c r="B899" s="15">
        <f>SALES_EDA!M886</f>
        <v>34.270938818136884</v>
      </c>
      <c r="C899" s="15">
        <f>SALES_EDA!T886</f>
        <v>38.173606778243126</v>
      </c>
      <c r="D899" s="6">
        <f>SALES_EDA!D886</f>
        <v>10761</v>
      </c>
      <c r="E899" s="14">
        <f>SALES_EDA!B886</f>
        <v>368789.57262197102</v>
      </c>
      <c r="F899" s="1"/>
      <c r="G899" s="1"/>
      <c r="H899" s="1"/>
      <c r="I899" s="1"/>
      <c r="J899" s="1"/>
    </row>
    <row r="900" spans="1:10" x14ac:dyDescent="0.3">
      <c r="A900" s="5">
        <f>SALES_EDA!A887</f>
        <v>42523.083333333336</v>
      </c>
      <c r="B900" s="15">
        <f>SALES_EDA!M887</f>
        <v>34.245244651384979</v>
      </c>
      <c r="C900" s="15">
        <f>SALES_EDA!T887</f>
        <v>38.177488555832497</v>
      </c>
      <c r="D900" s="6">
        <f>SALES_EDA!D887</f>
        <v>8120</v>
      </c>
      <c r="E900" s="14">
        <f>SALES_EDA!B887</f>
        <v>278071.38656924601</v>
      </c>
      <c r="F900" s="1"/>
      <c r="G900" s="1"/>
      <c r="H900" s="1"/>
      <c r="I900" s="1"/>
      <c r="J900" s="1"/>
    </row>
    <row r="901" spans="1:10" x14ac:dyDescent="0.3">
      <c r="A901" s="5">
        <f>SALES_EDA!A888</f>
        <v>42524.083333333336</v>
      </c>
      <c r="B901" s="15">
        <f>SALES_EDA!M888</f>
        <v>34.320793138695578</v>
      </c>
      <c r="C901" s="15">
        <f>SALES_EDA!T888</f>
        <v>38.181835064797632</v>
      </c>
      <c r="D901" s="6">
        <f>SALES_EDA!D888</f>
        <v>10896</v>
      </c>
      <c r="E901" s="14">
        <f>SALES_EDA!B888</f>
        <v>373959.36203922698</v>
      </c>
      <c r="F901" s="1"/>
      <c r="G901" s="1"/>
      <c r="H901" s="1"/>
      <c r="I901" s="1"/>
      <c r="J901" s="1"/>
    </row>
    <row r="902" spans="1:10" x14ac:dyDescent="0.3">
      <c r="A902" s="5">
        <f>SALES_EDA!A889</f>
        <v>42525.083333333336</v>
      </c>
      <c r="B902" s="15">
        <f>SALES_EDA!M889</f>
        <v>34.287672939496417</v>
      </c>
      <c r="C902" s="15">
        <f>SALES_EDA!T889</f>
        <v>38.186474714482607</v>
      </c>
      <c r="D902" s="6">
        <f>SALES_EDA!D889</f>
        <v>11726</v>
      </c>
      <c r="E902" s="14">
        <f>SALES_EDA!B889</f>
        <v>402057.25288853497</v>
      </c>
      <c r="F902" s="1"/>
      <c r="G902" s="1"/>
      <c r="H902" s="1"/>
      <c r="I902" s="1"/>
      <c r="J902" s="1"/>
    </row>
    <row r="903" spans="1:10" x14ac:dyDescent="0.3">
      <c r="A903" s="5">
        <f>SALES_EDA!A890</f>
        <v>42526.083333333336</v>
      </c>
      <c r="B903" s="15">
        <f>SALES_EDA!M890</f>
        <v>34.246621147963374</v>
      </c>
      <c r="C903" s="15">
        <f>SALES_EDA!T890</f>
        <v>38.188781097863661</v>
      </c>
      <c r="D903" s="6">
        <f>SALES_EDA!D890</f>
        <v>6007</v>
      </c>
      <c r="E903" s="14">
        <f>SALES_EDA!B890</f>
        <v>205719.45323581601</v>
      </c>
      <c r="F903" s="1"/>
      <c r="G903" s="1"/>
      <c r="H903" s="1"/>
      <c r="I903" s="1"/>
      <c r="J903" s="1"/>
    </row>
    <row r="904" spans="1:10" x14ac:dyDescent="0.3">
      <c r="A904" s="5">
        <f>SALES_EDA!A891</f>
        <v>42527.083333333336</v>
      </c>
      <c r="B904" s="15">
        <f>SALES_EDA!M891</f>
        <v>34.257849590064801</v>
      </c>
      <c r="C904" s="15">
        <f>SALES_EDA!T891</f>
        <v>38.191962016806357</v>
      </c>
      <c r="D904" s="6">
        <f>SALES_EDA!D891</f>
        <v>5185</v>
      </c>
      <c r="E904" s="14">
        <f>SALES_EDA!B891</f>
        <v>177626.950124486</v>
      </c>
      <c r="F904" s="1"/>
      <c r="G904" s="1"/>
      <c r="H904" s="1"/>
      <c r="I904" s="1"/>
      <c r="J904" s="1"/>
    </row>
    <row r="905" spans="1:10" x14ac:dyDescent="0.3">
      <c r="A905" s="5">
        <f>SALES_EDA!A892</f>
        <v>42528.083333333336</v>
      </c>
      <c r="B905" s="15">
        <f>SALES_EDA!M892</f>
        <v>42.054870096859339</v>
      </c>
      <c r="C905" s="15">
        <f>SALES_EDA!T892</f>
        <v>38.455033173043965</v>
      </c>
      <c r="D905" s="6">
        <f>SALES_EDA!D892</f>
        <v>1675</v>
      </c>
      <c r="E905" s="14">
        <f>SALES_EDA!B892</f>
        <v>70441.907412239394</v>
      </c>
      <c r="F905" s="1"/>
      <c r="G905" s="1"/>
      <c r="H905" s="1"/>
      <c r="I905" s="1"/>
      <c r="J905" s="1"/>
    </row>
    <row r="906" spans="1:10" x14ac:dyDescent="0.3">
      <c r="A906" s="5">
        <f>SALES_EDA!A893</f>
        <v>42529.083333333336</v>
      </c>
      <c r="B906" s="15">
        <f>SALES_EDA!M893</f>
        <v>34.191783752507874</v>
      </c>
      <c r="C906" s="15">
        <f>SALES_EDA!T893</f>
        <v>38.193021847266905</v>
      </c>
      <c r="D906" s="6">
        <f>SALES_EDA!D893</f>
        <v>4765</v>
      </c>
      <c r="E906" s="14">
        <f>SALES_EDA!B893</f>
        <v>162923.84958070001</v>
      </c>
      <c r="F906" s="1"/>
      <c r="G906" s="1"/>
      <c r="H906" s="1"/>
      <c r="I906" s="1"/>
      <c r="J906" s="1"/>
    </row>
    <row r="907" spans="1:10" x14ac:dyDescent="0.3">
      <c r="A907" s="5">
        <f>SALES_EDA!A894</f>
        <v>42530.083333333336</v>
      </c>
      <c r="B907" s="15">
        <f>SALES_EDA!M894</f>
        <v>35.100563523847207</v>
      </c>
      <c r="C907" s="15">
        <f>SALES_EDA!T894</f>
        <v>37.961350196427617</v>
      </c>
      <c r="D907" s="6">
        <f>SALES_EDA!D894</f>
        <v>3953</v>
      </c>
      <c r="E907" s="14">
        <f>SALES_EDA!B894</f>
        <v>138752.527609768</v>
      </c>
      <c r="F907" s="1"/>
      <c r="G907" s="1"/>
      <c r="H907" s="1"/>
      <c r="I907" s="1"/>
      <c r="J907" s="1"/>
    </row>
    <row r="908" spans="1:10" x14ac:dyDescent="0.3">
      <c r="A908" s="5">
        <f>SALES_EDA!A895</f>
        <v>42531.083333333336</v>
      </c>
      <c r="B908" s="15">
        <f>SALES_EDA!M895</f>
        <v>35.112414774755074</v>
      </c>
      <c r="C908" s="15">
        <f>SALES_EDA!T895</f>
        <v>37.728943530220327</v>
      </c>
      <c r="D908" s="6">
        <f>SALES_EDA!D895</f>
        <v>7190</v>
      </c>
      <c r="E908" s="14">
        <f>SALES_EDA!B895</f>
        <v>252458.262230489</v>
      </c>
      <c r="F908" s="1"/>
      <c r="G908" s="1"/>
      <c r="H908" s="1"/>
      <c r="I908" s="1"/>
      <c r="J908" s="1"/>
    </row>
    <row r="909" spans="1:10" x14ac:dyDescent="0.3">
      <c r="A909" s="5">
        <f>SALES_EDA!A896</f>
        <v>42532.083333333336</v>
      </c>
      <c r="B909" s="15">
        <f>SALES_EDA!M896</f>
        <v>34.268141830607092</v>
      </c>
      <c r="C909" s="15">
        <f>SALES_EDA!T896</f>
        <v>37.46933926091392</v>
      </c>
      <c r="D909" s="6">
        <f>SALES_EDA!D896</f>
        <v>8577</v>
      </c>
      <c r="E909" s="14">
        <f>SALES_EDA!B896</f>
        <v>293917.85248111701</v>
      </c>
      <c r="F909" s="1"/>
      <c r="G909" s="1"/>
      <c r="H909" s="1"/>
      <c r="I909" s="1"/>
      <c r="J909" s="1"/>
    </row>
    <row r="910" spans="1:10" x14ac:dyDescent="0.3">
      <c r="A910" s="5">
        <f>SALES_EDA!A897</f>
        <v>42533.083333333336</v>
      </c>
      <c r="B910" s="15">
        <f>SALES_EDA!M897</f>
        <v>35.087527727231802</v>
      </c>
      <c r="C910" s="15">
        <f>SALES_EDA!T897</f>
        <v>37.236744237742798</v>
      </c>
      <c r="D910" s="6">
        <f>SALES_EDA!D897</f>
        <v>3943</v>
      </c>
      <c r="E910" s="14">
        <f>SALES_EDA!B897</f>
        <v>138350.12182847501</v>
      </c>
      <c r="F910" s="1"/>
      <c r="G910" s="1"/>
      <c r="H910" s="1"/>
      <c r="I910" s="1"/>
      <c r="J910" s="1"/>
    </row>
    <row r="911" spans="1:10" x14ac:dyDescent="0.3">
      <c r="A911" s="5">
        <f>SALES_EDA!A898</f>
        <v>42534.083333333336</v>
      </c>
      <c r="B911" s="15">
        <f>SALES_EDA!M898</f>
        <v>35.086937028377662</v>
      </c>
      <c r="C911" s="15">
        <f>SALES_EDA!T898</f>
        <v>37.004227413343678</v>
      </c>
      <c r="D911" s="6">
        <f>SALES_EDA!D898</f>
        <v>3707</v>
      </c>
      <c r="E911" s="14">
        <f>SALES_EDA!B898</f>
        <v>130067.275564196</v>
      </c>
      <c r="F911" s="1"/>
      <c r="G911" s="1"/>
      <c r="H911" s="1"/>
      <c r="I911" s="1"/>
      <c r="J911" s="1"/>
    </row>
    <row r="912" spans="1:10" x14ac:dyDescent="0.3">
      <c r="A912" s="5">
        <f>SALES_EDA!A899</f>
        <v>42535.083333333336</v>
      </c>
      <c r="B912" s="15">
        <f>SALES_EDA!M899</f>
        <v>35.091244622298298</v>
      </c>
      <c r="C912" s="15">
        <f>SALES_EDA!T899</f>
        <v>36.771505356733186</v>
      </c>
      <c r="D912" s="6">
        <f>SALES_EDA!D899</f>
        <v>3054</v>
      </c>
      <c r="E912" s="14">
        <f>SALES_EDA!B899</f>
        <v>107168.661076499</v>
      </c>
      <c r="F912" s="1"/>
      <c r="G912" s="1"/>
      <c r="H912" s="1"/>
      <c r="I912" s="1"/>
      <c r="J912" s="1"/>
    </row>
    <row r="913" spans="1:10" x14ac:dyDescent="0.3">
      <c r="A913" s="5">
        <f>SALES_EDA!A900</f>
        <v>42536.083333333336</v>
      </c>
      <c r="B913" s="15">
        <f>SALES_EDA!M900</f>
        <v>34.250199426400549</v>
      </c>
      <c r="C913" s="15">
        <f>SALES_EDA!T900</f>
        <v>36.510763464312575</v>
      </c>
      <c r="D913" s="6">
        <f>SALES_EDA!D900</f>
        <v>6541</v>
      </c>
      <c r="E913" s="14">
        <f>SALES_EDA!B900</f>
        <v>224030.55444808601</v>
      </c>
      <c r="F913" s="1"/>
      <c r="G913" s="1"/>
      <c r="H913" s="1"/>
      <c r="I913" s="1"/>
      <c r="J913" s="1"/>
    </row>
    <row r="914" spans="1:10" x14ac:dyDescent="0.3">
      <c r="A914" s="5">
        <f>SALES_EDA!A901</f>
        <v>42537.083333333336</v>
      </c>
      <c r="B914" s="15">
        <f>SALES_EDA!M901</f>
        <v>35.122320764088364</v>
      </c>
      <c r="C914" s="15">
        <f>SALES_EDA!T901</f>
        <v>36.279907521952062</v>
      </c>
      <c r="D914" s="6">
        <f>SALES_EDA!D901</f>
        <v>5749</v>
      </c>
      <c r="E914" s="14">
        <f>SALES_EDA!B901</f>
        <v>201918.22207274401</v>
      </c>
      <c r="F914" s="1"/>
      <c r="G914" s="1"/>
      <c r="H914" s="1"/>
      <c r="I914" s="1"/>
      <c r="J914" s="1"/>
    </row>
    <row r="915" spans="1:10" x14ac:dyDescent="0.3">
      <c r="A915" s="5">
        <f>SALES_EDA!A902</f>
        <v>42538.083333333336</v>
      </c>
      <c r="B915" s="15">
        <f>SALES_EDA!M902</f>
        <v>35.092623154305919</v>
      </c>
      <c r="C915" s="15">
        <f>SALES_EDA!T902</f>
        <v>36.047593574703164</v>
      </c>
      <c r="D915" s="6">
        <f>SALES_EDA!D902</f>
        <v>9385</v>
      </c>
      <c r="E915" s="14">
        <f>SALES_EDA!B902</f>
        <v>329344.26830316102</v>
      </c>
      <c r="F915" s="1"/>
      <c r="G915" s="1"/>
      <c r="H915" s="1"/>
      <c r="I915" s="1"/>
      <c r="J915" s="1"/>
    </row>
    <row r="916" spans="1:10" x14ac:dyDescent="0.3">
      <c r="A916" s="5">
        <f>SALES_EDA!A903</f>
        <v>42539.083333333336</v>
      </c>
      <c r="B916" s="15">
        <f>SALES_EDA!M903</f>
        <v>34.248000135828008</v>
      </c>
      <c r="C916" s="15">
        <f>SALES_EDA!T903</f>
        <v>35.787426999353492</v>
      </c>
      <c r="D916" s="6">
        <f>SALES_EDA!D903</f>
        <v>9012</v>
      </c>
      <c r="E916" s="14">
        <f>SALES_EDA!B903</f>
        <v>308642.97722408199</v>
      </c>
      <c r="F916" s="1"/>
      <c r="G916" s="1"/>
      <c r="H916" s="1"/>
      <c r="I916" s="1"/>
      <c r="J916" s="1"/>
    </row>
    <row r="917" spans="1:10" x14ac:dyDescent="0.3">
      <c r="A917" s="5">
        <f>SALES_EDA!A904</f>
        <v>42540.083333333336</v>
      </c>
      <c r="B917" s="15">
        <f>SALES_EDA!M904</f>
        <v>35.101124152512654</v>
      </c>
      <c r="C917" s="15">
        <f>SALES_EDA!T904</f>
        <v>35.555337300183872</v>
      </c>
      <c r="D917" s="6">
        <f>SALES_EDA!D904</f>
        <v>3831</v>
      </c>
      <c r="E917" s="14">
        <f>SALES_EDA!B904</f>
        <v>134472.40662827599</v>
      </c>
      <c r="F917" s="1"/>
      <c r="G917" s="1"/>
      <c r="H917" s="1"/>
      <c r="I917" s="1"/>
      <c r="J917" s="1"/>
    </row>
    <row r="918" spans="1:10" x14ac:dyDescent="0.3">
      <c r="A918" s="5">
        <f>SALES_EDA!A905</f>
        <v>42541.083333333336</v>
      </c>
      <c r="B918" s="15">
        <f>SALES_EDA!M905</f>
        <v>35.101225429330242</v>
      </c>
      <c r="C918" s="15">
        <f>SALES_EDA!T905</f>
        <v>35.323482328991595</v>
      </c>
      <c r="D918" s="6">
        <f>SALES_EDA!D905</f>
        <v>4097</v>
      </c>
      <c r="E918" s="14">
        <f>SALES_EDA!B905</f>
        <v>143809.720583966</v>
      </c>
      <c r="F918" s="1"/>
      <c r="G918" s="1"/>
      <c r="H918" s="1"/>
      <c r="I918" s="1"/>
      <c r="J918" s="1"/>
    </row>
    <row r="919" spans="1:10" x14ac:dyDescent="0.3">
      <c r="A919" s="5">
        <f>SALES_EDA!A906</f>
        <v>42542.083333333336</v>
      </c>
      <c r="B919" s="15">
        <f>SALES_EDA!M906</f>
        <v>35.124579953219715</v>
      </c>
      <c r="C919" s="15">
        <f>SALES_EDA!T906</f>
        <v>35.092387578590277</v>
      </c>
      <c r="D919" s="6">
        <f>SALES_EDA!D906</f>
        <v>3509</v>
      </c>
      <c r="E919" s="14">
        <f>SALES_EDA!B906</f>
        <v>123252.15105584799</v>
      </c>
      <c r="F919" s="1"/>
      <c r="G919" s="1"/>
      <c r="H919" s="1"/>
      <c r="I919" s="1"/>
      <c r="J919" s="1"/>
    </row>
    <row r="920" spans="1:10" x14ac:dyDescent="0.3">
      <c r="A920" s="5">
        <f>SALES_EDA!A907</f>
        <v>42543.083333333336</v>
      </c>
      <c r="B920" s="15">
        <f>SALES_EDA!M907</f>
        <v>42.04318070499496</v>
      </c>
      <c r="C920" s="15">
        <f>SALES_EDA!T907</f>
        <v>35.091483923144864</v>
      </c>
      <c r="D920" s="6">
        <f>SALES_EDA!D907</f>
        <v>953</v>
      </c>
      <c r="E920" s="14">
        <f>SALES_EDA!B907</f>
        <v>40067.151211860197</v>
      </c>
      <c r="F920" s="1"/>
      <c r="G920" s="1"/>
      <c r="H920" s="1"/>
      <c r="I920" s="1"/>
      <c r="J920" s="1"/>
    </row>
    <row r="921" spans="1:10" x14ac:dyDescent="0.3">
      <c r="A921" s="5">
        <f>SALES_EDA!A908</f>
        <v>42544.083333333336</v>
      </c>
      <c r="B921" s="15">
        <f>SALES_EDA!M908</f>
        <v>33.392041059384198</v>
      </c>
      <c r="C921" s="15">
        <f>SALES_EDA!T908</f>
        <v>35.035064106709221</v>
      </c>
      <c r="D921" s="6">
        <f>SALES_EDA!D908</f>
        <v>4305</v>
      </c>
      <c r="E921" s="14">
        <f>SALES_EDA!B908</f>
        <v>143752.73676064899</v>
      </c>
      <c r="F921" s="1"/>
      <c r="G921" s="1"/>
      <c r="H921" s="1"/>
      <c r="I921" s="1"/>
      <c r="J921" s="1"/>
    </row>
    <row r="922" spans="1:10" x14ac:dyDescent="0.3">
      <c r="A922" s="5">
        <f>SALES_EDA!A909</f>
        <v>42545.083333333336</v>
      </c>
      <c r="B922" s="15">
        <f>SALES_EDA!M909</f>
        <v>33.41938875072109</v>
      </c>
      <c r="C922" s="15">
        <f>SALES_EDA!T909</f>
        <v>35.005075917638806</v>
      </c>
      <c r="D922" s="6">
        <f>SALES_EDA!D909</f>
        <v>11667</v>
      </c>
      <c r="E922" s="14">
        <f>SALES_EDA!B909</f>
        <v>389904.00855466299</v>
      </c>
      <c r="F922" s="1"/>
      <c r="G922" s="1"/>
      <c r="H922" s="1"/>
      <c r="I922" s="1"/>
      <c r="J922" s="1"/>
    </row>
    <row r="923" spans="1:10" x14ac:dyDescent="0.3">
      <c r="A923" s="5">
        <f>SALES_EDA!A910</f>
        <v>42546.083333333336</v>
      </c>
      <c r="B923" s="15">
        <f>SALES_EDA!M910</f>
        <v>33.443107778059449</v>
      </c>
      <c r="C923" s="15">
        <f>SALES_EDA!T910</f>
        <v>34.977751618723261</v>
      </c>
      <c r="D923" s="6">
        <f>SALES_EDA!D910</f>
        <v>13793</v>
      </c>
      <c r="E923" s="14">
        <f>SALES_EDA!B910</f>
        <v>461280.78558277403</v>
      </c>
      <c r="F923" s="1"/>
      <c r="G923" s="1"/>
      <c r="H923" s="1"/>
      <c r="I923" s="1"/>
      <c r="J923" s="1"/>
    </row>
    <row r="924" spans="1:10" x14ac:dyDescent="0.3">
      <c r="A924" s="5">
        <f>SALES_EDA!A911</f>
        <v>42547.083333333336</v>
      </c>
      <c r="B924" s="15">
        <f>SALES_EDA!M911</f>
        <v>33.365260777527631</v>
      </c>
      <c r="C924" s="15">
        <f>SALES_EDA!T911</f>
        <v>34.947584406752007</v>
      </c>
      <c r="D924" s="6">
        <f>SALES_EDA!D911</f>
        <v>6641</v>
      </c>
      <c r="E924" s="14">
        <f>SALES_EDA!B911</f>
        <v>221578.69682356101</v>
      </c>
      <c r="F924" s="1"/>
      <c r="G924" s="1"/>
      <c r="H924" s="1"/>
      <c r="I924" s="1"/>
      <c r="J924" s="1"/>
    </row>
    <row r="925" spans="1:10" x14ac:dyDescent="0.3">
      <c r="A925" s="5">
        <f>SALES_EDA!A912</f>
        <v>42548.083333333336</v>
      </c>
      <c r="B925" s="15">
        <f>SALES_EDA!M912</f>
        <v>33.412646250048596</v>
      </c>
      <c r="C925" s="15">
        <f>SALES_EDA!T912</f>
        <v>34.918168820222064</v>
      </c>
      <c r="D925" s="6">
        <f>SALES_EDA!D912</f>
        <v>7593</v>
      </c>
      <c r="E925" s="14">
        <f>SALES_EDA!B912</f>
        <v>253702.222976619</v>
      </c>
      <c r="F925" s="1"/>
      <c r="G925" s="1"/>
      <c r="H925" s="1"/>
      <c r="I925" s="1"/>
      <c r="J925" s="1"/>
    </row>
    <row r="926" spans="1:10" x14ac:dyDescent="0.3">
      <c r="A926" s="5">
        <f>SALES_EDA!A913</f>
        <v>42549.083333333336</v>
      </c>
      <c r="B926" s="15">
        <f>SALES_EDA!M913</f>
        <v>33.397049472838191</v>
      </c>
      <c r="C926" s="15">
        <f>SALES_EDA!T913</f>
        <v>34.890115125817474</v>
      </c>
      <c r="D926" s="6">
        <f>SALES_EDA!D913</f>
        <v>6007</v>
      </c>
      <c r="E926" s="14">
        <f>SALES_EDA!B913</f>
        <v>200616.076183339</v>
      </c>
      <c r="F926" s="1"/>
      <c r="G926" s="1"/>
      <c r="H926" s="1"/>
      <c r="I926" s="1"/>
      <c r="J926" s="1"/>
    </row>
    <row r="927" spans="1:10" x14ac:dyDescent="0.3">
      <c r="A927" s="5">
        <f>SALES_EDA!A914</f>
        <v>42550.083333333336</v>
      </c>
      <c r="B927" s="15">
        <f>SALES_EDA!M914</f>
        <v>33.364982373082746</v>
      </c>
      <c r="C927" s="15">
        <f>SALES_EDA!T914</f>
        <v>34.861248881000087</v>
      </c>
      <c r="D927" s="6">
        <f>SALES_EDA!D914</f>
        <v>6345</v>
      </c>
      <c r="E927" s="14">
        <f>SALES_EDA!B914</f>
        <v>211700.81315721001</v>
      </c>
      <c r="F927" s="1"/>
      <c r="G927" s="1"/>
      <c r="H927" s="1"/>
      <c r="I927" s="1"/>
      <c r="J927" s="1"/>
    </row>
    <row r="928" spans="1:10" x14ac:dyDescent="0.3">
      <c r="A928" s="5">
        <f>SALES_EDA!A915</f>
        <v>42551.083333333336</v>
      </c>
      <c r="B928" s="15">
        <f>SALES_EDA!M915</f>
        <v>33.336207432751472</v>
      </c>
      <c r="C928" s="15">
        <f>SALES_EDA!T915</f>
        <v>34.827884708577329</v>
      </c>
      <c r="D928" s="6">
        <f>SALES_EDA!D915</f>
        <v>8482</v>
      </c>
      <c r="E928" s="14">
        <f>SALES_EDA!B915</f>
        <v>282757.71144459798</v>
      </c>
      <c r="F928" s="1"/>
      <c r="G928" s="1"/>
      <c r="H928" s="1"/>
      <c r="I928" s="1"/>
      <c r="J928" s="1"/>
    </row>
    <row r="929" spans="1:10" x14ac:dyDescent="0.3">
      <c r="A929" s="5">
        <f>SALES_EDA!A916</f>
        <v>42552.083333333336</v>
      </c>
      <c r="B929" s="15">
        <f>SALES_EDA!M916</f>
        <v>33.394461566351225</v>
      </c>
      <c r="C929" s="15">
        <f>SALES_EDA!T916</f>
        <v>34.79866880018448</v>
      </c>
      <c r="D929" s="6">
        <f>SALES_EDA!D916</f>
        <v>14344</v>
      </c>
      <c r="E929" s="14">
        <f>SALES_EDA!B916</f>
        <v>479010.15670774202</v>
      </c>
      <c r="F929" s="1"/>
      <c r="G929" s="1"/>
      <c r="H929" s="1"/>
      <c r="I929" s="1"/>
      <c r="J929" s="1"/>
    </row>
    <row r="930" spans="1:10" x14ac:dyDescent="0.3">
      <c r="A930" s="5">
        <f>SALES_EDA!A917</f>
        <v>42553.083333333336</v>
      </c>
      <c r="B930" s="15">
        <f>SALES_EDA!M917</f>
        <v>33.400197351663529</v>
      </c>
      <c r="C930" s="15">
        <f>SALES_EDA!T917</f>
        <v>34.770500556860426</v>
      </c>
      <c r="D930" s="6">
        <f>SALES_EDA!D917</f>
        <v>13609</v>
      </c>
      <c r="E930" s="14">
        <f>SALES_EDA!B917</f>
        <v>454543.28575878899</v>
      </c>
      <c r="F930" s="1"/>
      <c r="G930" s="1"/>
      <c r="H930" s="1"/>
      <c r="I930" s="1"/>
      <c r="J930" s="1"/>
    </row>
    <row r="931" spans="1:10" x14ac:dyDescent="0.3">
      <c r="A931" s="5">
        <f>SALES_EDA!A918</f>
        <v>42554.083333333336</v>
      </c>
      <c r="B931" s="15">
        <f>SALES_EDA!M918</f>
        <v>33.363435831736879</v>
      </c>
      <c r="C931" s="15">
        <f>SALES_EDA!T918</f>
        <v>34.738588646628479</v>
      </c>
      <c r="D931" s="6">
        <f>SALES_EDA!D918</f>
        <v>7259</v>
      </c>
      <c r="E931" s="14">
        <f>SALES_EDA!B918</f>
        <v>242185.18070257801</v>
      </c>
      <c r="F931" s="1"/>
      <c r="G931" s="1"/>
      <c r="H931" s="1"/>
      <c r="I931" s="1"/>
      <c r="J931" s="1"/>
    </row>
    <row r="932" spans="1:10" x14ac:dyDescent="0.3">
      <c r="A932" s="5">
        <f>SALES_EDA!A919</f>
        <v>42555.083333333336</v>
      </c>
      <c r="B932" s="15">
        <f>SALES_EDA!M919</f>
        <v>33.392442836671691</v>
      </c>
      <c r="C932" s="15">
        <f>SALES_EDA!T919</f>
        <v>34.708747643200994</v>
      </c>
      <c r="D932" s="6">
        <f>SALES_EDA!D919</f>
        <v>8431</v>
      </c>
      <c r="E932" s="14">
        <f>SALES_EDA!B919</f>
        <v>281531.68555597903</v>
      </c>
      <c r="F932" s="1"/>
      <c r="G932" s="1"/>
      <c r="H932" s="1"/>
      <c r="I932" s="1"/>
      <c r="J932" s="1"/>
    </row>
    <row r="933" spans="1:10" x14ac:dyDescent="0.3">
      <c r="A933" s="5">
        <f>SALES_EDA!A920</f>
        <v>42556.083333333336</v>
      </c>
      <c r="B933" s="15">
        <f>SALES_EDA!M920</f>
        <v>33.3530819728811</v>
      </c>
      <c r="C933" s="15">
        <f>SALES_EDA!T920</f>
        <v>34.67896300403158</v>
      </c>
      <c r="D933" s="6">
        <f>SALES_EDA!D920</f>
        <v>6577</v>
      </c>
      <c r="E933" s="14">
        <f>SALES_EDA!B920</f>
        <v>219363.22013563901</v>
      </c>
      <c r="F933" s="1"/>
      <c r="G933" s="1"/>
      <c r="H933" s="1"/>
      <c r="I933" s="1"/>
      <c r="J933" s="1"/>
    </row>
    <row r="934" spans="1:10" x14ac:dyDescent="0.3">
      <c r="A934" s="5">
        <f>SALES_EDA!A921</f>
        <v>42557.083333333336</v>
      </c>
      <c r="B934" s="15">
        <f>SALES_EDA!M921</f>
        <v>33.454506761979992</v>
      </c>
      <c r="C934" s="15">
        <f>SALES_EDA!T921</f>
        <v>34.652184909762084</v>
      </c>
      <c r="D934" s="6">
        <f>SALES_EDA!D921</f>
        <v>6098</v>
      </c>
      <c r="E934" s="14">
        <f>SALES_EDA!B921</f>
        <v>204005.58223455399</v>
      </c>
      <c r="F934" s="1"/>
      <c r="G934" s="1"/>
      <c r="H934" s="1"/>
      <c r="I934" s="1"/>
      <c r="J934" s="1"/>
    </row>
    <row r="935" spans="1:10" x14ac:dyDescent="0.3">
      <c r="A935" s="5">
        <f>SALES_EDA!A922</f>
        <v>42558.083333333336</v>
      </c>
      <c r="B935" s="15">
        <f>SALES_EDA!M922</f>
        <v>42.067151424105077</v>
      </c>
      <c r="C935" s="15">
        <f>SALES_EDA!T922</f>
        <v>34.652594287336946</v>
      </c>
      <c r="D935" s="6">
        <f>SALES_EDA!D922</f>
        <v>1654</v>
      </c>
      <c r="E935" s="14">
        <f>SALES_EDA!B922</f>
        <v>69579.068455469795</v>
      </c>
      <c r="F935" s="1"/>
      <c r="G935" s="1"/>
      <c r="H935" s="1"/>
      <c r="I935" s="1"/>
      <c r="J935" s="1"/>
    </row>
    <row r="936" spans="1:10" x14ac:dyDescent="0.3">
      <c r="A936" s="5">
        <f>SALES_EDA!A923</f>
        <v>42559.083333333336</v>
      </c>
      <c r="B936" s="15">
        <f>SALES_EDA!M923</f>
        <v>42.057279319203516</v>
      </c>
      <c r="C936" s="15">
        <f>SALES_EDA!T923</f>
        <v>34.914777472893462</v>
      </c>
      <c r="D936" s="6">
        <f>SALES_EDA!D923</f>
        <v>2073</v>
      </c>
      <c r="E936" s="14">
        <f>SALES_EDA!B923</f>
        <v>87184.740028708897</v>
      </c>
      <c r="F936" s="1"/>
      <c r="G936" s="1"/>
      <c r="H936" s="1"/>
      <c r="I936" s="1"/>
      <c r="J936" s="1"/>
    </row>
    <row r="937" spans="1:10" x14ac:dyDescent="0.3">
      <c r="A937" s="5">
        <f>SALES_EDA!A924</f>
        <v>42560.083333333336</v>
      </c>
      <c r="B937" s="15">
        <f>SALES_EDA!M924</f>
        <v>42.063300934441045</v>
      </c>
      <c r="C937" s="15">
        <f>SALES_EDA!T924</f>
        <v>35.146868719913265</v>
      </c>
      <c r="D937" s="6">
        <f>SALES_EDA!D924</f>
        <v>1871</v>
      </c>
      <c r="E937" s="14">
        <f>SALES_EDA!B924</f>
        <v>78700.436048339194</v>
      </c>
      <c r="F937" s="1"/>
      <c r="G937" s="1"/>
      <c r="H937" s="1"/>
      <c r="I937" s="1"/>
      <c r="J937" s="1"/>
    </row>
    <row r="938" spans="1:10" x14ac:dyDescent="0.3">
      <c r="A938" s="5">
        <f>SALES_EDA!A925</f>
        <v>42561.083333333336</v>
      </c>
      <c r="B938" s="15">
        <f>SALES_EDA!M925</f>
        <v>42.081986353700209</v>
      </c>
      <c r="C938" s="15">
        <f>SALES_EDA!T925</f>
        <v>35.379187772544768</v>
      </c>
      <c r="D938" s="6">
        <f>SALES_EDA!D925</f>
        <v>946</v>
      </c>
      <c r="E938" s="14">
        <f>SALES_EDA!B925</f>
        <v>39809.5590906004</v>
      </c>
      <c r="F938" s="1"/>
      <c r="G938" s="1"/>
      <c r="H938" s="1"/>
      <c r="I938" s="1"/>
      <c r="J938" s="1"/>
    </row>
    <row r="939" spans="1:10" x14ac:dyDescent="0.3">
      <c r="A939" s="5">
        <f>SALES_EDA!A926</f>
        <v>42562.083333333336</v>
      </c>
      <c r="B939" s="15">
        <f>SALES_EDA!M926</f>
        <v>42.054347495587336</v>
      </c>
      <c r="C939" s="15">
        <f>SALES_EDA!T926</f>
        <v>35.638727961377441</v>
      </c>
      <c r="D939" s="6">
        <f>SALES_EDA!D926</f>
        <v>1090</v>
      </c>
      <c r="E939" s="14">
        <f>SALES_EDA!B926</f>
        <v>45839.238770190197</v>
      </c>
      <c r="F939" s="1"/>
      <c r="G939" s="1"/>
      <c r="H939" s="1"/>
      <c r="I939" s="1"/>
      <c r="J939" s="1"/>
    </row>
    <row r="940" spans="1:10" x14ac:dyDescent="0.3">
      <c r="A940" s="5">
        <f>SALES_EDA!A927</f>
        <v>42563.083333333336</v>
      </c>
      <c r="B940" s="15">
        <f>SALES_EDA!M927</f>
        <v>42.068223455308683</v>
      </c>
      <c r="C940" s="15">
        <f>SALES_EDA!T927</f>
        <v>35.871417818980007</v>
      </c>
      <c r="D940" s="6">
        <f>SALES_EDA!D927</f>
        <v>876</v>
      </c>
      <c r="E940" s="14">
        <f>SALES_EDA!B927</f>
        <v>36851.763746850404</v>
      </c>
      <c r="F940" s="1"/>
      <c r="G940" s="1"/>
      <c r="H940" s="1"/>
      <c r="I940" s="1"/>
      <c r="J940" s="1"/>
    </row>
    <row r="941" spans="1:10" x14ac:dyDescent="0.3">
      <c r="A941" s="5">
        <f>SALES_EDA!A928</f>
        <v>42564.083333333336</v>
      </c>
      <c r="B941" s="15">
        <f>SALES_EDA!M928</f>
        <v>42.057810723759623</v>
      </c>
      <c r="C941" s="15">
        <f>SALES_EDA!T928</f>
        <v>36.103780275492731</v>
      </c>
      <c r="D941" s="6">
        <f>SALES_EDA!D928</f>
        <v>790</v>
      </c>
      <c r="E941" s="14">
        <f>SALES_EDA!B928</f>
        <v>33225.6704717701</v>
      </c>
      <c r="F941" s="1"/>
      <c r="G941" s="1"/>
      <c r="H941" s="1"/>
      <c r="I941" s="1"/>
      <c r="J941" s="1"/>
    </row>
    <row r="942" spans="1:10" x14ac:dyDescent="0.3">
      <c r="A942" s="5">
        <f>SALES_EDA!A929</f>
        <v>42565.083333333336</v>
      </c>
      <c r="B942" s="15">
        <f>SALES_EDA!M929</f>
        <v>42.079379608215909</v>
      </c>
      <c r="C942" s="15">
        <f>SALES_EDA!T929</f>
        <v>36.336718108356656</v>
      </c>
      <c r="D942" s="6">
        <f>SALES_EDA!D929</f>
        <v>723</v>
      </c>
      <c r="E942" s="14">
        <f>SALES_EDA!B929</f>
        <v>30423.391456740101</v>
      </c>
      <c r="F942" s="1"/>
      <c r="G942" s="1"/>
      <c r="H942" s="1"/>
      <c r="I942" s="1"/>
      <c r="J942" s="1"/>
    </row>
    <row r="943" spans="1:10" x14ac:dyDescent="0.3">
      <c r="A943" s="5">
        <f>SALES_EDA!A930</f>
        <v>42566.083333333336</v>
      </c>
      <c r="B943" s="15">
        <f>SALES_EDA!M930</f>
        <v>42.065778879287492</v>
      </c>
      <c r="C943" s="15">
        <f>SALES_EDA!T930</f>
        <v>36.597237423452889</v>
      </c>
      <c r="D943" s="6">
        <f>SALES_EDA!D930</f>
        <v>1910</v>
      </c>
      <c r="E943" s="14">
        <f>SALES_EDA!B930</f>
        <v>80345.637659439104</v>
      </c>
      <c r="F943" s="1"/>
      <c r="G943" s="1"/>
      <c r="H943" s="1"/>
      <c r="I943" s="1"/>
      <c r="J943" s="1"/>
    </row>
    <row r="944" spans="1:10" x14ac:dyDescent="0.3">
      <c r="A944" s="5">
        <f>SALES_EDA!A931</f>
        <v>42567.083333333336</v>
      </c>
      <c r="B944" s="15">
        <f>SALES_EDA!M931</f>
        <v>42.055312721376296</v>
      </c>
      <c r="C944" s="15">
        <f>SALES_EDA!T931</f>
        <v>36.82833715536249</v>
      </c>
      <c r="D944" s="6">
        <f>SALES_EDA!D931</f>
        <v>2266</v>
      </c>
      <c r="E944" s="14">
        <f>SALES_EDA!B931</f>
        <v>95297.338626638695</v>
      </c>
      <c r="F944" s="1"/>
      <c r="G944" s="1"/>
      <c r="H944" s="1"/>
      <c r="I944" s="1"/>
      <c r="J944" s="1"/>
    </row>
    <row r="945" spans="1:10" x14ac:dyDescent="0.3">
      <c r="A945" s="5">
        <f>SALES_EDA!A932</f>
        <v>42568.083333333336</v>
      </c>
      <c r="B945" s="15">
        <f>SALES_EDA!M932</f>
        <v>42.044577483924122</v>
      </c>
      <c r="C945" s="15">
        <f>SALES_EDA!T932</f>
        <v>37.06006896634976</v>
      </c>
      <c r="D945" s="6">
        <f>SALES_EDA!D932</f>
        <v>1078</v>
      </c>
      <c r="E945" s="14">
        <f>SALES_EDA!B932</f>
        <v>45324.054527670203</v>
      </c>
      <c r="F945" s="1"/>
      <c r="G945" s="1"/>
      <c r="H945" s="1"/>
      <c r="I945" s="1"/>
      <c r="J945" s="1"/>
    </row>
    <row r="946" spans="1:10" x14ac:dyDescent="0.3">
      <c r="A946" s="5">
        <f>SALES_EDA!A933</f>
        <v>42569.083333333336</v>
      </c>
      <c r="B946" s="15">
        <f>SALES_EDA!M933</f>
        <v>42.057146217432923</v>
      </c>
      <c r="C946" s="15">
        <f>SALES_EDA!T933</f>
        <v>37.320373835736589</v>
      </c>
      <c r="D946" s="6">
        <f>SALES_EDA!D933</f>
        <v>1227</v>
      </c>
      <c r="E946" s="14">
        <f>SALES_EDA!B933</f>
        <v>51604.1184087902</v>
      </c>
      <c r="F946" s="1"/>
      <c r="G946" s="1"/>
      <c r="H946" s="1"/>
      <c r="I946" s="1"/>
      <c r="J946" s="1"/>
    </row>
    <row r="947" spans="1:10" x14ac:dyDescent="0.3">
      <c r="A947" s="5">
        <f>SALES_EDA!A934</f>
        <v>42570.083333333336</v>
      </c>
      <c r="B947" s="15">
        <f>SALES_EDA!M934</f>
        <v>42.077910035933776</v>
      </c>
      <c r="C947" s="15">
        <f>SALES_EDA!T934</f>
        <v>37.552933365183968</v>
      </c>
      <c r="D947" s="6">
        <f>SALES_EDA!D934</f>
        <v>900</v>
      </c>
      <c r="E947" s="14">
        <f>SALES_EDA!B934</f>
        <v>37870.119032340401</v>
      </c>
      <c r="F947" s="1"/>
      <c r="G947" s="1"/>
      <c r="H947" s="1"/>
      <c r="I947" s="1"/>
      <c r="J947" s="1"/>
    </row>
    <row r="948" spans="1:10" x14ac:dyDescent="0.3">
      <c r="A948" s="5">
        <f>SALES_EDA!A935</f>
        <v>42571.083333333336</v>
      </c>
      <c r="B948" s="15">
        <f>SALES_EDA!M935</f>
        <v>42.050713049025788</v>
      </c>
      <c r="C948" s="15">
        <f>SALES_EDA!T935</f>
        <v>37.784582952507144</v>
      </c>
      <c r="D948" s="6">
        <f>SALES_EDA!D935</f>
        <v>1016</v>
      </c>
      <c r="E948" s="14">
        <f>SALES_EDA!B935</f>
        <v>42723.524457810199</v>
      </c>
      <c r="F948" s="1"/>
      <c r="G948" s="1"/>
      <c r="H948" s="1"/>
      <c r="I948" s="1"/>
      <c r="J948" s="1"/>
    </row>
    <row r="949" spans="1:10" x14ac:dyDescent="0.3">
      <c r="A949" s="5">
        <f>SALES_EDA!A936</f>
        <v>42572.083333333336</v>
      </c>
      <c r="B949" s="15">
        <f>SALES_EDA!M936</f>
        <v>42.069277284509688</v>
      </c>
      <c r="C949" s="15">
        <f>SALES_EDA!T936</f>
        <v>38.016072863550136</v>
      </c>
      <c r="D949" s="6">
        <f>SALES_EDA!D936</f>
        <v>836</v>
      </c>
      <c r="E949" s="14">
        <f>SALES_EDA!B936</f>
        <v>35169.915809850099</v>
      </c>
      <c r="F949" s="1"/>
      <c r="G949" s="1"/>
      <c r="H949" s="1"/>
      <c r="I949" s="1"/>
      <c r="J949" s="1"/>
    </row>
    <row r="950" spans="1:10" x14ac:dyDescent="0.3">
      <c r="A950" s="5">
        <f>SALES_EDA!A937</f>
        <v>42573.083333333336</v>
      </c>
      <c r="B950" s="15">
        <f>SALES_EDA!M937</f>
        <v>42.055161630866301</v>
      </c>
      <c r="C950" s="15">
        <f>SALES_EDA!T937</f>
        <v>38.016472227745844</v>
      </c>
      <c r="D950" s="6">
        <f>SALES_EDA!D937</f>
        <v>1454</v>
      </c>
      <c r="E950" s="14">
        <f>SALES_EDA!B937</f>
        <v>61148.205011279599</v>
      </c>
      <c r="F950" s="1"/>
      <c r="G950" s="1"/>
      <c r="H950" s="1"/>
      <c r="I950" s="1"/>
      <c r="J950" s="1"/>
    </row>
    <row r="951" spans="1:10" x14ac:dyDescent="0.3">
      <c r="A951" s="5">
        <f>SALES_EDA!A938</f>
        <v>42574.083333333336</v>
      </c>
      <c r="B951" s="15">
        <f>SALES_EDA!M938</f>
        <v>42.055423324332153</v>
      </c>
      <c r="C951" s="15">
        <f>SALES_EDA!T938</f>
        <v>38.305251636577459</v>
      </c>
      <c r="D951" s="6">
        <f>SALES_EDA!D938</f>
        <v>1835</v>
      </c>
      <c r="E951" s="14">
        <f>SALES_EDA!B938</f>
        <v>77171.701800149502</v>
      </c>
      <c r="F951" s="1"/>
      <c r="G951" s="1"/>
      <c r="H951" s="1"/>
      <c r="I951" s="1"/>
      <c r="J951" s="1"/>
    </row>
    <row r="952" spans="1:10" x14ac:dyDescent="0.3">
      <c r="A952" s="5">
        <f>SALES_EDA!A939</f>
        <v>42575.083333333336</v>
      </c>
      <c r="B952" s="15">
        <f>SALES_EDA!M939</f>
        <v>42.0590071113891</v>
      </c>
      <c r="C952" s="15">
        <f>SALES_EDA!T939</f>
        <v>38.59323891526639</v>
      </c>
      <c r="D952" s="6">
        <f>SALES_EDA!D939</f>
        <v>972</v>
      </c>
      <c r="E952" s="14">
        <f>SALES_EDA!B939</f>
        <v>40881.354912270202</v>
      </c>
      <c r="F952" s="1"/>
      <c r="G952" s="1"/>
      <c r="H952" s="1"/>
      <c r="I952" s="1"/>
      <c r="J952" s="1"/>
    </row>
    <row r="953" spans="1:10" x14ac:dyDescent="0.3">
      <c r="A953" s="5">
        <f>SALES_EDA!A940</f>
        <v>42576.083333333336</v>
      </c>
      <c r="B953" s="15">
        <f>SALES_EDA!M940</f>
        <v>42.075776378437794</v>
      </c>
      <c r="C953" s="15">
        <f>SALES_EDA!T940</f>
        <v>38.880994535278994</v>
      </c>
      <c r="D953" s="6">
        <f>SALES_EDA!D940</f>
        <v>1024</v>
      </c>
      <c r="E953" s="14">
        <f>SALES_EDA!B940</f>
        <v>43085.595011520301</v>
      </c>
      <c r="F953" s="1"/>
      <c r="G953" s="1"/>
      <c r="H953" s="1"/>
      <c r="I953" s="1"/>
      <c r="J953" s="1"/>
    </row>
    <row r="954" spans="1:10" x14ac:dyDescent="0.3">
      <c r="A954" s="5">
        <f>SALES_EDA!A941</f>
        <v>42577.083333333336</v>
      </c>
      <c r="B954" s="15">
        <f>SALES_EDA!M941</f>
        <v>42.045012866005933</v>
      </c>
      <c r="C954" s="15">
        <f>SALES_EDA!T941</f>
        <v>39.170319604894942</v>
      </c>
      <c r="D954" s="6">
        <f>SALES_EDA!D941</f>
        <v>1044</v>
      </c>
      <c r="E954" s="14">
        <f>SALES_EDA!B941</f>
        <v>43894.993432110197</v>
      </c>
      <c r="F954" s="1"/>
      <c r="G954" s="1"/>
      <c r="H954" s="1"/>
      <c r="I954" s="1"/>
      <c r="J954" s="1"/>
    </row>
    <row r="955" spans="1:10" x14ac:dyDescent="0.3">
      <c r="A955" s="5">
        <f>SALES_EDA!A942</f>
        <v>42578.083333333336</v>
      </c>
      <c r="B955" s="15">
        <f>SALES_EDA!M942</f>
        <v>42.073698874282741</v>
      </c>
      <c r="C955" s="15">
        <f>SALES_EDA!T942</f>
        <v>39.459021359036086</v>
      </c>
      <c r="D955" s="6">
        <f>SALES_EDA!D942</f>
        <v>1611</v>
      </c>
      <c r="E955" s="14">
        <f>SALES_EDA!B942</f>
        <v>67780.7288864695</v>
      </c>
      <c r="F955" s="1"/>
      <c r="G955" s="1"/>
      <c r="H955" s="1"/>
      <c r="I955" s="1"/>
      <c r="J955" s="1"/>
    </row>
    <row r="956" spans="1:10" x14ac:dyDescent="0.3">
      <c r="A956" s="5">
        <f>SALES_EDA!A943</f>
        <v>42579.083333333336</v>
      </c>
      <c r="B956" s="15">
        <f>SALES_EDA!M943</f>
        <v>42.064783749189786</v>
      </c>
      <c r="C956" s="15">
        <f>SALES_EDA!T943</f>
        <v>39.747945834914468</v>
      </c>
      <c r="D956" s="6">
        <f>SALES_EDA!D943</f>
        <v>1234</v>
      </c>
      <c r="E956" s="14">
        <f>SALES_EDA!B943</f>
        <v>51907.943146500198</v>
      </c>
      <c r="F956" s="1"/>
      <c r="G956" s="1"/>
      <c r="H956" s="1"/>
      <c r="I956" s="1"/>
      <c r="J956" s="1"/>
    </row>
    <row r="957" spans="1:10" x14ac:dyDescent="0.3">
      <c r="A957" s="5">
        <f>SALES_EDA!A944</f>
        <v>42580.083333333336</v>
      </c>
      <c r="B957" s="15">
        <f>SALES_EDA!M944</f>
        <v>42.064162791888982</v>
      </c>
      <c r="C957" s="15">
        <f>SALES_EDA!T944</f>
        <v>40.037918515541335</v>
      </c>
      <c r="D957" s="6">
        <f>SALES_EDA!D944</f>
        <v>2223</v>
      </c>
      <c r="E957" s="14">
        <f>SALES_EDA!B944</f>
        <v>93508.633886369207</v>
      </c>
      <c r="F957" s="1"/>
      <c r="G957" s="1"/>
      <c r="H957" s="1"/>
      <c r="I957" s="1"/>
      <c r="J957" s="1"/>
    </row>
    <row r="958" spans="1:10" x14ac:dyDescent="0.3">
      <c r="A958" s="5">
        <f>SALES_EDA!A945</f>
        <v>42581.083333333336</v>
      </c>
      <c r="B958" s="15">
        <f>SALES_EDA!M945</f>
        <v>42.057166083890117</v>
      </c>
      <c r="C958" s="15">
        <f>SALES_EDA!T945</f>
        <v>40.328617137245949</v>
      </c>
      <c r="D958" s="6">
        <f>SALES_EDA!D945</f>
        <v>2267</v>
      </c>
      <c r="E958" s="14">
        <f>SALES_EDA!B945</f>
        <v>95343.595512178901</v>
      </c>
      <c r="F958" s="1"/>
      <c r="G958" s="1"/>
      <c r="H958" s="1"/>
      <c r="I958" s="1"/>
      <c r="J958" s="1"/>
    </row>
    <row r="959" spans="1:10" x14ac:dyDescent="0.3">
      <c r="A959" s="5">
        <f>SALES_EDA!A946</f>
        <v>42582.083333333336</v>
      </c>
      <c r="B959" s="15">
        <f>SALES_EDA!M946</f>
        <v>42.060065251335615</v>
      </c>
      <c r="C959" s="15">
        <f>SALES_EDA!T946</f>
        <v>40.617470593412094</v>
      </c>
      <c r="D959" s="6">
        <f>SALES_EDA!D946</f>
        <v>1415</v>
      </c>
      <c r="E959" s="14">
        <f>SALES_EDA!B946</f>
        <v>59514.9923306399</v>
      </c>
      <c r="F959" s="1"/>
      <c r="G959" s="1"/>
      <c r="H959" s="1"/>
      <c r="I959" s="1"/>
      <c r="J959" s="1"/>
    </row>
    <row r="960" spans="1:10" x14ac:dyDescent="0.3">
      <c r="A960" s="5">
        <f>SALES_EDA!A947</f>
        <v>42583.083333333336</v>
      </c>
      <c r="B960" s="15">
        <f>SALES_EDA!M947</f>
        <v>42.076205555658781</v>
      </c>
      <c r="C960" s="15">
        <f>SALES_EDA!T947</f>
        <v>40.906670866878606</v>
      </c>
      <c r="D960" s="6">
        <f>SALES_EDA!D947</f>
        <v>1548</v>
      </c>
      <c r="E960" s="14">
        <f>SALES_EDA!B947</f>
        <v>65133.966200159797</v>
      </c>
      <c r="F960" s="1"/>
      <c r="G960" s="1"/>
      <c r="H960" s="1"/>
      <c r="I960" s="1"/>
      <c r="J960" s="1"/>
    </row>
    <row r="961" spans="1:10" x14ac:dyDescent="0.3">
      <c r="A961" s="5">
        <f>SALES_EDA!A948</f>
        <v>42584.083333333336</v>
      </c>
      <c r="B961" s="15">
        <f>SALES_EDA!M948</f>
        <v>42.073409003871291</v>
      </c>
      <c r="C961" s="15">
        <f>SALES_EDA!T948</f>
        <v>41.197003305949764</v>
      </c>
      <c r="D961" s="6">
        <f>SALES_EDA!D948</f>
        <v>1679</v>
      </c>
      <c r="E961" s="14">
        <f>SALES_EDA!B948</f>
        <v>70641.253717499902</v>
      </c>
      <c r="F961" s="1"/>
      <c r="G961" s="1"/>
      <c r="H961" s="1"/>
      <c r="I961" s="1"/>
      <c r="J961" s="1"/>
    </row>
    <row r="962" spans="1:10" x14ac:dyDescent="0.3">
      <c r="A962" s="5">
        <f>SALES_EDA!A949</f>
        <v>42585.083333333336</v>
      </c>
      <c r="B962" s="15">
        <f>SALES_EDA!M949</f>
        <v>42.050496076354335</v>
      </c>
      <c r="C962" s="15">
        <f>SALES_EDA!T949</f>
        <v>41.485605080605858</v>
      </c>
      <c r="D962" s="6">
        <f>SALES_EDA!D949</f>
        <v>1152</v>
      </c>
      <c r="E962" s="14">
        <f>SALES_EDA!B949</f>
        <v>48442.171479960198</v>
      </c>
      <c r="F962" s="1"/>
      <c r="G962" s="1"/>
      <c r="H962" s="1"/>
      <c r="I962" s="1"/>
      <c r="J962" s="1"/>
    </row>
    <row r="963" spans="1:10" x14ac:dyDescent="0.3">
      <c r="A963" s="5">
        <f>SALES_EDA!A950</f>
        <v>42586.083333333336</v>
      </c>
      <c r="B963" s="15">
        <f>SALES_EDA!M950</f>
        <v>42.044842794632338</v>
      </c>
      <c r="C963" s="15">
        <f>SALES_EDA!T950</f>
        <v>41.775330441330894</v>
      </c>
      <c r="D963" s="6">
        <f>SALES_EDA!D950</f>
        <v>1101</v>
      </c>
      <c r="E963" s="14">
        <f>SALES_EDA!B950</f>
        <v>46291.371916890203</v>
      </c>
      <c r="F963" s="1"/>
      <c r="G963" s="1"/>
      <c r="H963" s="1"/>
      <c r="I963" s="1"/>
      <c r="J963" s="1"/>
    </row>
    <row r="964" spans="1:10" x14ac:dyDescent="0.3">
      <c r="A964" s="5">
        <f>SALES_EDA!A951</f>
        <v>42587.083333333336</v>
      </c>
      <c r="B964" s="15">
        <f>SALES_EDA!M951</f>
        <v>42.069383328848566</v>
      </c>
      <c r="C964" s="15">
        <f>SALES_EDA!T951</f>
        <v>42.062492993559857</v>
      </c>
      <c r="D964" s="6">
        <f>SALES_EDA!D951</f>
        <v>1746</v>
      </c>
      <c r="E964" s="14">
        <f>SALES_EDA!B951</f>
        <v>73453.143292169596</v>
      </c>
      <c r="F964" s="1"/>
      <c r="G964" s="1"/>
      <c r="H964" s="1"/>
      <c r="I964" s="1"/>
      <c r="J964" s="1"/>
    </row>
    <row r="965" spans="1:10" x14ac:dyDescent="0.3">
      <c r="A965" s="5">
        <f>SALES_EDA!A952</f>
        <v>42588.083333333336</v>
      </c>
      <c r="B965" s="15">
        <f>SALES_EDA!M952</f>
        <v>42.064057620052644</v>
      </c>
      <c r="C965" s="15">
        <f>SALES_EDA!T952</f>
        <v>42.062389866758096</v>
      </c>
      <c r="D965" s="6">
        <f>SALES_EDA!D952</f>
        <v>1700</v>
      </c>
      <c r="E965" s="14">
        <f>SALES_EDA!B952</f>
        <v>71508.897954089494</v>
      </c>
      <c r="F965" s="1"/>
      <c r="G965" s="1"/>
      <c r="H965" s="1"/>
      <c r="I965" s="1"/>
      <c r="J965" s="1"/>
    </row>
    <row r="966" spans="1:10" x14ac:dyDescent="0.3">
      <c r="A966" s="5">
        <f>SALES_EDA!A953</f>
        <v>42589.083333333336</v>
      </c>
      <c r="B966" s="15">
        <f>SALES_EDA!M953</f>
        <v>42.05052612986028</v>
      </c>
      <c r="C966" s="15">
        <f>SALES_EDA!T953</f>
        <v>42.062164760446656</v>
      </c>
      <c r="D966" s="6">
        <f>SALES_EDA!D953</f>
        <v>715</v>
      </c>
      <c r="E966" s="14">
        <f>SALES_EDA!B953</f>
        <v>30066.126182850101</v>
      </c>
      <c r="F966" s="1"/>
      <c r="G966" s="1"/>
      <c r="H966" s="1"/>
      <c r="I966" s="1"/>
      <c r="J966" s="1"/>
    </row>
    <row r="967" spans="1:10" x14ac:dyDescent="0.3">
      <c r="A967" s="5">
        <f>SALES_EDA!A954</f>
        <v>42590.083333333336</v>
      </c>
      <c r="B967" s="15">
        <f>SALES_EDA!M954</f>
        <v>42.058657640100556</v>
      </c>
      <c r="C967" s="15">
        <f>SALES_EDA!T954</f>
        <v>42.062009983968643</v>
      </c>
      <c r="D967" s="6">
        <f>SALES_EDA!D954</f>
        <v>897</v>
      </c>
      <c r="E967" s="14">
        <f>SALES_EDA!B954</f>
        <v>37726.615903170197</v>
      </c>
      <c r="F967" s="1"/>
      <c r="G967" s="1"/>
      <c r="H967" s="1"/>
      <c r="I967" s="1"/>
      <c r="J967" s="1"/>
    </row>
    <row r="968" spans="1:10" x14ac:dyDescent="0.3">
      <c r="A968" s="5">
        <f>SALES_EDA!A955</f>
        <v>42591.083333333336</v>
      </c>
      <c r="B968" s="15">
        <f>SALES_EDA!M955</f>
        <v>42.062339190859753</v>
      </c>
      <c r="C968" s="15">
        <f>SALES_EDA!T955</f>
        <v>42.061355078540622</v>
      </c>
      <c r="D968" s="6">
        <f>SALES_EDA!D955</f>
        <v>733</v>
      </c>
      <c r="E968" s="14">
        <f>SALES_EDA!B955</f>
        <v>30831.6946269002</v>
      </c>
      <c r="F968" s="1"/>
      <c r="G968" s="1"/>
      <c r="H968" s="1"/>
      <c r="I968" s="1"/>
      <c r="J968" s="1"/>
    </row>
    <row r="969" spans="1:10" x14ac:dyDescent="0.3">
      <c r="A969" s="5">
        <f>SALES_EDA!A956</f>
        <v>42592.083333333336</v>
      </c>
      <c r="B969" s="15">
        <f>SALES_EDA!M956</f>
        <v>34.285720484624008</v>
      </c>
      <c r="C969" s="15">
        <f>SALES_EDA!T956</f>
        <v>41.802400844841856</v>
      </c>
      <c r="D969" s="6">
        <f>SALES_EDA!D956</f>
        <v>4282</v>
      </c>
      <c r="E969" s="14">
        <f>SALES_EDA!B956</f>
        <v>146811.45511516</v>
      </c>
      <c r="F969" s="1"/>
      <c r="G969" s="1"/>
      <c r="H969" s="1"/>
      <c r="I969" s="1"/>
      <c r="J969" s="1"/>
    </row>
    <row r="970" spans="1:10" x14ac:dyDescent="0.3">
      <c r="A970" s="5">
        <f>SALES_EDA!A957</f>
        <v>42593.083333333336</v>
      </c>
      <c r="B970" s="15">
        <f>SALES_EDA!M957</f>
        <v>34.833390170592047</v>
      </c>
      <c r="C970" s="15">
        <f>SALES_EDA!T957</f>
        <v>41.5612397353513</v>
      </c>
      <c r="D970" s="6">
        <f>SALES_EDA!D957</f>
        <v>2867</v>
      </c>
      <c r="E970" s="14">
        <f>SALES_EDA!B957</f>
        <v>99867.329619087395</v>
      </c>
      <c r="F970" s="1"/>
      <c r="G970" s="1"/>
      <c r="H970" s="1"/>
      <c r="I970" s="1"/>
      <c r="J970" s="1"/>
    </row>
    <row r="971" spans="1:10" x14ac:dyDescent="0.3">
      <c r="A971" s="5">
        <f>SALES_EDA!A958</f>
        <v>42594.083333333336</v>
      </c>
      <c r="B971" s="15">
        <f>SALES_EDA!M958</f>
        <v>34.637432223195823</v>
      </c>
      <c r="C971" s="15">
        <f>SALES_EDA!T958</f>
        <v>41.31389378533251</v>
      </c>
      <c r="D971" s="6">
        <f>SALES_EDA!D958</f>
        <v>6082</v>
      </c>
      <c r="E971" s="14">
        <f>SALES_EDA!B958</f>
        <v>210664.86278147699</v>
      </c>
      <c r="F971" s="1"/>
      <c r="G971" s="1"/>
      <c r="H971" s="1"/>
      <c r="I971" s="1"/>
      <c r="J971" s="1"/>
    </row>
    <row r="972" spans="1:10" x14ac:dyDescent="0.3">
      <c r="A972" s="5">
        <f>SALES_EDA!A959</f>
        <v>42595.083333333336</v>
      </c>
      <c r="B972" s="15">
        <f>SALES_EDA!M959</f>
        <v>34.264707125607124</v>
      </c>
      <c r="C972" s="15">
        <f>SALES_EDA!T959</f>
        <v>41.053404702578881</v>
      </c>
      <c r="D972" s="6">
        <f>SALES_EDA!D959</f>
        <v>7771</v>
      </c>
      <c r="E972" s="14">
        <f>SALES_EDA!B959</f>
        <v>266271.03907309298</v>
      </c>
      <c r="F972" s="1"/>
      <c r="G972" s="1"/>
      <c r="H972" s="1"/>
      <c r="I972" s="1"/>
      <c r="J972" s="1"/>
    </row>
    <row r="973" spans="1:10" x14ac:dyDescent="0.3">
      <c r="A973" s="5">
        <f>SALES_EDA!A960</f>
        <v>42596.083333333336</v>
      </c>
      <c r="B973" s="15">
        <f>SALES_EDA!M960</f>
        <v>34.419474012699943</v>
      </c>
      <c r="C973" s="15">
        <f>SALES_EDA!T960</f>
        <v>40.798527873692628</v>
      </c>
      <c r="D973" s="6">
        <f>SALES_EDA!D960</f>
        <v>3576</v>
      </c>
      <c r="E973" s="14">
        <f>SALES_EDA!B960</f>
        <v>123084.039069415</v>
      </c>
      <c r="F973" s="1"/>
      <c r="G973" s="1"/>
      <c r="H973" s="1"/>
      <c r="I973" s="1"/>
      <c r="J973" s="1"/>
    </row>
    <row r="974" spans="1:10" x14ac:dyDescent="0.3">
      <c r="A974" s="5">
        <f>SALES_EDA!A961</f>
        <v>42597.083333333336</v>
      </c>
      <c r="B974" s="15">
        <f>SALES_EDA!M961</f>
        <v>35.002694079833297</v>
      </c>
      <c r="C974" s="15">
        <f>SALES_EDA!T961</f>
        <v>40.563440585641196</v>
      </c>
      <c r="D974" s="6">
        <f>SALES_EDA!D961</f>
        <v>4649</v>
      </c>
      <c r="E974" s="14">
        <f>SALES_EDA!B961</f>
        <v>162727.52477714501</v>
      </c>
      <c r="F974" s="1"/>
      <c r="G974" s="1"/>
      <c r="H974" s="1"/>
      <c r="I974" s="1"/>
      <c r="J974" s="1"/>
    </row>
    <row r="975" spans="1:10" x14ac:dyDescent="0.3">
      <c r="A975" s="5">
        <f>SALES_EDA!A962</f>
        <v>42598.083333333336</v>
      </c>
      <c r="B975" s="15">
        <f>SALES_EDA!M962</f>
        <v>34.739232584508478</v>
      </c>
      <c r="C975" s="15">
        <f>SALES_EDA!T962</f>
        <v>40.319929088993995</v>
      </c>
      <c r="D975" s="6">
        <f>SALES_EDA!D962</f>
        <v>3302</v>
      </c>
      <c r="E975" s="14">
        <f>SALES_EDA!B962</f>
        <v>114708.945994047</v>
      </c>
      <c r="F975" s="1"/>
      <c r="G975" s="1"/>
      <c r="H975" s="1"/>
      <c r="I975" s="1"/>
      <c r="J975" s="1"/>
    </row>
    <row r="976" spans="1:10" x14ac:dyDescent="0.3">
      <c r="A976" s="5">
        <f>SALES_EDA!A963</f>
        <v>42599.083333333336</v>
      </c>
      <c r="B976" s="15">
        <f>SALES_EDA!M963</f>
        <v>34.59245120729242</v>
      </c>
      <c r="C976" s="15">
        <f>SALES_EDA!T963</f>
        <v>40.071105921989322</v>
      </c>
      <c r="D976" s="6">
        <f>SALES_EDA!D963</f>
        <v>3536</v>
      </c>
      <c r="E976" s="14">
        <f>SALES_EDA!B963</f>
        <v>122318.907468986</v>
      </c>
      <c r="F976" s="1"/>
      <c r="G976" s="1"/>
      <c r="H976" s="1"/>
      <c r="I976" s="1"/>
      <c r="J976" s="1"/>
    </row>
    <row r="977" spans="1:10" x14ac:dyDescent="0.3">
      <c r="A977" s="5">
        <f>SALES_EDA!A964</f>
        <v>42600.083333333336</v>
      </c>
      <c r="B977" s="15">
        <f>SALES_EDA!M964</f>
        <v>34.613827111093016</v>
      </c>
      <c r="C977" s="15">
        <f>SALES_EDA!T964</f>
        <v>39.822303157827953</v>
      </c>
      <c r="D977" s="6">
        <f>SALES_EDA!D964</f>
        <v>3236</v>
      </c>
      <c r="E977" s="14">
        <f>SALES_EDA!B964</f>
        <v>112010.344531497</v>
      </c>
      <c r="F977" s="1"/>
      <c r="G977" s="1"/>
      <c r="H977" s="1"/>
      <c r="I977" s="1"/>
      <c r="J977" s="1"/>
    </row>
    <row r="978" spans="1:10" x14ac:dyDescent="0.3">
      <c r="A978" s="5">
        <f>SALES_EDA!A965</f>
        <v>42601.083333333336</v>
      </c>
      <c r="B978" s="15">
        <f>SALES_EDA!M965</f>
        <v>34.586438501441464</v>
      </c>
      <c r="C978" s="15">
        <f>SALES_EDA!T965</f>
        <v>39.573494006241823</v>
      </c>
      <c r="D978" s="6">
        <f>SALES_EDA!D965</f>
        <v>6646</v>
      </c>
      <c r="E978" s="14">
        <f>SALES_EDA!B965</f>
        <v>229861.47028057999</v>
      </c>
      <c r="F978" s="1"/>
      <c r="G978" s="1"/>
      <c r="H978" s="1"/>
      <c r="I978" s="1"/>
      <c r="J978" s="1"/>
    </row>
    <row r="979" spans="1:10" x14ac:dyDescent="0.3">
      <c r="A979" s="5">
        <f>SALES_EDA!A966</f>
        <v>42602.083333333336</v>
      </c>
      <c r="B979" s="15">
        <f>SALES_EDA!M966</f>
        <v>34.623441785899587</v>
      </c>
      <c r="C979" s="15">
        <f>SALES_EDA!T966</f>
        <v>39.325299489621479</v>
      </c>
      <c r="D979" s="6">
        <f>SALES_EDA!D966</f>
        <v>7220</v>
      </c>
      <c r="E979" s="14">
        <f>SALES_EDA!B966</f>
        <v>249981.24969419499</v>
      </c>
      <c r="F979" s="1"/>
      <c r="G979" s="1"/>
      <c r="H979" s="1"/>
      <c r="I979" s="1"/>
      <c r="J979" s="1"/>
    </row>
    <row r="980" spans="1:10" x14ac:dyDescent="0.3">
      <c r="A980" s="5">
        <f>SALES_EDA!A967</f>
        <v>42603.083333333336</v>
      </c>
      <c r="B980" s="15">
        <f>SALES_EDA!M967</f>
        <v>34.482124587342092</v>
      </c>
      <c r="C980" s="15">
        <f>SALES_EDA!T967</f>
        <v>39.072864921504006</v>
      </c>
      <c r="D980" s="6">
        <f>SALES_EDA!D967</f>
        <v>3958</v>
      </c>
      <c r="E980" s="14">
        <f>SALES_EDA!B967</f>
        <v>136480.2491167</v>
      </c>
      <c r="F980" s="1"/>
      <c r="G980" s="1"/>
      <c r="H980" s="1"/>
      <c r="I980" s="1"/>
      <c r="J980" s="1"/>
    </row>
    <row r="981" spans="1:10" x14ac:dyDescent="0.3">
      <c r="A981" s="5">
        <f>SALES_EDA!A968</f>
        <v>42604.083333333336</v>
      </c>
      <c r="B981" s="15">
        <f>SALES_EDA!M968</f>
        <v>34.686765417846132</v>
      </c>
      <c r="C981" s="15">
        <f>SALES_EDA!T968</f>
        <v>38.827242991287804</v>
      </c>
      <c r="D981" s="6">
        <f>SALES_EDA!D968</f>
        <v>3672</v>
      </c>
      <c r="E981" s="14">
        <f>SALES_EDA!B968</f>
        <v>127369.802614331</v>
      </c>
      <c r="F981" s="1"/>
      <c r="G981" s="1"/>
      <c r="H981" s="1"/>
      <c r="I981" s="1"/>
      <c r="J981" s="1"/>
    </row>
    <row r="982" spans="1:10" x14ac:dyDescent="0.3">
      <c r="A982" s="5">
        <f>SALES_EDA!A969</f>
        <v>42605.083333333336</v>
      </c>
      <c r="B982" s="15">
        <f>SALES_EDA!M969</f>
        <v>42.065437834029176</v>
      </c>
      <c r="C982" s="15">
        <f>SALES_EDA!T969</f>
        <v>38.827457348709132</v>
      </c>
      <c r="D982" s="6">
        <f>SALES_EDA!D969</f>
        <v>1035</v>
      </c>
      <c r="E982" s="14">
        <f>SALES_EDA!B969</f>
        <v>43537.728158220198</v>
      </c>
      <c r="F982" s="1"/>
      <c r="G982" s="1"/>
      <c r="H982" s="1"/>
      <c r="I982" s="1"/>
      <c r="J982" s="1"/>
    </row>
    <row r="983" spans="1:10" x14ac:dyDescent="0.3">
      <c r="A983" s="5">
        <f>SALES_EDA!A970</f>
        <v>42606.083333333336</v>
      </c>
      <c r="B983" s="15">
        <f>SALES_EDA!M970</f>
        <v>33.927138142536769</v>
      </c>
      <c r="C983" s="15">
        <f>SALES_EDA!T970</f>
        <v>38.555836074179098</v>
      </c>
      <c r="D983" s="6">
        <f>SALES_EDA!D970</f>
        <v>3549</v>
      </c>
      <c r="E983" s="14">
        <f>SALES_EDA!B970</f>
        <v>120407.413267863</v>
      </c>
      <c r="F983" s="1"/>
      <c r="G983" s="1"/>
      <c r="H983" s="1"/>
      <c r="I983" s="1"/>
      <c r="J983" s="1"/>
    </row>
    <row r="984" spans="1:10" x14ac:dyDescent="0.3">
      <c r="A984" s="5">
        <f>SALES_EDA!A971</f>
        <v>42607.083333333336</v>
      </c>
      <c r="B984" s="15">
        <f>SALES_EDA!M971</f>
        <v>34.056799027350081</v>
      </c>
      <c r="C984" s="15">
        <f>SALES_EDA!T971</f>
        <v>38.289562279557238</v>
      </c>
      <c r="D984" s="6">
        <f>SALES_EDA!D971</f>
        <v>6647</v>
      </c>
      <c r="E984" s="14">
        <f>SALES_EDA!B971</f>
        <v>226375.543134796</v>
      </c>
      <c r="F984" s="1"/>
      <c r="G984" s="1"/>
      <c r="H984" s="1"/>
      <c r="I984" s="1"/>
      <c r="J984" s="1"/>
    </row>
    <row r="985" spans="1:10" x14ac:dyDescent="0.3">
      <c r="A985" s="5">
        <f>SALES_EDA!A972</f>
        <v>42608.083333333336</v>
      </c>
      <c r="B985" s="15">
        <f>SALES_EDA!M972</f>
        <v>34.1037725306415</v>
      </c>
      <c r="C985" s="15">
        <f>SALES_EDA!T972</f>
        <v>38.023898068102532</v>
      </c>
      <c r="D985" s="6">
        <f>SALES_EDA!D972</f>
        <v>9908</v>
      </c>
      <c r="E985" s="14">
        <f>SALES_EDA!B972</f>
        <v>337900.17823359597</v>
      </c>
      <c r="F985" s="1"/>
      <c r="G985" s="1"/>
      <c r="H985" s="1"/>
      <c r="I985" s="1"/>
      <c r="J985" s="1"/>
    </row>
    <row r="986" spans="1:10" x14ac:dyDescent="0.3">
      <c r="A986" s="5">
        <f>SALES_EDA!A973</f>
        <v>42609.083333333336</v>
      </c>
      <c r="B986" s="15">
        <f>SALES_EDA!M973</f>
        <v>34.164297133341378</v>
      </c>
      <c r="C986" s="15">
        <f>SALES_EDA!T973</f>
        <v>37.760548514240909</v>
      </c>
      <c r="D986" s="6">
        <f>SALES_EDA!D973</f>
        <v>10393</v>
      </c>
      <c r="E986" s="14">
        <f>SALES_EDA!B973</f>
        <v>355069.54010681697</v>
      </c>
      <c r="F986" s="1"/>
      <c r="G986" s="1"/>
      <c r="H986" s="1"/>
      <c r="I986" s="1"/>
      <c r="J986" s="1"/>
    </row>
    <row r="987" spans="1:10" x14ac:dyDescent="0.3">
      <c r="A987" s="5">
        <f>SALES_EDA!A974</f>
        <v>42610.083333333336</v>
      </c>
      <c r="B987" s="15">
        <f>SALES_EDA!M974</f>
        <v>34.145481523862877</v>
      </c>
      <c r="C987" s="15">
        <f>SALES_EDA!T974</f>
        <v>37.496592471973379</v>
      </c>
      <c r="D987" s="6">
        <f>SALES_EDA!D974</f>
        <v>4507</v>
      </c>
      <c r="E987" s="14">
        <f>SALES_EDA!B974</f>
        <v>153893.68522804999</v>
      </c>
      <c r="F987" s="1"/>
      <c r="G987" s="1"/>
      <c r="H987" s="1"/>
      <c r="I987" s="1"/>
      <c r="J987" s="1"/>
    </row>
    <row r="988" spans="1:10" x14ac:dyDescent="0.3">
      <c r="A988" s="5">
        <f>SALES_EDA!A975</f>
        <v>42611.083333333336</v>
      </c>
      <c r="B988" s="15">
        <f>SALES_EDA!M975</f>
        <v>34.166468519354666</v>
      </c>
      <c r="C988" s="15">
        <f>SALES_EDA!T975</f>
        <v>37.233569219822201</v>
      </c>
      <c r="D988" s="6">
        <f>SALES_EDA!D975</f>
        <v>4672</v>
      </c>
      <c r="E988" s="14">
        <f>SALES_EDA!B975</f>
        <v>159625.740922425</v>
      </c>
      <c r="F988" s="1"/>
      <c r="G988" s="1"/>
      <c r="H988" s="1"/>
      <c r="I988" s="1"/>
      <c r="J988" s="1"/>
    </row>
    <row r="989" spans="1:10" x14ac:dyDescent="0.3">
      <c r="A989" s="5">
        <f>SALES_EDA!A976</f>
        <v>42612.083333333336</v>
      </c>
      <c r="B989" s="15">
        <f>SALES_EDA!M976</f>
        <v>34.139135319279049</v>
      </c>
      <c r="C989" s="15">
        <f>SALES_EDA!T976</f>
        <v>36.969538222086982</v>
      </c>
      <c r="D989" s="6">
        <f>SALES_EDA!D976</f>
        <v>3924</v>
      </c>
      <c r="E989" s="14">
        <f>SALES_EDA!B976</f>
        <v>133961.966992851</v>
      </c>
      <c r="F989" s="1"/>
      <c r="G989" s="1"/>
      <c r="H989" s="1"/>
      <c r="I989" s="1"/>
      <c r="J989" s="1"/>
    </row>
    <row r="990" spans="1:10" x14ac:dyDescent="0.3">
      <c r="A990" s="5">
        <f>SALES_EDA!A977</f>
        <v>42613.083333333336</v>
      </c>
      <c r="B990" s="15">
        <f>SALES_EDA!M977</f>
        <v>34.158016242624456</v>
      </c>
      <c r="C990" s="15">
        <f>SALES_EDA!T977</f>
        <v>36.705598578319169</v>
      </c>
      <c r="D990" s="6">
        <f>SALES_EDA!D977</f>
        <v>6918</v>
      </c>
      <c r="E990" s="14">
        <f>SALES_EDA!B977</f>
        <v>236305.156366476</v>
      </c>
      <c r="F990" s="1"/>
      <c r="G990" s="1"/>
      <c r="H990" s="1"/>
      <c r="I990" s="1"/>
      <c r="J990" s="1"/>
    </row>
    <row r="991" spans="1:10" x14ac:dyDescent="0.3">
      <c r="A991" s="5">
        <f>SALES_EDA!A978</f>
        <v>42614.083333333336</v>
      </c>
      <c r="B991" s="15">
        <f>SALES_EDA!M978</f>
        <v>34.138270186084505</v>
      </c>
      <c r="C991" s="15">
        <f>SALES_EDA!T978</f>
        <v>36.441093951059614</v>
      </c>
      <c r="D991" s="6">
        <f>SALES_EDA!D978</f>
        <v>9183</v>
      </c>
      <c r="E991" s="14">
        <f>SALES_EDA!B978</f>
        <v>313491.73511881399</v>
      </c>
      <c r="F991" s="1"/>
      <c r="G991" s="1"/>
      <c r="H991" s="1"/>
      <c r="I991" s="1"/>
      <c r="J991" s="1"/>
    </row>
    <row r="992" spans="1:10" x14ac:dyDescent="0.3">
      <c r="A992" s="5">
        <f>SALES_EDA!A979</f>
        <v>42615.083333333336</v>
      </c>
      <c r="B992" s="15">
        <f>SALES_EDA!M979</f>
        <v>34.197137740927147</v>
      </c>
      <c r="C992" s="15">
        <f>SALES_EDA!T979</f>
        <v>36.179315339878713</v>
      </c>
      <c r="D992" s="6">
        <f>SALES_EDA!D979</f>
        <v>10830</v>
      </c>
      <c r="E992" s="14">
        <f>SALES_EDA!B979</f>
        <v>370355.00173424103</v>
      </c>
      <c r="F992" s="1"/>
      <c r="G992" s="1"/>
      <c r="H992" s="1"/>
      <c r="I992" s="1"/>
      <c r="J992" s="1"/>
    </row>
    <row r="993" spans="1:10" x14ac:dyDescent="0.3">
      <c r="A993" s="5">
        <f>SALES_EDA!A980</f>
        <v>42616.083333333336</v>
      </c>
      <c r="B993" s="15">
        <f>SALES_EDA!M980</f>
        <v>34.175097721527592</v>
      </c>
      <c r="C993" s="15">
        <f>SALES_EDA!T980</f>
        <v>35.916990504108547</v>
      </c>
      <c r="D993" s="6">
        <f>SALES_EDA!D980</f>
        <v>10800</v>
      </c>
      <c r="E993" s="14">
        <f>SALES_EDA!B980</f>
        <v>369091.05539249798</v>
      </c>
      <c r="F993" s="1"/>
      <c r="G993" s="1"/>
      <c r="H993" s="1"/>
      <c r="I993" s="1"/>
      <c r="J993" s="1"/>
    </row>
    <row r="994" spans="1:10" x14ac:dyDescent="0.3">
      <c r="A994" s="5">
        <f>SALES_EDA!A981</f>
        <v>42617.083333333336</v>
      </c>
      <c r="B994" s="15">
        <f>SALES_EDA!M981</f>
        <v>34.160160103278145</v>
      </c>
      <c r="C994" s="15">
        <f>SALES_EDA!T981</f>
        <v>35.653349729922866</v>
      </c>
      <c r="D994" s="6">
        <f>SALES_EDA!D981</f>
        <v>6119</v>
      </c>
      <c r="E994" s="14">
        <f>SALES_EDA!B981</f>
        <v>209026.01967195899</v>
      </c>
      <c r="F994" s="1"/>
      <c r="G994" s="1"/>
      <c r="H994" s="1"/>
      <c r="I994" s="1"/>
      <c r="J994" s="1"/>
    </row>
    <row r="995" spans="1:10" x14ac:dyDescent="0.3">
      <c r="A995" s="5">
        <f>SALES_EDA!A982</f>
        <v>42618.083333333336</v>
      </c>
      <c r="B995" s="15">
        <f>SALES_EDA!M982</f>
        <v>34.132732502622289</v>
      </c>
      <c r="C995" s="15">
        <f>SALES_EDA!T982</f>
        <v>35.388972226008519</v>
      </c>
      <c r="D995" s="6">
        <f>SALES_EDA!D982</f>
        <v>6685</v>
      </c>
      <c r="E995" s="14">
        <f>SALES_EDA!B982</f>
        <v>228177.31678003</v>
      </c>
      <c r="F995" s="1"/>
      <c r="G995" s="1"/>
      <c r="H995" s="1"/>
      <c r="I995" s="1"/>
      <c r="J995" s="1"/>
    </row>
    <row r="996" spans="1:10" x14ac:dyDescent="0.3">
      <c r="A996" s="5">
        <f>SALES_EDA!A983</f>
        <v>42619.083333333336</v>
      </c>
      <c r="B996" s="15">
        <f>SALES_EDA!M983</f>
        <v>34.187825193443238</v>
      </c>
      <c r="C996" s="15">
        <f>SALES_EDA!T983</f>
        <v>35.126882194794611</v>
      </c>
      <c r="D996" s="6">
        <f>SALES_EDA!D983</f>
        <v>4519</v>
      </c>
      <c r="E996" s="14">
        <f>SALES_EDA!B983</f>
        <v>154494.78204917</v>
      </c>
      <c r="F996" s="1"/>
      <c r="G996" s="1"/>
      <c r="H996" s="1"/>
      <c r="I996" s="1"/>
      <c r="J996" s="1"/>
    </row>
    <row r="997" spans="1:10" x14ac:dyDescent="0.3">
      <c r="A997" s="5">
        <f>SALES_EDA!A984</f>
        <v>42620.083333333336</v>
      </c>
      <c r="B997" s="15">
        <f>SALES_EDA!M984</f>
        <v>42.070044918905552</v>
      </c>
      <c r="C997" s="15">
        <f>SALES_EDA!T984</f>
        <v>35.127261770754785</v>
      </c>
      <c r="D997" s="6">
        <f>SALES_EDA!D984</f>
        <v>1206</v>
      </c>
      <c r="E997" s="14">
        <f>SALES_EDA!B984</f>
        <v>50736.474172200098</v>
      </c>
      <c r="F997" s="1"/>
      <c r="G997" s="1"/>
      <c r="H997" s="1"/>
      <c r="I997" s="1"/>
      <c r="J997" s="1"/>
    </row>
    <row r="998" spans="1:10" x14ac:dyDescent="0.3">
      <c r="A998" s="5">
        <f>SALES_EDA!A985</f>
        <v>42621.083333333336</v>
      </c>
      <c r="B998" s="15">
        <f>SALES_EDA!M985</f>
        <v>42.072059510699908</v>
      </c>
      <c r="C998" s="15">
        <f>SALES_EDA!T985</f>
        <v>35.127585781416116</v>
      </c>
      <c r="D998" s="6">
        <f>SALES_EDA!D985</f>
        <v>1029</v>
      </c>
      <c r="E998" s="14">
        <f>SALES_EDA!B985</f>
        <v>43292.149236510202</v>
      </c>
      <c r="F998" s="1"/>
      <c r="G998" s="1"/>
      <c r="H998" s="1"/>
      <c r="I998" s="1"/>
      <c r="J998" s="1"/>
    </row>
    <row r="999" spans="1:10" x14ac:dyDescent="0.3">
      <c r="A999" s="5">
        <f>SALES_EDA!A986</f>
        <v>42622.083333333336</v>
      </c>
      <c r="B999" s="15">
        <f>SALES_EDA!M986</f>
        <v>40.342158892871254</v>
      </c>
      <c r="C999" s="15">
        <f>SALES_EDA!T986</f>
        <v>35.329467061691034</v>
      </c>
      <c r="D999" s="6">
        <f>SALES_EDA!D986</f>
        <v>1917</v>
      </c>
      <c r="E999" s="14">
        <f>SALES_EDA!B986</f>
        <v>77335.918597634198</v>
      </c>
      <c r="F999" s="1"/>
      <c r="G999" s="1"/>
      <c r="H999" s="1"/>
      <c r="I999" s="1"/>
      <c r="J999" s="1"/>
    </row>
    <row r="1000" spans="1:10" x14ac:dyDescent="0.3">
      <c r="A1000" s="5">
        <f>SALES_EDA!A987</f>
        <v>42623.083333333336</v>
      </c>
      <c r="B1000" s="15">
        <f>SALES_EDA!M987</f>
        <v>40.355898904048338</v>
      </c>
      <c r="C1000" s="15">
        <f>SALES_EDA!T987</f>
        <v>35.513550686139574</v>
      </c>
      <c r="D1000" s="6">
        <f>SALES_EDA!D987</f>
        <v>2108</v>
      </c>
      <c r="E1000" s="14">
        <f>SALES_EDA!B987</f>
        <v>85070.234889733896</v>
      </c>
      <c r="F1000" s="1"/>
      <c r="G1000" s="1"/>
      <c r="H1000" s="1"/>
      <c r="I1000" s="1"/>
      <c r="J1000" s="1"/>
    </row>
    <row r="1001" spans="1:10" x14ac:dyDescent="0.3">
      <c r="A1001" s="5">
        <f>SALES_EDA!A988</f>
        <v>42624.083333333336</v>
      </c>
      <c r="B1001" s="15">
        <f>SALES_EDA!M988</f>
        <v>40.323423703856477</v>
      </c>
      <c r="C1001" s="15">
        <f>SALES_EDA!T988</f>
        <v>35.703083735494921</v>
      </c>
      <c r="D1001" s="6">
        <f>SALES_EDA!D988</f>
        <v>1211</v>
      </c>
      <c r="E1001" s="14">
        <f>SALES_EDA!B988</f>
        <v>48831.666105370197</v>
      </c>
      <c r="F1001" s="1"/>
      <c r="G1001" s="1"/>
      <c r="H1001" s="1"/>
      <c r="I1001" s="1"/>
      <c r="J1001" s="1"/>
    </row>
    <row r="1002" spans="1:10" x14ac:dyDescent="0.3">
      <c r="A1002" s="5">
        <f>SALES_EDA!A989</f>
        <v>42625.083333333336</v>
      </c>
      <c r="B1002" s="15">
        <f>SALES_EDA!M989</f>
        <v>40.337069850193728</v>
      </c>
      <c r="C1002" s="15">
        <f>SALES_EDA!T989</f>
        <v>35.905495826314478</v>
      </c>
      <c r="D1002" s="6">
        <f>SALES_EDA!D989</f>
        <v>1291</v>
      </c>
      <c r="E1002" s="14">
        <f>SALES_EDA!B989</f>
        <v>52075.1571766001</v>
      </c>
      <c r="F1002" s="1"/>
      <c r="G1002" s="1"/>
      <c r="H1002" s="1"/>
      <c r="I1002" s="1"/>
      <c r="J1002" s="1"/>
    </row>
    <row r="1003" spans="1:10" x14ac:dyDescent="0.3">
      <c r="A1003" s="5">
        <f>SALES_EDA!A990</f>
        <v>42626.083333333336</v>
      </c>
      <c r="B1003" s="15">
        <f>SALES_EDA!M990</f>
        <v>40.297650671112713</v>
      </c>
      <c r="C1003" s="15">
        <f>SALES_EDA!T990</f>
        <v>36.101435048261571</v>
      </c>
      <c r="D1003" s="6">
        <f>SALES_EDA!D990</f>
        <v>755</v>
      </c>
      <c r="E1003" s="14">
        <f>SALES_EDA!B990</f>
        <v>30424.726256690101</v>
      </c>
      <c r="F1003" s="1"/>
      <c r="G1003" s="1"/>
      <c r="H1003" s="1"/>
      <c r="I1003" s="1"/>
      <c r="J1003" s="1"/>
    </row>
    <row r="1004" spans="1:10" x14ac:dyDescent="0.3">
      <c r="A1004" s="5">
        <f>SALES_EDA!A991</f>
        <v>42627.083333333336</v>
      </c>
      <c r="B1004" s="15">
        <f>SALES_EDA!M991</f>
        <v>40.344710679143702</v>
      </c>
      <c r="C1004" s="15">
        <f>SALES_EDA!T991</f>
        <v>36.279502268238588</v>
      </c>
      <c r="D1004" s="6">
        <f>SALES_EDA!D991</f>
        <v>508</v>
      </c>
      <c r="E1004" s="14">
        <f>SALES_EDA!B991</f>
        <v>20495.113025005001</v>
      </c>
      <c r="F1004" s="1"/>
      <c r="G1004" s="1"/>
      <c r="H1004" s="1"/>
      <c r="I1004" s="1"/>
      <c r="J1004" s="1"/>
    </row>
    <row r="1005" spans="1:10" x14ac:dyDescent="0.3">
      <c r="A1005" s="5">
        <f>SALES_EDA!A992</f>
        <v>42628.083333333336</v>
      </c>
      <c r="B1005" s="15">
        <f>SALES_EDA!M992</f>
        <v>40.338783842693267</v>
      </c>
      <c r="C1005" s="15">
        <f>SALES_EDA!T992</f>
        <v>36.466153976844758</v>
      </c>
      <c r="D1005" s="6">
        <f>SALES_EDA!D992</f>
        <v>1010</v>
      </c>
      <c r="E1005" s="14">
        <f>SALES_EDA!B992</f>
        <v>40742.171681120199</v>
      </c>
      <c r="F1005" s="1"/>
      <c r="G1005" s="1"/>
      <c r="H1005" s="1"/>
      <c r="I1005" s="1"/>
      <c r="J1005" s="1"/>
    </row>
    <row r="1006" spans="1:10" x14ac:dyDescent="0.3">
      <c r="A1006" s="5">
        <f>SALES_EDA!A993</f>
        <v>42629.083333333336</v>
      </c>
      <c r="B1006" s="15">
        <f>SALES_EDA!M993</f>
        <v>40.314389492336694</v>
      </c>
      <c r="C1006" s="15">
        <f>SALES_EDA!T993</f>
        <v>36.656885253012895</v>
      </c>
      <c r="D1006" s="6">
        <f>SALES_EDA!D993</f>
        <v>1733</v>
      </c>
      <c r="E1006" s="14">
        <f>SALES_EDA!B993</f>
        <v>69864.836990219497</v>
      </c>
      <c r="F1006" s="1"/>
      <c r="G1006" s="1"/>
      <c r="H1006" s="1"/>
      <c r="I1006" s="1"/>
      <c r="J1006" s="1"/>
    </row>
    <row r="1007" spans="1:10" x14ac:dyDescent="0.3">
      <c r="A1007" s="5">
        <f>SALES_EDA!A994</f>
        <v>42630.083333333336</v>
      </c>
      <c r="B1007" s="15">
        <f>SALES_EDA!M994</f>
        <v>40.338723228538676</v>
      </c>
      <c r="C1007" s="15">
        <f>SALES_EDA!T994</f>
        <v>36.847715123594412</v>
      </c>
      <c r="D1007" s="6">
        <f>SALES_EDA!D994</f>
        <v>2482</v>
      </c>
      <c r="E1007" s="14">
        <f>SALES_EDA!B994</f>
        <v>100120.711053233</v>
      </c>
      <c r="F1007" s="1"/>
      <c r="G1007" s="1"/>
      <c r="H1007" s="1"/>
      <c r="I1007" s="1"/>
      <c r="J1007" s="1"/>
    </row>
    <row r="1008" spans="1:10" x14ac:dyDescent="0.3">
      <c r="A1008" s="5">
        <f>SALES_EDA!A995</f>
        <v>42631.083333333336</v>
      </c>
      <c r="B1008" s="15">
        <f>SALES_EDA!M995</f>
        <v>40.344208125854337</v>
      </c>
      <c r="C1008" s="15">
        <f>SALES_EDA!T995</f>
        <v>37.039640777741504</v>
      </c>
      <c r="D1008" s="6">
        <f>SALES_EDA!D995</f>
        <v>1235</v>
      </c>
      <c r="E1008" s="14">
        <f>SALES_EDA!B995</f>
        <v>49825.097035430103</v>
      </c>
      <c r="F1008" s="1"/>
      <c r="G1008" s="1"/>
      <c r="H1008" s="1"/>
      <c r="I1008" s="1"/>
      <c r="J1008" s="1"/>
    </row>
    <row r="1009" spans="1:10" x14ac:dyDescent="0.3">
      <c r="A1009" s="5">
        <f>SALES_EDA!A996</f>
        <v>42632.083333333336</v>
      </c>
      <c r="B1009" s="15">
        <f>SALES_EDA!M996</f>
        <v>40.317283161939571</v>
      </c>
      <c r="C1009" s="15">
        <f>SALES_EDA!T996</f>
        <v>37.229435490276174</v>
      </c>
      <c r="D1009" s="6">
        <f>SALES_EDA!D996</f>
        <v>1155</v>
      </c>
      <c r="E1009" s="14">
        <f>SALES_EDA!B996</f>
        <v>46566.462052040202</v>
      </c>
      <c r="F1009" s="1"/>
      <c r="G1009" s="1"/>
      <c r="H1009" s="1"/>
      <c r="I1009" s="1"/>
      <c r="J1009" s="1"/>
    </row>
    <row r="1010" spans="1:10" x14ac:dyDescent="0.3">
      <c r="A1010" s="5">
        <f>SALES_EDA!A997</f>
        <v>42633.083333333336</v>
      </c>
      <c r="B1010" s="15">
        <f>SALES_EDA!M997</f>
        <v>40.344431761473828</v>
      </c>
      <c r="C1010" s="15">
        <f>SALES_EDA!T997</f>
        <v>37.424845729413889</v>
      </c>
      <c r="D1010" s="6">
        <f>SALES_EDA!D997</f>
        <v>940</v>
      </c>
      <c r="E1010" s="14">
        <f>SALES_EDA!B997</f>
        <v>37923.765855785401</v>
      </c>
      <c r="F1010" s="1"/>
      <c r="G1010" s="1"/>
      <c r="H1010" s="1"/>
      <c r="I1010" s="1"/>
      <c r="J1010" s="1"/>
    </row>
    <row r="1011" spans="1:10" x14ac:dyDescent="0.3">
      <c r="A1011" s="5">
        <f>SALES_EDA!A998</f>
        <v>42634.083333333336</v>
      </c>
      <c r="B1011" s="15">
        <f>SALES_EDA!M998</f>
        <v>40.358430863872115</v>
      </c>
      <c r="C1011" s="15">
        <f>SALES_EDA!T998</f>
        <v>37.613901244281436</v>
      </c>
      <c r="D1011" s="6">
        <f>SALES_EDA!D998</f>
        <v>1241</v>
      </c>
      <c r="E1011" s="14">
        <f>SALES_EDA!B998</f>
        <v>50084.812702065297</v>
      </c>
      <c r="F1011" s="1"/>
      <c r="G1011" s="1"/>
      <c r="H1011" s="1"/>
      <c r="I1011" s="1"/>
      <c r="J1011" s="1"/>
    </row>
    <row r="1012" spans="1:10" x14ac:dyDescent="0.3">
      <c r="A1012" s="5">
        <f>SALES_EDA!A999</f>
        <v>42635.083333333336</v>
      </c>
      <c r="B1012" s="15">
        <f>SALES_EDA!M999</f>
        <v>40.313597957921466</v>
      </c>
      <c r="C1012" s="15">
        <f>SALES_EDA!T999</f>
        <v>37.555506581744517</v>
      </c>
      <c r="D1012" s="6">
        <f>SALES_EDA!D999</f>
        <v>1039</v>
      </c>
      <c r="E1012" s="14">
        <f>SALES_EDA!B999</f>
        <v>41885.828278280402</v>
      </c>
      <c r="F1012" s="1"/>
      <c r="G1012" s="1"/>
      <c r="H1012" s="1"/>
      <c r="I1012" s="1"/>
      <c r="J1012" s="1"/>
    </row>
    <row r="1013" spans="1:10" x14ac:dyDescent="0.3">
      <c r="A1013" s="5">
        <f>SALES_EDA!A1000</f>
        <v>42636.083333333336</v>
      </c>
      <c r="B1013" s="15">
        <f>SALES_EDA!M1000</f>
        <v>40.334583855161334</v>
      </c>
      <c r="C1013" s="15">
        <f>SALES_EDA!T1000</f>
        <v>37.769088105498668</v>
      </c>
      <c r="D1013" s="6">
        <f>SALES_EDA!D1000</f>
        <v>3657</v>
      </c>
      <c r="E1013" s="14">
        <f>SALES_EDA!B1000</f>
        <v>147503.57315832499</v>
      </c>
      <c r="F1013" s="1"/>
      <c r="G1013" s="1"/>
      <c r="H1013" s="1"/>
      <c r="I1013" s="1"/>
      <c r="J1013" s="1"/>
    </row>
    <row r="1014" spans="1:10" x14ac:dyDescent="0.3">
      <c r="A1014" s="5">
        <f>SALES_EDA!A1001</f>
        <v>42637.083333333336</v>
      </c>
      <c r="B1014" s="15">
        <f>SALES_EDA!M1001</f>
        <v>40.351033486804418</v>
      </c>
      <c r="C1014" s="15">
        <f>SALES_EDA!T1001</f>
        <v>37.978895920813812</v>
      </c>
      <c r="D1014" s="6">
        <f>SALES_EDA!D1001</f>
        <v>3758</v>
      </c>
      <c r="E1014" s="14">
        <f>SALES_EDA!B1001</f>
        <v>151639.18384341101</v>
      </c>
      <c r="F1014" s="1"/>
      <c r="G1014" s="1"/>
      <c r="H1014" s="1"/>
      <c r="I1014" s="1"/>
      <c r="J1014" s="1"/>
    </row>
  </sheetData>
  <mergeCells count="10">
    <mergeCell ref="A9:C10"/>
    <mergeCell ref="D9:F10"/>
    <mergeCell ref="G9:J10"/>
    <mergeCell ref="A13:J13"/>
    <mergeCell ref="A1:J1"/>
    <mergeCell ref="A2:J2"/>
    <mergeCell ref="A4:J6"/>
    <mergeCell ref="A8:C8"/>
    <mergeCell ref="D8:F8"/>
    <mergeCell ref="G8:J8"/>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FFCD4-4474-4BBC-B396-76DF6BCA4E14}">
  <dimension ref="A1:J48"/>
  <sheetViews>
    <sheetView topLeftCell="A16" workbookViewId="0">
      <selection sqref="A1:L1"/>
    </sheetView>
  </sheetViews>
  <sheetFormatPr defaultRowHeight="14.4" x14ac:dyDescent="0.3"/>
  <cols>
    <col min="1" max="1" width="16.6640625" customWidth="1"/>
    <col min="2" max="3" width="11.44140625" customWidth="1"/>
    <col min="4" max="10" width="13.33203125" customWidth="1"/>
  </cols>
  <sheetData>
    <row r="1" spans="1:10" ht="23.4" x14ac:dyDescent="0.45">
      <c r="A1" s="17" t="s">
        <v>91</v>
      </c>
      <c r="B1" s="17"/>
      <c r="C1" s="17"/>
      <c r="D1" s="17"/>
      <c r="E1" s="17"/>
      <c r="F1" s="17"/>
      <c r="G1" s="17"/>
      <c r="H1" s="17"/>
      <c r="I1" s="17"/>
      <c r="J1" s="17"/>
    </row>
    <row r="2" spans="1:10" x14ac:dyDescent="0.3">
      <c r="A2" s="18" t="s">
        <v>92</v>
      </c>
      <c r="B2" s="18"/>
      <c r="C2" s="18"/>
      <c r="D2" s="18"/>
      <c r="E2" s="18"/>
      <c r="F2" s="18"/>
      <c r="G2" s="18"/>
      <c r="H2" s="18"/>
      <c r="I2" s="18"/>
      <c r="J2" s="18"/>
    </row>
    <row r="3" spans="1:10" x14ac:dyDescent="0.3">
      <c r="A3" s="1"/>
      <c r="B3" s="1"/>
      <c r="C3" s="1"/>
      <c r="D3" s="1"/>
      <c r="E3" s="1"/>
      <c r="F3" s="1"/>
      <c r="G3" s="1"/>
      <c r="H3" s="1"/>
      <c r="I3" s="1"/>
      <c r="J3" s="1"/>
    </row>
    <row r="4" spans="1:10" ht="24" customHeight="1" x14ac:dyDescent="0.3">
      <c r="A4" s="19" t="s">
        <v>93</v>
      </c>
      <c r="B4" s="19"/>
      <c r="C4" s="19"/>
      <c r="D4" s="19"/>
      <c r="E4" s="19"/>
      <c r="F4" s="19"/>
      <c r="G4" s="19"/>
      <c r="H4" s="19"/>
      <c r="I4" s="19"/>
      <c r="J4" s="19"/>
    </row>
    <row r="5" spans="1:10" ht="24" customHeight="1" x14ac:dyDescent="0.3">
      <c r="A5" s="19"/>
      <c r="B5" s="19"/>
      <c r="C5" s="19"/>
      <c r="D5" s="19"/>
      <c r="E5" s="19"/>
      <c r="F5" s="19"/>
      <c r="G5" s="19"/>
      <c r="H5" s="19"/>
      <c r="I5" s="19"/>
      <c r="J5" s="19"/>
    </row>
    <row r="6" spans="1:10" ht="24" customHeight="1" x14ac:dyDescent="0.3">
      <c r="A6" s="19"/>
      <c r="B6" s="19"/>
      <c r="C6" s="19"/>
      <c r="D6" s="19"/>
      <c r="E6" s="19"/>
      <c r="F6" s="19"/>
      <c r="G6" s="19"/>
      <c r="H6" s="19"/>
      <c r="I6" s="19"/>
      <c r="J6" s="19"/>
    </row>
    <row r="7" spans="1:10" x14ac:dyDescent="0.3">
      <c r="A7" s="1"/>
      <c r="B7" s="1"/>
      <c r="C7" s="1"/>
      <c r="D7" s="1"/>
      <c r="E7" s="1"/>
      <c r="F7" s="1"/>
      <c r="G7" s="1"/>
      <c r="H7" s="1"/>
      <c r="I7" s="1"/>
      <c r="J7" s="1"/>
    </row>
    <row r="8" spans="1:10" x14ac:dyDescent="0.3">
      <c r="A8" s="36" t="s">
        <v>46</v>
      </c>
      <c r="B8" s="36"/>
      <c r="C8" s="36"/>
      <c r="D8" s="36" t="s">
        <v>94</v>
      </c>
      <c r="E8" s="36"/>
      <c r="F8" s="36"/>
      <c r="G8" s="36" t="s">
        <v>95</v>
      </c>
      <c r="H8" s="36"/>
      <c r="I8" s="36"/>
      <c r="J8" s="36"/>
    </row>
    <row r="9" spans="1:10" x14ac:dyDescent="0.3">
      <c r="A9" s="33">
        <f>SUM(SALES_EDA!$O$2:$O$1001)/SUM(SALES_EDA!$B$2:$B$1001)</f>
        <v>-4.1107106918457793E-2</v>
      </c>
      <c r="B9" s="34"/>
      <c r="C9" s="34"/>
      <c r="D9" s="35">
        <f>AVERAGE(SALES_EDA!$Q$2:$Q$1001)</f>
        <v>-0.37382740975997025</v>
      </c>
      <c r="E9" s="34"/>
      <c r="F9" s="34"/>
      <c r="G9" s="33">
        <f>SALES_EDA!P1001</f>
        <v>0.10644360011120156</v>
      </c>
      <c r="H9" s="34"/>
      <c r="I9" s="34"/>
      <c r="J9" s="34"/>
    </row>
    <row r="10" spans="1:10" x14ac:dyDescent="0.3">
      <c r="A10" s="34"/>
      <c r="B10" s="34"/>
      <c r="C10" s="34"/>
      <c r="D10" s="34"/>
      <c r="E10" s="34"/>
      <c r="F10" s="34"/>
      <c r="G10" s="34"/>
      <c r="H10" s="34"/>
      <c r="I10" s="34"/>
      <c r="J10" s="34"/>
    </row>
    <row r="11" spans="1:10" x14ac:dyDescent="0.3">
      <c r="A11" s="1"/>
      <c r="B11" s="1"/>
      <c r="C11" s="1"/>
      <c r="D11" s="1"/>
      <c r="E11" s="1"/>
      <c r="F11" s="1"/>
      <c r="G11" s="1"/>
      <c r="H11" s="1"/>
      <c r="I11" s="1"/>
      <c r="J11" s="1"/>
    </row>
    <row r="12" spans="1:10" x14ac:dyDescent="0.3">
      <c r="A12" s="1"/>
      <c r="B12" s="1"/>
      <c r="C12" s="1"/>
      <c r="D12" s="1"/>
      <c r="E12" s="1"/>
      <c r="F12" s="1"/>
      <c r="G12" s="1"/>
      <c r="H12" s="1"/>
      <c r="I12" s="1"/>
      <c r="J12" s="1"/>
    </row>
    <row r="13" spans="1:10" x14ac:dyDescent="0.3">
      <c r="A13" s="20" t="s">
        <v>96</v>
      </c>
      <c r="B13" s="20"/>
      <c r="C13" s="20"/>
      <c r="D13" s="20"/>
      <c r="E13" s="20"/>
      <c r="F13" s="20"/>
      <c r="G13" s="20"/>
      <c r="H13" s="20"/>
      <c r="I13" s="20"/>
      <c r="J13" s="20"/>
    </row>
    <row r="14" spans="1:10" x14ac:dyDescent="0.3">
      <c r="A14" s="1" t="s">
        <v>63</v>
      </c>
      <c r="B14" s="1" t="s">
        <v>1</v>
      </c>
      <c r="C14" s="1" t="s">
        <v>97</v>
      </c>
      <c r="D14" s="1" t="s">
        <v>66</v>
      </c>
      <c r="E14" s="1" t="s">
        <v>98</v>
      </c>
      <c r="F14" s="1"/>
      <c r="G14" s="1"/>
      <c r="H14" s="1"/>
      <c r="I14" s="1"/>
      <c r="J14" s="1"/>
    </row>
    <row r="15" spans="1:10" x14ac:dyDescent="0.3">
      <c r="A15" s="10">
        <v>41609</v>
      </c>
      <c r="B15" s="14">
        <f>SUMIFS(SALES_EDA!$B$2:$B$1001,SALES_EDA!$A$2:$A$1001,"&gt;="&amp;A15,SALES_EDA!$A$2:$A$1001,"&lt;"&amp;EDATE(A15,1))</f>
        <v>524283.45243371301</v>
      </c>
      <c r="C15" s="14">
        <f>SUMIFS(SALES_EDA!$O$2:$O$1001,SALES_EDA!$A$2:$A$1001,"&gt;="&amp;A15,SALES_EDA!$A$2:$A$1001,"&lt;"&amp;EDATE(A15,1))</f>
        <v>-12782.289063018019</v>
      </c>
      <c r="D15" s="8">
        <f t="shared" ref="D15:D48" si="0">IFERROR(C15/B15,0)</f>
        <v>-2.4380493039944131E-2</v>
      </c>
      <c r="E15" s="8">
        <f>AVERAGEIFS(SALES_EDA!$R$2:$R$1001,SALES_EDA!$A$2:$A$1001,"&gt;="&amp;A15,SALES_EDA!$A$2:$A$1001,"&lt;"&amp;EDATE(A15,1))</f>
        <v>-2.476784011294118E-2</v>
      </c>
      <c r="F15" s="1"/>
      <c r="G15" s="1"/>
      <c r="H15" s="1"/>
      <c r="I15" s="1"/>
      <c r="J15" s="1"/>
    </row>
    <row r="16" spans="1:10" x14ac:dyDescent="0.3">
      <c r="A16" s="10">
        <v>41640</v>
      </c>
      <c r="B16" s="14">
        <f>SUMIFS(SALES_EDA!$B$2:$B$1001,SALES_EDA!$A$2:$A$1001,"&gt;="&amp;A16,SALES_EDA!$A$2:$A$1001,"&lt;"&amp;EDATE(A16,1))</f>
        <v>4008180.4888402349</v>
      </c>
      <c r="C16" s="14">
        <f>SUMIFS(SALES_EDA!$O$2:$O$1001,SALES_EDA!$A$2:$A$1001,"&gt;="&amp;A16,SALES_EDA!$A$2:$A$1001,"&lt;"&amp;EDATE(A16,1))</f>
        <v>12460.645403336355</v>
      </c>
      <c r="D16" s="8">
        <f t="shared" si="0"/>
        <v>3.1088034678153518E-3</v>
      </c>
      <c r="E16" s="8">
        <f>AVERAGEIFS(SALES_EDA!$R$2:$R$1001,SALES_EDA!$A$2:$A$1001,"&gt;="&amp;A16,SALES_EDA!$A$2:$A$1001,"&lt;"&amp;EDATE(A16,1))</f>
        <v>1.0110119152096123E-2</v>
      </c>
      <c r="F16" s="1"/>
      <c r="G16" s="1"/>
      <c r="H16" s="1"/>
      <c r="I16" s="1"/>
      <c r="J16" s="1"/>
    </row>
    <row r="17" spans="1:10" x14ac:dyDescent="0.3">
      <c r="A17" s="10">
        <v>41671</v>
      </c>
      <c r="B17" s="14">
        <f>SUMIFS(SALES_EDA!$B$2:$B$1001,SALES_EDA!$A$2:$A$1001,"&gt;="&amp;A17,SALES_EDA!$A$2:$A$1001,"&lt;"&amp;EDATE(A17,1))</f>
        <v>5780487.175321022</v>
      </c>
      <c r="C17" s="14">
        <f>SUMIFS(SALES_EDA!$O$2:$O$1001,SALES_EDA!$A$2:$A$1001,"&gt;="&amp;A17,SALES_EDA!$A$2:$A$1001,"&lt;"&amp;EDATE(A17,1))</f>
        <v>-132991.38555181917</v>
      </c>
      <c r="D17" s="8">
        <f t="shared" si="0"/>
        <v>-2.3006951061081356E-2</v>
      </c>
      <c r="E17" s="8">
        <f>AVERAGEIFS(SALES_EDA!$R$2:$R$1001,SALES_EDA!$A$2:$A$1001,"&gt;="&amp;A17,SALES_EDA!$A$2:$A$1001,"&lt;"&amp;EDATE(A17,1))</f>
        <v>-1.5519653266134694E-2</v>
      </c>
      <c r="F17" s="1"/>
      <c r="G17" s="1"/>
      <c r="H17" s="1"/>
      <c r="I17" s="1"/>
      <c r="J17" s="1"/>
    </row>
    <row r="18" spans="1:10" x14ac:dyDescent="0.3">
      <c r="A18" s="10">
        <v>41699</v>
      </c>
      <c r="B18" s="14">
        <f>SUMIFS(SALES_EDA!$B$2:$B$1001,SALES_EDA!$A$2:$A$1001,"&gt;="&amp;A18,SALES_EDA!$A$2:$A$1001,"&lt;"&amp;EDATE(A18,1))</f>
        <v>8279517.1761284554</v>
      </c>
      <c r="C18" s="14">
        <f>SUMIFS(SALES_EDA!$O$2:$O$1001,SALES_EDA!$A$2:$A$1001,"&gt;="&amp;A18,SALES_EDA!$A$2:$A$1001,"&lt;"&amp;EDATE(A18,1))</f>
        <v>-136136.84326440087</v>
      </c>
      <c r="D18" s="8">
        <f t="shared" si="0"/>
        <v>-1.6442606539534853E-2</v>
      </c>
      <c r="E18" s="8">
        <f>AVERAGEIFS(SALES_EDA!$R$2:$R$1001,SALES_EDA!$A$2:$A$1001,"&gt;="&amp;A18,SALES_EDA!$A$2:$A$1001,"&lt;"&amp;EDATE(A18,1))</f>
        <v>-3.2285623723113149E-3</v>
      </c>
      <c r="F18" s="1"/>
      <c r="G18" s="1"/>
      <c r="H18" s="1"/>
      <c r="I18" s="1"/>
      <c r="J18" s="1"/>
    </row>
    <row r="19" spans="1:10" x14ac:dyDescent="0.3">
      <c r="A19" s="10">
        <v>41730</v>
      </c>
      <c r="B19" s="14">
        <f>SUMIFS(SALES_EDA!$B$2:$B$1001,SALES_EDA!$A$2:$A$1001,"&gt;="&amp;A19,SALES_EDA!$A$2:$A$1001,"&lt;"&amp;EDATE(A19,1))</f>
        <v>6435743.2738555912</v>
      </c>
      <c r="C19" s="14">
        <f>SUMIFS(SALES_EDA!$O$2:$O$1001,SALES_EDA!$A$2:$A$1001,"&gt;="&amp;A19,SALES_EDA!$A$2:$A$1001,"&lt;"&amp;EDATE(A19,1))</f>
        <v>-43900.351291022351</v>
      </c>
      <c r="D19" s="8">
        <f t="shared" si="0"/>
        <v>-6.8213335154871831E-3</v>
      </c>
      <c r="E19" s="8">
        <f>AVERAGEIFS(SALES_EDA!$R$2:$R$1001,SALES_EDA!$A$2:$A$1001,"&gt;="&amp;A19,SALES_EDA!$A$2:$A$1001,"&lt;"&amp;EDATE(A19,1))</f>
        <v>-6.1283744442862951E-4</v>
      </c>
      <c r="F19" s="1"/>
      <c r="G19" s="1"/>
      <c r="H19" s="1"/>
      <c r="I19" s="1"/>
      <c r="J19" s="1"/>
    </row>
    <row r="20" spans="1:10" x14ac:dyDescent="0.3">
      <c r="A20" s="10">
        <v>41760</v>
      </c>
      <c r="B20" s="14">
        <f>SUMIFS(SALES_EDA!$B$2:$B$1001,SALES_EDA!$A$2:$A$1001,"&gt;="&amp;A20,SALES_EDA!$A$2:$A$1001,"&lt;"&amp;EDATE(A20,1))</f>
        <v>7694906.1536926758</v>
      </c>
      <c r="C20" s="14">
        <f>SUMIFS(SALES_EDA!$O$2:$O$1001,SALES_EDA!$A$2:$A$1001,"&gt;="&amp;A20,SALES_EDA!$A$2:$A$1001,"&lt;"&amp;EDATE(A20,1))</f>
        <v>-322334.26360742672</v>
      </c>
      <c r="D20" s="8">
        <f t="shared" si="0"/>
        <v>-4.1889304062888814E-2</v>
      </c>
      <c r="E20" s="8">
        <f>AVERAGEIFS(SALES_EDA!$R$2:$R$1001,SALES_EDA!$A$2:$A$1001,"&gt;="&amp;A20,SALES_EDA!$A$2:$A$1001,"&lt;"&amp;EDATE(A20,1))</f>
        <v>-3.295210047859802E-2</v>
      </c>
      <c r="F20" s="1"/>
      <c r="G20" s="1"/>
      <c r="H20" s="1"/>
      <c r="I20" s="1"/>
      <c r="J20" s="1"/>
    </row>
    <row r="21" spans="1:10" x14ac:dyDescent="0.3">
      <c r="A21" s="10">
        <v>41791</v>
      </c>
      <c r="B21" s="14">
        <f>SUMIFS(SALES_EDA!$B$2:$B$1001,SALES_EDA!$A$2:$A$1001,"&gt;="&amp;A21,SALES_EDA!$A$2:$A$1001,"&lt;"&amp;EDATE(A21,1))</f>
        <v>6456943.6466363054</v>
      </c>
      <c r="C21" s="14">
        <f>SUMIFS(SALES_EDA!$O$2:$O$1001,SALES_EDA!$A$2:$A$1001,"&gt;="&amp;A21,SALES_EDA!$A$2:$A$1001,"&lt;"&amp;EDATE(A21,1))</f>
        <v>-188900.0103701278</v>
      </c>
      <c r="D21" s="8">
        <f t="shared" si="0"/>
        <v>-2.925532894630942E-2</v>
      </c>
      <c r="E21" s="8">
        <f>AVERAGEIFS(SALES_EDA!$R$2:$R$1001,SALES_EDA!$A$2:$A$1001,"&gt;="&amp;A21,SALES_EDA!$A$2:$A$1001,"&lt;"&amp;EDATE(A21,1))</f>
        <v>-1.7892063811414918E-2</v>
      </c>
      <c r="F21" s="1"/>
      <c r="G21" s="1"/>
      <c r="H21" s="1"/>
      <c r="I21" s="1"/>
      <c r="J21" s="1"/>
    </row>
    <row r="22" spans="1:10" x14ac:dyDescent="0.3">
      <c r="A22" s="10">
        <v>41821</v>
      </c>
      <c r="B22" s="14">
        <f>SUMIFS(SALES_EDA!$B$2:$B$1001,SALES_EDA!$A$2:$A$1001,"&gt;="&amp;A22,SALES_EDA!$A$2:$A$1001,"&lt;"&amp;EDATE(A22,1))</f>
        <v>4933710.8007092187</v>
      </c>
      <c r="C22" s="14">
        <f>SUMIFS(SALES_EDA!$O$2:$O$1001,SALES_EDA!$A$2:$A$1001,"&gt;="&amp;A22,SALES_EDA!$A$2:$A$1001,"&lt;"&amp;EDATE(A22,1))</f>
        <v>-71184.101222807949</v>
      </c>
      <c r="D22" s="8">
        <f t="shared" si="0"/>
        <v>-1.4428105760186686E-2</v>
      </c>
      <c r="E22" s="8">
        <f>AVERAGEIFS(SALES_EDA!$R$2:$R$1001,SALES_EDA!$A$2:$A$1001,"&gt;="&amp;A22,SALES_EDA!$A$2:$A$1001,"&lt;"&amp;EDATE(A22,1))</f>
        <v>4.108219840500962E-3</v>
      </c>
      <c r="F22" s="1"/>
      <c r="G22" s="1"/>
      <c r="H22" s="1"/>
      <c r="I22" s="1"/>
      <c r="J22" s="1"/>
    </row>
    <row r="23" spans="1:10" x14ac:dyDescent="0.3">
      <c r="A23" s="10">
        <v>41852</v>
      </c>
      <c r="B23" s="14">
        <f>SUMIFS(SALES_EDA!$B$2:$B$1001,SALES_EDA!$A$2:$A$1001,"&gt;="&amp;A23,SALES_EDA!$A$2:$A$1001,"&lt;"&amp;EDATE(A23,1))</f>
        <v>10010378.28775782</v>
      </c>
      <c r="C23" s="14">
        <f>SUMIFS(SALES_EDA!$O$2:$O$1001,SALES_EDA!$A$2:$A$1001,"&gt;="&amp;A23,SALES_EDA!$A$2:$A$1001,"&lt;"&amp;EDATE(A23,1))</f>
        <v>-514054.13696624932</v>
      </c>
      <c r="D23" s="8">
        <f t="shared" si="0"/>
        <v>-5.13521189898399E-2</v>
      </c>
      <c r="E23" s="8">
        <f>AVERAGEIFS(SALES_EDA!$R$2:$R$1001,SALES_EDA!$A$2:$A$1001,"&gt;="&amp;A23,SALES_EDA!$A$2:$A$1001,"&lt;"&amp;EDATE(A23,1))</f>
        <v>-4.3119806876935847E-2</v>
      </c>
      <c r="F23" s="1"/>
      <c r="G23" s="1"/>
      <c r="H23" s="1"/>
      <c r="I23" s="1"/>
      <c r="J23" s="1"/>
    </row>
    <row r="24" spans="1:10" x14ac:dyDescent="0.3">
      <c r="A24" s="10">
        <v>41883</v>
      </c>
      <c r="B24" s="14">
        <f>SUMIFS(SALES_EDA!$B$2:$B$1001,SALES_EDA!$A$2:$A$1001,"&gt;="&amp;A24,SALES_EDA!$A$2:$A$1001,"&lt;"&amp;EDATE(A24,1))</f>
        <v>7643452.6856598957</v>
      </c>
      <c r="C24" s="14">
        <f>SUMIFS(SALES_EDA!$O$2:$O$1001,SALES_EDA!$A$2:$A$1001,"&gt;="&amp;A24,SALES_EDA!$A$2:$A$1001,"&lt;"&amp;EDATE(A24,1))</f>
        <v>-550107.3535298059</v>
      </c>
      <c r="D24" s="8">
        <f t="shared" si="0"/>
        <v>-7.1971054986953525E-2</v>
      </c>
      <c r="E24" s="8">
        <f>AVERAGEIFS(SALES_EDA!$R$2:$R$1001,SALES_EDA!$A$2:$A$1001,"&gt;="&amp;A24,SALES_EDA!$A$2:$A$1001,"&lt;"&amp;EDATE(A24,1))</f>
        <v>-3.874999816258707E-2</v>
      </c>
      <c r="F24" s="1"/>
      <c r="G24" s="1"/>
      <c r="H24" s="1"/>
      <c r="I24" s="1"/>
      <c r="J24" s="1"/>
    </row>
    <row r="25" spans="1:10" x14ac:dyDescent="0.3">
      <c r="A25" s="10">
        <v>41913</v>
      </c>
      <c r="B25" s="14">
        <f>SUMIFS(SALES_EDA!$B$2:$B$1001,SALES_EDA!$A$2:$A$1001,"&gt;="&amp;A25,SALES_EDA!$A$2:$A$1001,"&lt;"&amp;EDATE(A25,1))</f>
        <v>5924683.3811629629</v>
      </c>
      <c r="C25" s="14">
        <f>SUMIFS(SALES_EDA!$O$2:$O$1001,SALES_EDA!$A$2:$A$1001,"&gt;="&amp;A25,SALES_EDA!$A$2:$A$1001,"&lt;"&amp;EDATE(A25,1))</f>
        <v>-113777.93614679614</v>
      </c>
      <c r="D25" s="8">
        <f t="shared" si="0"/>
        <v>-1.9204053419722582E-2</v>
      </c>
      <c r="E25" s="8">
        <f>AVERAGEIFS(SALES_EDA!$R$2:$R$1001,SALES_EDA!$A$2:$A$1001,"&gt;="&amp;A25,SALES_EDA!$A$2:$A$1001,"&lt;"&amp;EDATE(A25,1))</f>
        <v>1.4312271314445435E-2</v>
      </c>
      <c r="F25" s="1"/>
      <c r="G25" s="1"/>
      <c r="H25" s="1"/>
      <c r="I25" s="1"/>
      <c r="J25" s="1"/>
    </row>
    <row r="26" spans="1:10" x14ac:dyDescent="0.3">
      <c r="A26" s="10">
        <v>41944</v>
      </c>
      <c r="B26" s="14">
        <f>SUMIFS(SALES_EDA!$B$2:$B$1001,SALES_EDA!$A$2:$A$1001,"&gt;="&amp;A26,SALES_EDA!$A$2:$A$1001,"&lt;"&amp;EDATE(A26,1))</f>
        <v>2631353.343112655</v>
      </c>
      <c r="C26" s="14">
        <f>SUMIFS(SALES_EDA!$O$2:$O$1001,SALES_EDA!$A$2:$A$1001,"&gt;="&amp;A26,SALES_EDA!$A$2:$A$1001,"&lt;"&amp;EDATE(A26,1))</f>
        <v>114228.50762626354</v>
      </c>
      <c r="D26" s="8">
        <f t="shared" si="0"/>
        <v>4.3410554468196756E-2</v>
      </c>
      <c r="E26" s="8">
        <f>AVERAGEIFS(SALES_EDA!$R$2:$R$1001,SALES_EDA!$A$2:$A$1001,"&gt;="&amp;A26,SALES_EDA!$A$2:$A$1001,"&lt;"&amp;EDATE(A26,1))</f>
        <v>5.9540100503364182E-2</v>
      </c>
      <c r="F26" s="1"/>
      <c r="G26" s="1"/>
      <c r="H26" s="1"/>
      <c r="I26" s="1"/>
      <c r="J26" s="1"/>
    </row>
    <row r="27" spans="1:10" x14ac:dyDescent="0.3">
      <c r="A27" s="10">
        <v>41974</v>
      </c>
      <c r="B27" s="14">
        <f>SUMIFS(SALES_EDA!$B$2:$B$1001,SALES_EDA!$A$2:$A$1001,"&gt;="&amp;A27,SALES_EDA!$A$2:$A$1001,"&lt;"&amp;EDATE(A27,1))</f>
        <v>5615619.2988237338</v>
      </c>
      <c r="C27" s="14">
        <f>SUMIFS(SALES_EDA!$O$2:$O$1001,SALES_EDA!$A$2:$A$1001,"&gt;="&amp;A27,SALES_EDA!$A$2:$A$1001,"&lt;"&amp;EDATE(A27,1))</f>
        <v>-319176.76045166858</v>
      </c>
      <c r="D27" s="8">
        <f t="shared" si="0"/>
        <v>-5.6837321667892335E-2</v>
      </c>
      <c r="E27" s="8">
        <f>AVERAGEIFS(SALES_EDA!$R$2:$R$1001,SALES_EDA!$A$2:$A$1001,"&gt;="&amp;A27,SALES_EDA!$A$2:$A$1001,"&lt;"&amp;EDATE(A27,1))</f>
        <v>-4.3542755849706967E-2</v>
      </c>
      <c r="F27" s="1"/>
      <c r="G27" s="1"/>
      <c r="H27" s="1"/>
      <c r="I27" s="1"/>
      <c r="J27" s="1"/>
    </row>
    <row r="28" spans="1:10" x14ac:dyDescent="0.3">
      <c r="A28" s="10">
        <v>42005</v>
      </c>
      <c r="B28" s="14">
        <f>SUMIFS(SALES_EDA!$B$2:$B$1001,SALES_EDA!$A$2:$A$1001,"&gt;="&amp;A28,SALES_EDA!$A$2:$A$1001,"&lt;"&amp;EDATE(A28,1))</f>
        <v>3696191.507908708</v>
      </c>
      <c r="C28" s="14">
        <f>SUMIFS(SALES_EDA!$O$2:$O$1001,SALES_EDA!$A$2:$A$1001,"&gt;="&amp;A28,SALES_EDA!$A$2:$A$1001,"&lt;"&amp;EDATE(A28,1))</f>
        <v>-155068.95857228659</v>
      </c>
      <c r="D28" s="8">
        <f t="shared" si="0"/>
        <v>-4.1953713231710779E-2</v>
      </c>
      <c r="E28" s="8">
        <f>AVERAGEIFS(SALES_EDA!$R$2:$R$1001,SALES_EDA!$A$2:$A$1001,"&gt;="&amp;A28,SALES_EDA!$A$2:$A$1001,"&lt;"&amp;EDATE(A28,1))</f>
        <v>-3.2799074447769021E-2</v>
      </c>
      <c r="F28" s="1"/>
      <c r="G28" s="1"/>
      <c r="H28" s="1"/>
      <c r="I28" s="1"/>
      <c r="J28" s="1"/>
    </row>
    <row r="29" spans="1:10" x14ac:dyDescent="0.3">
      <c r="A29" s="10">
        <v>42036</v>
      </c>
      <c r="B29" s="14">
        <f>SUMIFS(SALES_EDA!$B$2:$B$1001,SALES_EDA!$A$2:$A$1001,"&gt;="&amp;A29,SALES_EDA!$A$2:$A$1001,"&lt;"&amp;EDATE(A29,1))</f>
        <v>4901504.8931298014</v>
      </c>
      <c r="C29" s="14">
        <f>SUMIFS(SALES_EDA!$O$2:$O$1001,SALES_EDA!$A$2:$A$1001,"&gt;="&amp;A29,SALES_EDA!$A$2:$A$1001,"&lt;"&amp;EDATE(A29,1))</f>
        <v>-250251.37475896548</v>
      </c>
      <c r="D29" s="8">
        <f t="shared" si="0"/>
        <v>-5.1056028753481517E-2</v>
      </c>
      <c r="E29" s="8">
        <f>AVERAGEIFS(SALES_EDA!$R$2:$R$1001,SALES_EDA!$A$2:$A$1001,"&gt;="&amp;A29,SALES_EDA!$A$2:$A$1001,"&lt;"&amp;EDATE(A29,1))</f>
        <v>-4.1530709538948676E-2</v>
      </c>
      <c r="F29" s="1"/>
      <c r="G29" s="1"/>
      <c r="H29" s="1"/>
      <c r="I29" s="1"/>
      <c r="J29" s="1"/>
    </row>
    <row r="30" spans="1:10" x14ac:dyDescent="0.3">
      <c r="A30" s="10">
        <v>42064</v>
      </c>
      <c r="B30" s="14">
        <f>SUMIFS(SALES_EDA!$B$2:$B$1001,SALES_EDA!$A$2:$A$1001,"&gt;="&amp;A30,SALES_EDA!$A$2:$A$1001,"&lt;"&amp;EDATE(A30,1))</f>
        <v>5269353.1526924418</v>
      </c>
      <c r="C30" s="14">
        <f>SUMIFS(SALES_EDA!$O$2:$O$1001,SALES_EDA!$A$2:$A$1001,"&gt;="&amp;A30,SALES_EDA!$A$2:$A$1001,"&lt;"&amp;EDATE(A30,1))</f>
        <v>-330277.56739303691</v>
      </c>
      <c r="D30" s="8">
        <f t="shared" si="0"/>
        <v>-6.2678958464622445E-2</v>
      </c>
      <c r="E30" s="8">
        <f>AVERAGEIFS(SALES_EDA!$R$2:$R$1001,SALES_EDA!$A$2:$A$1001,"&gt;="&amp;A30,SALES_EDA!$A$2:$A$1001,"&lt;"&amp;EDATE(A30,1))</f>
        <v>-3.8400227067172783E-2</v>
      </c>
      <c r="F30" s="1"/>
      <c r="G30" s="1"/>
      <c r="H30" s="1"/>
      <c r="I30" s="1"/>
      <c r="J30" s="1"/>
    </row>
    <row r="31" spans="1:10" x14ac:dyDescent="0.3">
      <c r="A31" s="10">
        <v>42095</v>
      </c>
      <c r="B31" s="14">
        <f>SUMIFS(SALES_EDA!$B$2:$B$1001,SALES_EDA!$A$2:$A$1001,"&gt;="&amp;A31,SALES_EDA!$A$2:$A$1001,"&lt;"&amp;EDATE(A31,1))</f>
        <v>5963993.9677629443</v>
      </c>
      <c r="C31" s="14">
        <f>SUMIFS(SALES_EDA!$O$2:$O$1001,SALES_EDA!$A$2:$A$1001,"&gt;="&amp;A31,SALES_EDA!$A$2:$A$1001,"&lt;"&amp;EDATE(A31,1))</f>
        <v>-322679.69664405711</v>
      </c>
      <c r="D31" s="8">
        <f t="shared" si="0"/>
        <v>-5.4104631625758029E-2</v>
      </c>
      <c r="E31" s="8">
        <f>AVERAGEIFS(SALES_EDA!$R$2:$R$1001,SALES_EDA!$A$2:$A$1001,"&gt;="&amp;A31,SALES_EDA!$A$2:$A$1001,"&lt;"&amp;EDATE(A31,1))</f>
        <v>-2.4424228321983897E-2</v>
      </c>
      <c r="F31" s="1"/>
      <c r="G31" s="1"/>
      <c r="H31" s="1"/>
      <c r="I31" s="1"/>
      <c r="J31" s="1"/>
    </row>
    <row r="32" spans="1:10" x14ac:dyDescent="0.3">
      <c r="A32" s="10">
        <v>42125</v>
      </c>
      <c r="B32" s="14">
        <f>SUMIFS(SALES_EDA!$B$2:$B$1001,SALES_EDA!$A$2:$A$1001,"&gt;="&amp;A32,SALES_EDA!$A$2:$A$1001,"&lt;"&amp;EDATE(A32,1))</f>
        <v>8384367.2411529217</v>
      </c>
      <c r="C32" s="14">
        <f>SUMIFS(SALES_EDA!$O$2:$O$1001,SALES_EDA!$A$2:$A$1001,"&gt;="&amp;A32,SALES_EDA!$A$2:$A$1001,"&lt;"&amp;EDATE(A32,1))</f>
        <v>-589334.65746298572</v>
      </c>
      <c r="D32" s="8">
        <f t="shared" si="0"/>
        <v>-7.0289699927546023E-2</v>
      </c>
      <c r="E32" s="8">
        <f>AVERAGEIFS(SALES_EDA!$R$2:$R$1001,SALES_EDA!$A$2:$A$1001,"&gt;="&amp;A32,SALES_EDA!$A$2:$A$1001,"&lt;"&amp;EDATE(A32,1))</f>
        <v>-6.6786411417132763E-2</v>
      </c>
      <c r="F32" s="1"/>
      <c r="G32" s="1"/>
      <c r="H32" s="1"/>
      <c r="I32" s="1"/>
      <c r="J32" s="1"/>
    </row>
    <row r="33" spans="1:10" x14ac:dyDescent="0.3">
      <c r="A33" s="10">
        <v>42156</v>
      </c>
      <c r="B33" s="14">
        <f>SUMIFS(SALES_EDA!$B$2:$B$1001,SALES_EDA!$A$2:$A$1001,"&gt;="&amp;A33,SALES_EDA!$A$2:$A$1001,"&lt;"&amp;EDATE(A33,1))</f>
        <v>5332108.3233635416</v>
      </c>
      <c r="C33" s="14">
        <f>SUMIFS(SALES_EDA!$O$2:$O$1001,SALES_EDA!$A$2:$A$1001,"&gt;="&amp;A33,SALES_EDA!$A$2:$A$1001,"&lt;"&amp;EDATE(A33,1))</f>
        <v>-188817.04559325546</v>
      </c>
      <c r="D33" s="8">
        <f t="shared" si="0"/>
        <v>-3.5411329654711138E-2</v>
      </c>
      <c r="E33" s="8">
        <f>AVERAGEIFS(SALES_EDA!$R$2:$R$1001,SALES_EDA!$A$2:$A$1001,"&gt;="&amp;A33,SALES_EDA!$A$2:$A$1001,"&lt;"&amp;EDATE(A33,1))</f>
        <v>-1.2062539324948083E-2</v>
      </c>
      <c r="F33" s="1"/>
      <c r="G33" s="1"/>
      <c r="H33" s="1"/>
      <c r="I33" s="1"/>
      <c r="J33" s="1"/>
    </row>
    <row r="34" spans="1:10" x14ac:dyDescent="0.3">
      <c r="A34" s="10">
        <v>42186</v>
      </c>
      <c r="B34" s="14">
        <f>SUMIFS(SALES_EDA!$B$2:$B$1001,SALES_EDA!$A$2:$A$1001,"&gt;="&amp;A34,SALES_EDA!$A$2:$A$1001,"&lt;"&amp;EDATE(A34,1))</f>
        <v>3677692.394056119</v>
      </c>
      <c r="C34" s="14">
        <f>SUMIFS(SALES_EDA!$O$2:$O$1001,SALES_EDA!$A$2:$A$1001,"&gt;="&amp;A34,SALES_EDA!$A$2:$A$1001,"&lt;"&amp;EDATE(A34,1))</f>
        <v>-151496.17096625554</v>
      </c>
      <c r="D34" s="8">
        <f t="shared" si="0"/>
        <v>-4.1193268695093536E-2</v>
      </c>
      <c r="E34" s="8">
        <f>AVERAGEIFS(SALES_EDA!$R$2:$R$1001,SALES_EDA!$A$2:$A$1001,"&gt;="&amp;A34,SALES_EDA!$A$2:$A$1001,"&lt;"&amp;EDATE(A34,1))</f>
        <v>-3.4228624833731104E-2</v>
      </c>
      <c r="F34" s="1"/>
      <c r="G34" s="1"/>
      <c r="H34" s="1"/>
      <c r="I34" s="1"/>
      <c r="J34" s="1"/>
    </row>
    <row r="35" spans="1:10" x14ac:dyDescent="0.3">
      <c r="A35" s="10">
        <v>42217</v>
      </c>
      <c r="B35" s="14">
        <f>SUMIFS(SALES_EDA!$B$2:$B$1001,SALES_EDA!$A$2:$A$1001,"&gt;="&amp;A35,SALES_EDA!$A$2:$A$1001,"&lt;"&amp;EDATE(A35,1))</f>
        <v>3934668.4080629996</v>
      </c>
      <c r="C35" s="14">
        <f>SUMIFS(SALES_EDA!$O$2:$O$1001,SALES_EDA!$A$2:$A$1001,"&gt;="&amp;A35,SALES_EDA!$A$2:$A$1001,"&lt;"&amp;EDATE(A35,1))</f>
        <v>-276258.92682944017</v>
      </c>
      <c r="D35" s="8">
        <f t="shared" si="0"/>
        <v>-7.0211488791107515E-2</v>
      </c>
      <c r="E35" s="8">
        <f>AVERAGEIFS(SALES_EDA!$R$2:$R$1001,SALES_EDA!$A$2:$A$1001,"&gt;="&amp;A35,SALES_EDA!$A$2:$A$1001,"&lt;"&amp;EDATE(A35,1))</f>
        <v>-5.0005851010549426E-2</v>
      </c>
      <c r="F35" s="1"/>
      <c r="G35" s="1"/>
      <c r="H35" s="1"/>
      <c r="I35" s="1"/>
      <c r="J35" s="1"/>
    </row>
    <row r="36" spans="1:10" x14ac:dyDescent="0.3">
      <c r="A36" s="10">
        <v>42248</v>
      </c>
      <c r="B36" s="14">
        <f>SUMIFS(SALES_EDA!$B$2:$B$1001,SALES_EDA!$A$2:$A$1001,"&gt;="&amp;A36,SALES_EDA!$A$2:$A$1001,"&lt;"&amp;EDATE(A36,1))</f>
        <v>4669899.8586166771</v>
      </c>
      <c r="C36" s="14">
        <f>SUMIFS(SALES_EDA!$O$2:$O$1001,SALES_EDA!$A$2:$A$1001,"&gt;="&amp;A36,SALES_EDA!$A$2:$A$1001,"&lt;"&amp;EDATE(A36,1))</f>
        <v>-354594.83631778409</v>
      </c>
      <c r="D36" s="8">
        <f t="shared" si="0"/>
        <v>-7.5932000054241541E-2</v>
      </c>
      <c r="E36" s="8">
        <f>AVERAGEIFS(SALES_EDA!$R$2:$R$1001,SALES_EDA!$A$2:$A$1001,"&gt;="&amp;A36,SALES_EDA!$A$2:$A$1001,"&lt;"&amp;EDATE(A36,1))</f>
        <v>-2.5509139047334206E-2</v>
      </c>
      <c r="F36" s="1"/>
      <c r="G36" s="1"/>
      <c r="H36" s="1"/>
      <c r="I36" s="1"/>
      <c r="J36" s="1"/>
    </row>
    <row r="37" spans="1:10" x14ac:dyDescent="0.3">
      <c r="A37" s="10">
        <v>42278</v>
      </c>
      <c r="B37" s="14">
        <f>SUMIFS(SALES_EDA!$B$2:$B$1001,SALES_EDA!$A$2:$A$1001,"&gt;="&amp;A37,SALES_EDA!$A$2:$A$1001,"&lt;"&amp;EDATE(A37,1))</f>
        <v>4828975.0795014305</v>
      </c>
      <c r="C37" s="14">
        <f>SUMIFS(SALES_EDA!$O$2:$O$1001,SALES_EDA!$A$2:$A$1001,"&gt;="&amp;A37,SALES_EDA!$A$2:$A$1001,"&lt;"&amp;EDATE(A37,1))</f>
        <v>-346518.99798179837</v>
      </c>
      <c r="D37" s="8">
        <f t="shared" si="0"/>
        <v>-7.1758290791919949E-2</v>
      </c>
      <c r="E37" s="8">
        <f>AVERAGEIFS(SALES_EDA!$R$2:$R$1001,SALES_EDA!$A$2:$A$1001,"&gt;="&amp;A37,SALES_EDA!$A$2:$A$1001,"&lt;"&amp;EDATE(A37,1))</f>
        <v>-2.6707501712064555E-2</v>
      </c>
      <c r="F37" s="1"/>
      <c r="G37" s="1"/>
      <c r="H37" s="1"/>
      <c r="I37" s="1"/>
      <c r="J37" s="1"/>
    </row>
    <row r="38" spans="1:10" x14ac:dyDescent="0.3">
      <c r="A38" s="10">
        <v>42309</v>
      </c>
      <c r="B38" s="14">
        <f>SUMIFS(SALES_EDA!$B$2:$B$1001,SALES_EDA!$A$2:$A$1001,"&gt;="&amp;A38,SALES_EDA!$A$2:$A$1001,"&lt;"&amp;EDATE(A38,1))</f>
        <v>6538148.8833287368</v>
      </c>
      <c r="C38" s="14">
        <f>SUMIFS(SALES_EDA!$O$2:$O$1001,SALES_EDA!$A$2:$A$1001,"&gt;="&amp;A38,SALES_EDA!$A$2:$A$1001,"&lt;"&amp;EDATE(A38,1))</f>
        <v>-600684.57133753621</v>
      </c>
      <c r="D38" s="8">
        <f t="shared" si="0"/>
        <v>-9.1873798235030793E-2</v>
      </c>
      <c r="E38" s="8">
        <f>AVERAGEIFS(SALES_EDA!$R$2:$R$1001,SALES_EDA!$A$2:$A$1001,"&gt;="&amp;A38,SALES_EDA!$A$2:$A$1001,"&lt;"&amp;EDATE(A38,1))</f>
        <v>-8.1156111363246505E-2</v>
      </c>
      <c r="F38" s="1"/>
      <c r="G38" s="1"/>
      <c r="H38" s="1"/>
      <c r="I38" s="1"/>
      <c r="J38" s="1"/>
    </row>
    <row r="39" spans="1:10" x14ac:dyDescent="0.3">
      <c r="A39" s="10">
        <v>42339</v>
      </c>
      <c r="B39" s="14">
        <f>SUMIFS(SALES_EDA!$B$2:$B$1001,SALES_EDA!$A$2:$A$1001,"&gt;="&amp;A39,SALES_EDA!$A$2:$A$1001,"&lt;"&amp;EDATE(A39,1))</f>
        <v>6820689.6776469136</v>
      </c>
      <c r="C39" s="14">
        <f>SUMIFS(SALES_EDA!$O$2:$O$1001,SALES_EDA!$A$2:$A$1001,"&gt;="&amp;A39,SALES_EDA!$A$2:$A$1001,"&lt;"&amp;EDATE(A39,1))</f>
        <v>-333627.64291201677</v>
      </c>
      <c r="D39" s="8">
        <f t="shared" si="0"/>
        <v>-4.8914062753125542E-2</v>
      </c>
      <c r="E39" s="8">
        <f>AVERAGEIFS(SALES_EDA!$R$2:$R$1001,SALES_EDA!$A$2:$A$1001,"&gt;="&amp;A39,SALES_EDA!$A$2:$A$1001,"&lt;"&amp;EDATE(A39,1))</f>
        <v>-3.8174292347401814E-2</v>
      </c>
      <c r="F39" s="1"/>
      <c r="G39" s="1"/>
      <c r="H39" s="1"/>
      <c r="I39" s="1"/>
      <c r="J39" s="1"/>
    </row>
    <row r="40" spans="1:10" x14ac:dyDescent="0.3">
      <c r="A40" s="10">
        <v>42370</v>
      </c>
      <c r="B40" s="14">
        <f>SUMIFS(SALES_EDA!$B$2:$B$1001,SALES_EDA!$A$2:$A$1001,"&gt;="&amp;A40,SALES_EDA!$A$2:$A$1001,"&lt;"&amp;EDATE(A40,1))</f>
        <v>5403090.5092575783</v>
      </c>
      <c r="C40" s="14">
        <f>SUMIFS(SALES_EDA!$O$2:$O$1001,SALES_EDA!$A$2:$A$1001,"&gt;="&amp;A40,SALES_EDA!$A$2:$A$1001,"&lt;"&amp;EDATE(A40,1))</f>
        <v>-254252.20607427965</v>
      </c>
      <c r="D40" s="8">
        <f t="shared" si="0"/>
        <v>-4.7056810475161859E-2</v>
      </c>
      <c r="E40" s="8">
        <f>AVERAGEIFS(SALES_EDA!$R$2:$R$1001,SALES_EDA!$A$2:$A$1001,"&gt;="&amp;A40,SALES_EDA!$A$2:$A$1001,"&lt;"&amp;EDATE(A40,1))</f>
        <v>-1.3451492993658696E-2</v>
      </c>
      <c r="F40" s="1"/>
      <c r="G40" s="1"/>
      <c r="H40" s="1"/>
      <c r="I40" s="1"/>
      <c r="J40" s="1"/>
    </row>
    <row r="41" spans="1:10" x14ac:dyDescent="0.3">
      <c r="A41" s="10">
        <v>42401</v>
      </c>
      <c r="B41" s="14">
        <f>SUMIFS(SALES_EDA!$B$2:$B$1001,SALES_EDA!$A$2:$A$1001,"&gt;="&amp;A41,SALES_EDA!$A$2:$A$1001,"&lt;"&amp;EDATE(A41,1))</f>
        <v>4891882.3081559949</v>
      </c>
      <c r="C41" s="14">
        <f>SUMIFS(SALES_EDA!$O$2:$O$1001,SALES_EDA!$A$2:$A$1001,"&gt;="&amp;A41,SALES_EDA!$A$2:$A$1001,"&lt;"&amp;EDATE(A41,1))</f>
        <v>2578.6644468660161</v>
      </c>
      <c r="D41" s="8">
        <f t="shared" si="0"/>
        <v>5.2713133399933515E-4</v>
      </c>
      <c r="E41" s="8">
        <f>AVERAGEIFS(SALES_EDA!$R$2:$R$1001,SALES_EDA!$A$2:$A$1001,"&gt;="&amp;A41,SALES_EDA!$A$2:$A$1001,"&lt;"&amp;EDATE(A41,1))</f>
        <v>3.510395798720424E-2</v>
      </c>
      <c r="F41" s="1"/>
      <c r="G41" s="1"/>
      <c r="H41" s="1"/>
      <c r="I41" s="1"/>
      <c r="J41" s="1"/>
    </row>
    <row r="42" spans="1:10" x14ac:dyDescent="0.3">
      <c r="A42" s="10">
        <v>42430</v>
      </c>
      <c r="B42" s="14">
        <f>SUMIFS(SALES_EDA!$B$2:$B$1001,SALES_EDA!$A$2:$A$1001,"&gt;="&amp;A42,SALES_EDA!$A$2:$A$1001,"&lt;"&amp;EDATE(A42,1))</f>
        <v>2951856.0057579</v>
      </c>
      <c r="C42" s="14">
        <f>SUMIFS(SALES_EDA!$O$2:$O$1001,SALES_EDA!$A$2:$A$1001,"&gt;="&amp;A42,SALES_EDA!$A$2:$A$1001,"&lt;"&amp;EDATE(A42,1))</f>
        <v>34054.514486005806</v>
      </c>
      <c r="D42" s="8">
        <f t="shared" si="0"/>
        <v>1.1536644883618632E-2</v>
      </c>
      <c r="E42" s="8">
        <f>AVERAGEIFS(SALES_EDA!$R$2:$R$1001,SALES_EDA!$A$2:$A$1001,"&gt;="&amp;A42,SALES_EDA!$A$2:$A$1001,"&lt;"&amp;EDATE(A42,1))</f>
        <v>2.1847313646242598E-2</v>
      </c>
      <c r="F42" s="1"/>
      <c r="G42" s="1"/>
      <c r="H42" s="1"/>
      <c r="I42" s="1"/>
      <c r="J42" s="1"/>
    </row>
    <row r="43" spans="1:10" x14ac:dyDescent="0.3">
      <c r="A43" s="10">
        <v>42461</v>
      </c>
      <c r="B43" s="14">
        <f>SUMIFS(SALES_EDA!$B$2:$B$1001,SALES_EDA!$A$2:$A$1001,"&gt;="&amp;A43,SALES_EDA!$A$2:$A$1001,"&lt;"&amp;EDATE(A43,1))</f>
        <v>6656880.1761649484</v>
      </c>
      <c r="C43" s="14">
        <f>SUMIFS(SALES_EDA!$O$2:$O$1001,SALES_EDA!$A$2:$A$1001,"&gt;="&amp;A43,SALES_EDA!$A$2:$A$1001,"&lt;"&amp;EDATE(A43,1))</f>
        <v>-470851.72906593885</v>
      </c>
      <c r="D43" s="8">
        <f t="shared" si="0"/>
        <v>-7.0731591467100452E-2</v>
      </c>
      <c r="E43" s="8">
        <f>AVERAGEIFS(SALES_EDA!$R$2:$R$1001,SALES_EDA!$A$2:$A$1001,"&gt;="&amp;A43,SALES_EDA!$A$2:$A$1001,"&lt;"&amp;EDATE(A43,1))</f>
        <v>-6.3200950712459791E-2</v>
      </c>
      <c r="F43" s="1"/>
      <c r="G43" s="1"/>
      <c r="H43" s="1"/>
      <c r="I43" s="1"/>
      <c r="J43" s="1"/>
    </row>
    <row r="44" spans="1:10" x14ac:dyDescent="0.3">
      <c r="A44" s="10">
        <v>42491</v>
      </c>
      <c r="B44" s="14">
        <f>SUMIFS(SALES_EDA!$B$2:$B$1001,SALES_EDA!$A$2:$A$1001,"&gt;="&amp;A44,SALES_EDA!$A$2:$A$1001,"&lt;"&amp;EDATE(A44,1))</f>
        <v>5170231.8549004085</v>
      </c>
      <c r="C44" s="14">
        <f>SUMIFS(SALES_EDA!$O$2:$O$1001,SALES_EDA!$A$2:$A$1001,"&gt;="&amp;A44,SALES_EDA!$A$2:$A$1001,"&lt;"&amp;EDATE(A44,1))</f>
        <v>-168162.77707672582</v>
      </c>
      <c r="D44" s="8">
        <f t="shared" si="0"/>
        <v>-3.2525190706358571E-2</v>
      </c>
      <c r="E44" s="8">
        <f>AVERAGEIFS(SALES_EDA!$R$2:$R$1001,SALES_EDA!$A$2:$A$1001,"&gt;="&amp;A44,SALES_EDA!$A$2:$A$1001,"&lt;"&amp;EDATE(A44,1))</f>
        <v>3.0863336980293265E-2</v>
      </c>
      <c r="F44" s="1"/>
      <c r="G44" s="1"/>
      <c r="H44" s="1"/>
      <c r="I44" s="1"/>
      <c r="J44" s="1"/>
    </row>
    <row r="45" spans="1:10" x14ac:dyDescent="0.3">
      <c r="A45" s="10">
        <v>42522</v>
      </c>
      <c r="B45" s="14">
        <f>SUMIFS(SALES_EDA!$B$2:$B$1001,SALES_EDA!$A$2:$A$1001,"&gt;="&amp;A45,SALES_EDA!$A$2:$A$1001,"&lt;"&amp;EDATE(A45,1))</f>
        <v>6771134.9382742001</v>
      </c>
      <c r="C45" s="14">
        <f>SUMIFS(SALES_EDA!$O$2:$O$1001,SALES_EDA!$A$2:$A$1001,"&gt;="&amp;A45,SALES_EDA!$A$2:$A$1001,"&lt;"&amp;EDATE(A45,1))</f>
        <v>-397214.69293171703</v>
      </c>
      <c r="D45" s="8">
        <f t="shared" si="0"/>
        <v>-5.8662941523501454E-2</v>
      </c>
      <c r="E45" s="8">
        <f>AVERAGEIFS(SALES_EDA!$R$2:$R$1001,SALES_EDA!$A$2:$A$1001,"&gt;="&amp;A45,SALES_EDA!$A$2:$A$1001,"&lt;"&amp;EDATE(A45,1))</f>
        <v>-4.558700102585702E-2</v>
      </c>
      <c r="F45" s="1"/>
      <c r="G45" s="1"/>
      <c r="H45" s="1"/>
      <c r="I45" s="1"/>
      <c r="J45" s="1"/>
    </row>
    <row r="46" spans="1:10" x14ac:dyDescent="0.3">
      <c r="A46" s="10">
        <v>42552</v>
      </c>
      <c r="B46" s="14">
        <f>SUMIFS(SALES_EDA!$B$2:$B$1001,SALES_EDA!$A$2:$A$1001,"&gt;="&amp;A46,SALES_EDA!$A$2:$A$1001,"&lt;"&amp;EDATE(A46,1))</f>
        <v>3324825.4316159762</v>
      </c>
      <c r="C46" s="14">
        <f>SUMIFS(SALES_EDA!$O$2:$O$1001,SALES_EDA!$A$2:$A$1001,"&gt;="&amp;A46,SALES_EDA!$A$2:$A$1001,"&lt;"&amp;EDATE(A46,1))</f>
        <v>56428.159038755555</v>
      </c>
      <c r="D46" s="8">
        <f t="shared" si="0"/>
        <v>1.6971765946619817E-2</v>
      </c>
      <c r="E46" s="8">
        <f>AVERAGEIFS(SALES_EDA!$R$2:$R$1001,SALES_EDA!$A$2:$A$1001,"&gt;="&amp;A46,SALES_EDA!$A$2:$A$1001,"&lt;"&amp;EDATE(A46,1))</f>
        <v>9.9923580658534045E-2</v>
      </c>
      <c r="F46" s="1"/>
      <c r="G46" s="1"/>
      <c r="H46" s="1"/>
      <c r="I46" s="1"/>
      <c r="J46" s="1"/>
    </row>
    <row r="47" spans="1:10" x14ac:dyDescent="0.3">
      <c r="A47" s="10">
        <v>42583</v>
      </c>
      <c r="B47" s="14">
        <f>SUMIFS(SALES_EDA!$B$2:$B$1001,SALES_EDA!$A$2:$A$1001,"&gt;="&amp;A47,SALES_EDA!$A$2:$A$1001,"&lt;"&amp;EDATE(A47,1))</f>
        <v>4343329.4138204977</v>
      </c>
      <c r="C47" s="14">
        <f>SUMIFS(SALES_EDA!$O$2:$O$1001,SALES_EDA!$A$2:$A$1001,"&gt;="&amp;A47,SALES_EDA!$A$2:$A$1001,"&lt;"&amp;EDATE(A47,1))</f>
        <v>-136458.24118486291</v>
      </c>
      <c r="D47" s="8">
        <f t="shared" si="0"/>
        <v>-3.1417888947279031E-2</v>
      </c>
      <c r="E47" s="8">
        <f>AVERAGEIFS(SALES_EDA!$R$2:$R$1001,SALES_EDA!$A$2:$A$1001,"&gt;="&amp;A47,SALES_EDA!$A$2:$A$1001,"&lt;"&amp;EDATE(A47,1))</f>
        <v>8.8305399683157437E-3</v>
      </c>
      <c r="F47" s="1"/>
      <c r="G47" s="1"/>
      <c r="H47" s="1"/>
      <c r="I47" s="1"/>
      <c r="J47" s="1"/>
    </row>
    <row r="48" spans="1:10" x14ac:dyDescent="0.3">
      <c r="A48" s="10">
        <v>42614</v>
      </c>
      <c r="B48" s="14">
        <f>SUMIFS(SALES_EDA!$B$2:$B$1001,SALES_EDA!$A$2:$A$1001,"&gt;="&amp;A48,SALES_EDA!$A$2:$A$1001,"&lt;"&amp;EDATE(A48,1))</f>
        <v>2789053.7928563659</v>
      </c>
      <c r="C48" s="14">
        <f>SUMIFS(SALES_EDA!$O$2:$O$1001,SALES_EDA!$A$2:$A$1001,"&gt;="&amp;A48,SALES_EDA!$A$2:$A$1001,"&lt;"&amp;EDATE(A48,1))</f>
        <v>19999.202775307502</v>
      </c>
      <c r="D48" s="8">
        <f t="shared" si="0"/>
        <v>7.1706048935060622E-3</v>
      </c>
      <c r="E48" s="8">
        <f>AVERAGEIFS(SALES_EDA!$R$2:$R$1001,SALES_EDA!$A$2:$A$1001,"&gt;="&amp;A48,SALES_EDA!$A$2:$A$1001,"&lt;"&amp;EDATE(A48,1))</f>
        <v>6.4546656640889891E-2</v>
      </c>
      <c r="F48" s="1"/>
      <c r="G48" s="1"/>
      <c r="H48" s="1"/>
      <c r="I48" s="1"/>
      <c r="J48" s="1"/>
    </row>
  </sheetData>
  <mergeCells count="10">
    <mergeCell ref="A9:C10"/>
    <mergeCell ref="D9:F10"/>
    <mergeCell ref="G9:J10"/>
    <mergeCell ref="A13:J13"/>
    <mergeCell ref="A1:J1"/>
    <mergeCell ref="A2:J2"/>
    <mergeCell ref="A4:J6"/>
    <mergeCell ref="A8:C8"/>
    <mergeCell ref="D8:F8"/>
    <mergeCell ref="G8:J8"/>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06D7A-3395-4798-96CF-A2354714857D}">
  <dimension ref="A1:L13"/>
  <sheetViews>
    <sheetView tabSelected="1" workbookViewId="0">
      <selection sqref="A1:L1"/>
    </sheetView>
  </sheetViews>
  <sheetFormatPr defaultRowHeight="14.4" x14ac:dyDescent="0.3"/>
  <cols>
    <col min="1" max="1" width="20.33203125" customWidth="1"/>
    <col min="2" max="3" width="11.44140625" customWidth="1"/>
    <col min="4" max="4" width="10.21875" customWidth="1"/>
    <col min="5" max="12" width="12.5546875" customWidth="1"/>
  </cols>
  <sheetData>
    <row r="1" spans="1:12" ht="23.4" x14ac:dyDescent="0.45">
      <c r="A1" s="17" t="s">
        <v>99</v>
      </c>
      <c r="B1" s="17"/>
      <c r="C1" s="17"/>
      <c r="D1" s="17"/>
      <c r="E1" s="17"/>
      <c r="F1" s="17"/>
      <c r="G1" s="17"/>
      <c r="H1" s="17"/>
      <c r="I1" s="17"/>
      <c r="J1" s="17"/>
      <c r="K1" s="17"/>
      <c r="L1" s="17"/>
    </row>
    <row r="2" spans="1:12" x14ac:dyDescent="0.3">
      <c r="A2" s="18" t="s">
        <v>100</v>
      </c>
      <c r="B2" s="18"/>
      <c r="C2" s="18"/>
      <c r="D2" s="18"/>
      <c r="E2" s="18"/>
      <c r="F2" s="18"/>
      <c r="G2" s="18"/>
      <c r="H2" s="18"/>
      <c r="I2" s="18"/>
      <c r="J2" s="18"/>
      <c r="K2" s="18"/>
      <c r="L2" s="18"/>
    </row>
    <row r="3" spans="1:12" x14ac:dyDescent="0.3">
      <c r="A3" s="1"/>
      <c r="B3" s="1"/>
      <c r="C3" s="1"/>
      <c r="D3" s="1"/>
      <c r="E3" s="1"/>
      <c r="F3" s="1"/>
      <c r="G3" s="1"/>
      <c r="H3" s="1"/>
      <c r="I3" s="1"/>
      <c r="J3" s="1"/>
      <c r="K3" s="1"/>
      <c r="L3" s="1"/>
    </row>
    <row r="4" spans="1:12" ht="24" customHeight="1" x14ac:dyDescent="0.3">
      <c r="A4" s="19" t="s">
        <v>101</v>
      </c>
      <c r="B4" s="19"/>
      <c r="C4" s="19"/>
      <c r="D4" s="19"/>
      <c r="E4" s="19"/>
      <c r="F4" s="19"/>
      <c r="G4" s="19"/>
      <c r="H4" s="19"/>
      <c r="I4" s="19"/>
      <c r="J4" s="19"/>
      <c r="K4" s="19"/>
      <c r="L4" s="19"/>
    </row>
    <row r="5" spans="1:12" ht="24" customHeight="1" x14ac:dyDescent="0.3">
      <c r="A5" s="19"/>
      <c r="B5" s="19"/>
      <c r="C5" s="19"/>
      <c r="D5" s="19"/>
      <c r="E5" s="19"/>
      <c r="F5" s="19"/>
      <c r="G5" s="19"/>
      <c r="H5" s="19"/>
      <c r="I5" s="19"/>
      <c r="J5" s="19"/>
      <c r="K5" s="19"/>
      <c r="L5" s="19"/>
    </row>
    <row r="6" spans="1:12" ht="24" customHeight="1" x14ac:dyDescent="0.3">
      <c r="A6" s="19"/>
      <c r="B6" s="19"/>
      <c r="C6" s="19"/>
      <c r="D6" s="19"/>
      <c r="E6" s="19"/>
      <c r="F6" s="19"/>
      <c r="G6" s="19"/>
      <c r="H6" s="19"/>
      <c r="I6" s="19"/>
      <c r="J6" s="19"/>
      <c r="K6" s="19"/>
      <c r="L6" s="19"/>
    </row>
    <row r="7" spans="1:12" x14ac:dyDescent="0.3">
      <c r="A7" s="1"/>
      <c r="B7" s="1"/>
      <c r="C7" s="1"/>
      <c r="D7" s="1"/>
      <c r="E7" s="1"/>
      <c r="F7" s="1"/>
      <c r="G7" s="1"/>
      <c r="H7" s="1"/>
      <c r="I7" s="1"/>
      <c r="J7" s="1"/>
      <c r="K7" s="1"/>
      <c r="L7" s="1"/>
    </row>
    <row r="8" spans="1:12" x14ac:dyDescent="0.3">
      <c r="A8" s="20" t="s">
        <v>102</v>
      </c>
      <c r="B8" s="20"/>
      <c r="C8" s="20"/>
      <c r="D8" s="20"/>
      <c r="E8" s="20"/>
      <c r="F8" s="20"/>
      <c r="G8" s="20"/>
      <c r="H8" s="20"/>
      <c r="I8" s="20"/>
      <c r="J8" s="20"/>
      <c r="K8" s="20"/>
      <c r="L8" s="20"/>
    </row>
    <row r="9" spans="1:12" x14ac:dyDescent="0.3">
      <c r="A9" s="1"/>
      <c r="B9" s="1"/>
      <c r="C9" s="1"/>
      <c r="D9" s="1"/>
      <c r="E9" s="1"/>
      <c r="F9" s="1"/>
      <c r="G9" s="1"/>
      <c r="H9" s="1"/>
      <c r="I9" s="1"/>
      <c r="J9" s="1"/>
      <c r="K9" s="1"/>
      <c r="L9" s="1"/>
    </row>
    <row r="10" spans="1:12" x14ac:dyDescent="0.3">
      <c r="A10" s="1" t="s">
        <v>48</v>
      </c>
      <c r="B10" s="1" t="s">
        <v>49</v>
      </c>
      <c r="C10" s="1" t="s">
        <v>50</v>
      </c>
      <c r="D10" s="1" t="s">
        <v>51</v>
      </c>
      <c r="E10" s="1" t="s">
        <v>52</v>
      </c>
      <c r="F10" s="1" t="s">
        <v>53</v>
      </c>
      <c r="G10" s="1" t="s">
        <v>54</v>
      </c>
      <c r="H10" s="1" t="s">
        <v>55</v>
      </c>
      <c r="I10" s="1" t="s">
        <v>56</v>
      </c>
      <c r="J10" s="1" t="s">
        <v>57</v>
      </c>
      <c r="K10" s="1" t="s">
        <v>58</v>
      </c>
      <c r="L10" s="1"/>
    </row>
    <row r="11" spans="1:12" x14ac:dyDescent="0.3">
      <c r="A11" s="1" t="s">
        <v>59</v>
      </c>
      <c r="B11" s="5">
        <v>41768</v>
      </c>
      <c r="C11" s="5">
        <v>41918</v>
      </c>
      <c r="D11" s="6">
        <f>C11-B11+1</f>
        <v>151</v>
      </c>
      <c r="E11" s="15">
        <f>AVERAGEIFS(SALES_EDA!$M$2:$M$1001,SALES_EDA!$A$2:$A$1001,"&gt;="&amp;B11,SALES_EDA!$A$2:$A$1001,"&lt;"&amp;C11+1)</f>
        <v>33.064251588720509</v>
      </c>
      <c r="F11" s="15">
        <f>(SUMIFS(SALES_EDA!$M$2:$M$1001,SALES_EDA!$A$2:$A$1001,"&gt;="&amp;B11-14,SALES_EDA!$A$2:$A$1001,"&lt;"&amp;B11)+SUMIFS(SALES_EDA!$M$2:$M$1001,SALES_EDA!$A$2:$A$1001,"&gt;="&amp;C11+1,SALES_EDA!$A$2:$A$1001,"&lt;"&amp;C11+15))/(COUNTIFS(SALES_EDA!$A$2:$A$1001,"&gt;="&amp;B11-14,SALES_EDA!$A$2:$A$1001,"&lt;"&amp;B11)+COUNTIFS(SALES_EDA!$A$2:$A$1001,"&gt;="&amp;C11+1,SALES_EDA!$A$2:$A$1001,"&lt;"&amp;C11+15))</f>
        <v>35.932204661579739</v>
      </c>
      <c r="G11" s="8">
        <f>E11/F11-1</f>
        <v>-7.9815672315975861E-2</v>
      </c>
      <c r="H11" s="6">
        <f>AVERAGEIFS(SALES_EDA!$D$2:$D$1001,SALES_EDA!$A$2:$A$1001,"&gt;="&amp;B11,SALES_EDA!$A$2:$A$1001,"&lt;"&amp;C11+1)</f>
        <v>7892.6026490066224</v>
      </c>
      <c r="I11" s="6">
        <f>(SUMIFS(SALES_EDA!$D$2:$D$1001,SALES_EDA!$A$2:$A$1001,"&gt;="&amp;B11-14,SALES_EDA!$A$2:$A$1001,"&lt;"&amp;B11)+SUMIFS(SALES_EDA!$D$2:$D$1001,SALES_EDA!$A$2:$A$1001,"&gt;="&amp;C11+1,SALES_EDA!$A$2:$A$1001,"&lt;"&amp;C11+15))/(COUNTIFS(SALES_EDA!$A$2:$A$1001,"&gt;="&amp;B11-14,SALES_EDA!$A$2:$A$1001,"&lt;"&amp;B11)+COUNTIFS(SALES_EDA!$A$2:$A$1001,"&gt;="&amp;C11+1,SALES_EDA!$A$2:$A$1001,"&lt;"&amp;C11+15))</f>
        <v>3596.7142857142858</v>
      </c>
      <c r="J11" s="8">
        <f>H11/I11-1</f>
        <v>1.1943924432238293</v>
      </c>
      <c r="K11" s="9">
        <f>J11/G11</f>
        <v>-14.964384920488358</v>
      </c>
      <c r="L11" s="1"/>
    </row>
    <row r="12" spans="1:12" x14ac:dyDescent="0.3">
      <c r="A12" s="1" t="s">
        <v>60</v>
      </c>
      <c r="B12" s="5">
        <v>42270</v>
      </c>
      <c r="C12" s="5">
        <v>42283</v>
      </c>
      <c r="D12" s="6">
        <f>C12-B12+1</f>
        <v>14</v>
      </c>
      <c r="E12" s="15">
        <f>AVERAGEIFS(SALES_EDA!$M$2:$M$1001,SALES_EDA!$A$2:$A$1001,"&gt;="&amp;B12,SALES_EDA!$A$2:$A$1001,"&lt;"&amp;C12+1)</f>
        <v>33.396349038198863</v>
      </c>
      <c r="F12" s="15">
        <f>(SUMIFS(SALES_EDA!$M$2:$M$1001,SALES_EDA!$A$2:$A$1001,"&gt;="&amp;B12-14,SALES_EDA!$A$2:$A$1001,"&lt;"&amp;B12)+SUMIFS(SALES_EDA!$M$2:$M$1001,SALES_EDA!$A$2:$A$1001,"&gt;="&amp;C12+1,SALES_EDA!$A$2:$A$1001,"&lt;"&amp;C12+15))/(COUNTIFS(SALES_EDA!$A$2:$A$1001,"&gt;="&amp;B12-14,SALES_EDA!$A$2:$A$1001,"&lt;"&amp;B12)+COUNTIFS(SALES_EDA!$A$2:$A$1001,"&gt;="&amp;C12+1,SALES_EDA!$A$2:$A$1001,"&lt;"&amp;C12+15))</f>
        <v>39.282414654644299</v>
      </c>
      <c r="G12" s="8">
        <f>E12/F12-1</f>
        <v>-0.14983970991074336</v>
      </c>
      <c r="H12" s="6">
        <f>AVERAGEIFS(SALES_EDA!$D$2:$D$1001,SALES_EDA!$A$2:$A$1001,"&gt;="&amp;B12,SALES_EDA!$A$2:$A$1001,"&lt;"&amp;C12+1)</f>
        <v>8089.3571428571431</v>
      </c>
      <c r="I12" s="6">
        <f>(SUMIFS(SALES_EDA!$D$2:$D$1001,SALES_EDA!$A$2:$A$1001,"&gt;="&amp;B12-14,SALES_EDA!$A$2:$A$1001,"&lt;"&amp;B12)+SUMIFS(SALES_EDA!$D$2:$D$1001,SALES_EDA!$A$2:$A$1001,"&gt;="&amp;C12+1,SALES_EDA!$A$2:$A$1001,"&lt;"&amp;C12+15))/(COUNTIFS(SALES_EDA!$A$2:$A$1001,"&gt;="&amp;B12-14,SALES_EDA!$A$2:$A$1001,"&lt;"&amp;B12)+COUNTIFS(SALES_EDA!$A$2:$A$1001,"&gt;="&amp;C12+1,SALES_EDA!$A$2:$A$1001,"&lt;"&amp;C12+15))</f>
        <v>1575.7857142857142</v>
      </c>
      <c r="J12" s="8">
        <f>H12/I12-1</f>
        <v>4.1335388241693494</v>
      </c>
      <c r="K12" s="9">
        <f>J12/G12</f>
        <v>-27.58640434255792</v>
      </c>
      <c r="L12" s="1"/>
    </row>
    <row r="13" spans="1:12" x14ac:dyDescent="0.3">
      <c r="A13" s="1" t="s">
        <v>61</v>
      </c>
      <c r="B13" s="5">
        <v>42391</v>
      </c>
      <c r="C13" s="5">
        <v>42408</v>
      </c>
      <c r="D13" s="6">
        <f>C13-B13+1</f>
        <v>18</v>
      </c>
      <c r="E13" s="15">
        <f>AVERAGEIFS(SALES_EDA!$M$2:$M$1001,SALES_EDA!$A$2:$A$1001,"&gt;="&amp;B13,SALES_EDA!$A$2:$A$1001,"&lt;"&amp;C13+1)</f>
        <v>34.072823796237657</v>
      </c>
      <c r="F13" s="15">
        <f>(SUMIFS(SALES_EDA!$M$2:$M$1001,SALES_EDA!$A$2:$A$1001,"&gt;="&amp;B13-14,SALES_EDA!$A$2:$A$1001,"&lt;"&amp;B13)+SUMIFS(SALES_EDA!$M$2:$M$1001,SALES_EDA!$A$2:$A$1001,"&gt;="&amp;C13+1,SALES_EDA!$A$2:$A$1001,"&lt;"&amp;C13+15))/(COUNTIFS(SALES_EDA!$A$2:$A$1001,"&gt;="&amp;B13-14,SALES_EDA!$A$2:$A$1001,"&lt;"&amp;B13)+COUNTIFS(SALES_EDA!$A$2:$A$1001,"&gt;="&amp;C13+1,SALES_EDA!$A$2:$A$1001,"&lt;"&amp;C13+15))</f>
        <v>40.769813648278124</v>
      </c>
      <c r="G13" s="8">
        <f>E13/F13-1</f>
        <v>-0.16426344034376783</v>
      </c>
      <c r="H13" s="6">
        <f>AVERAGEIFS(SALES_EDA!$D$2:$D$1001,SALES_EDA!$A$2:$A$1001,"&gt;="&amp;B13,SALES_EDA!$A$2:$A$1001,"&lt;"&amp;C13+1)</f>
        <v>7925.1111111111113</v>
      </c>
      <c r="I13" s="6">
        <f>(SUMIFS(SALES_EDA!$D$2:$D$1001,SALES_EDA!$A$2:$A$1001,"&gt;="&amp;B13-14,SALES_EDA!$A$2:$A$1001,"&lt;"&amp;B13)+SUMIFS(SALES_EDA!$D$2:$D$1001,SALES_EDA!$A$2:$A$1001,"&gt;="&amp;C13+1,SALES_EDA!$A$2:$A$1001,"&lt;"&amp;C13+15))/(COUNTIFS(SALES_EDA!$A$2:$A$1001,"&gt;="&amp;B13-14,SALES_EDA!$A$2:$A$1001,"&lt;"&amp;B13)+COUNTIFS(SALES_EDA!$A$2:$A$1001,"&gt;="&amp;C13+1,SALES_EDA!$A$2:$A$1001,"&lt;"&amp;C13+15))</f>
        <v>2898.6071428571427</v>
      </c>
      <c r="J13" s="8">
        <f>H13/I13-1</f>
        <v>1.7341101158328649</v>
      </c>
      <c r="K13" s="9">
        <f>J13/G13</f>
        <v>-10.55688418679012</v>
      </c>
      <c r="L13" s="1"/>
    </row>
  </sheetData>
  <mergeCells count="4">
    <mergeCell ref="A1:L1"/>
    <mergeCell ref="A2:L2"/>
    <mergeCell ref="A4:L6"/>
    <mergeCell ref="A8:L8"/>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CAA9FE-109E-4CA5-A08F-FD9E779EED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SALES_EDA</vt:lpstr>
      <vt:lpstr>Dashboard</vt:lpstr>
      <vt:lpstr>Daily Metrics</vt:lpstr>
      <vt:lpstr>Profitability</vt:lpstr>
      <vt:lpstr>Promotion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Hitekani Tredah Masingi</dc:creator>
  <cp:lastModifiedBy>Hitekani Tredah Masingi</cp:lastModifiedBy>
  <dcterms:created xsi:type="dcterms:W3CDTF">2026-07-30T12:45:57Z</dcterms:created>
  <dcterms:modified xsi:type="dcterms:W3CDTF">2026-07-30T21:06:37Z</dcterms:modified>
</cp:coreProperties>
</file>